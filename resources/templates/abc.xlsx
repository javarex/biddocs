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ymart\OneDrive\Documents\"/>
    </mc:Choice>
  </mc:AlternateContent>
  <bookViews>
    <workbookView xWindow="0" yWindow="0" windowWidth="28800" windowHeight="12180"/>
  </bookViews>
  <sheets>
    <sheet name="ABC." sheetId="2" r:id="rId1"/>
    <sheet name="Sheet1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</externalReferences>
  <definedNames>
    <definedName name="\">#REF!</definedName>
    <definedName name="_______________________________________________jen1">#REF!</definedName>
    <definedName name="______________________________________________jen1">#REF!</definedName>
    <definedName name="_____________________________________________jen1">#REF!</definedName>
    <definedName name="____________________________________________jen1">#REF!</definedName>
    <definedName name="___________________________________________jen1">#REF!</definedName>
    <definedName name="__________________________________________jen1">#REF!</definedName>
    <definedName name="_________________________________________jen1">#REF!</definedName>
    <definedName name="________________________________________jen1">#REF!</definedName>
    <definedName name="_______________________________________jen1">#REF!</definedName>
    <definedName name="______________________________________jen1">#REF!</definedName>
    <definedName name="_____________________________________jen1">#REF!</definedName>
    <definedName name="____________________________________jen1">#REF!</definedName>
    <definedName name="___________________________________jen1">#REF!</definedName>
    <definedName name="__________________________________jen1">#REF!</definedName>
    <definedName name="_________________________________jen1">#REF!</definedName>
    <definedName name="________________________________jen1">#REF!</definedName>
    <definedName name="_______________________________jen1">#REF!</definedName>
    <definedName name="______________________________jen1">#REF!</definedName>
    <definedName name="_____________________________jen1">#REF!</definedName>
    <definedName name="____________________________jen1">#REF!</definedName>
    <definedName name="___________________________jen1">#REF!</definedName>
    <definedName name="__________________________jen1">#REF!</definedName>
    <definedName name="_________________________jen1">#REF!</definedName>
    <definedName name="________________________jen1">#REF!</definedName>
    <definedName name="_______________________jen1">#REF!</definedName>
    <definedName name="______________________jen1">#REF!</definedName>
    <definedName name="_____________________jen1">#REF!</definedName>
    <definedName name="____________________jen1">#REF!</definedName>
    <definedName name="___________________jen1">#REF!</definedName>
    <definedName name="__________________jen1">#REF!</definedName>
    <definedName name="_________________jen1">#REF!</definedName>
    <definedName name="________________jen1">#REF!</definedName>
    <definedName name="_______________jen1">#REF!</definedName>
    <definedName name="______________jen1" localSheetId="0">#REF!</definedName>
    <definedName name="______________jen1">#REF!</definedName>
    <definedName name="_____________jen1">#REF!</definedName>
    <definedName name="____________jen1">#REF!</definedName>
    <definedName name="___________jen1">#REF!</definedName>
    <definedName name="__________jen1">#REF!</definedName>
    <definedName name="_________jen1">#REF!</definedName>
    <definedName name="________jen1">#REF!</definedName>
    <definedName name="_______jen1">#REF!</definedName>
    <definedName name="______jen1">#REF!</definedName>
    <definedName name="_____jen1">#REF!</definedName>
    <definedName name="____jen1">#REF!</definedName>
    <definedName name="___jen1">#REF!</definedName>
    <definedName name="__jen1">#REF!</definedName>
    <definedName name="_1">#REF!</definedName>
    <definedName name="_1_2__dia._X_25_spike">#REF!</definedName>
    <definedName name="_1_2__x_3__x_3__x_6m_metal_shoe">#REF!</definedName>
    <definedName name="_1_2_marine_plywood">#REF!</definedName>
    <definedName name="_150mm_G.I_pipe_sch_40" localSheetId="0">[1]Source!$J$68</definedName>
    <definedName name="_150mm_G.I_pipe_sch_40">[2]Source!$J$68</definedName>
    <definedName name="_1560mm">#REF!</definedName>
    <definedName name="_1x_4x_0.3_gabion_matresses">#REF!</definedName>
    <definedName name="_20mm_steel_plate">#REF!</definedName>
    <definedName name="_2x6x0.30_Gabion_matresses">#REF!</definedName>
    <definedName name="_3_4__dia._X_20____sbm_bolt___washer">#REF!</definedName>
    <definedName name="_3_4__dia._X_30____sbm_bolt___washer">#REF!</definedName>
    <definedName name="_4_chb">#REF!</definedName>
    <definedName name="_6__chb">#REF!</definedName>
    <definedName name="_6_dia._Wiremesh">#REF!</definedName>
    <definedName name="_6mm_steel_plate">#REF!</definedName>
    <definedName name="_75_mm_Ø_PVC_Pipe" localSheetId="0">[3]Source!$J$52</definedName>
    <definedName name="_75_mm_Ø_PVC_Pipe">[4]Source!$J$52</definedName>
    <definedName name="_GEM3">[5]CCenter!$B$81:$B$88</definedName>
    <definedName name="_jen1" localSheetId="0">#REF!</definedName>
    <definedName name="_jen1">#REF!</definedName>
    <definedName name="_RS102">#REF!</definedName>
    <definedName name="_RS104">#REF!</definedName>
    <definedName name="_RS200">#REF!</definedName>
    <definedName name="_RS203">#REF!</definedName>
    <definedName name="_RW1103">#REF!</definedName>
    <definedName name="_RW1505">#REF!</definedName>
    <definedName name="_RW2103">#REF!</definedName>
    <definedName name="_RW2505">#REF!</definedName>
    <definedName name="_RW3103">#REF!</definedName>
    <definedName name="_RW3505">#REF!</definedName>
    <definedName name="_RW4103">#REF!</definedName>
    <definedName name="_RW4505">#REF!</definedName>
    <definedName name="_RW5103">#REF!</definedName>
    <definedName name="_RW5505">#REF!</definedName>
    <definedName name="_SW1200">#REF!</definedName>
    <definedName name="_SW2200">#REF!</definedName>
    <definedName name="_SW3200">#REF!</definedName>
    <definedName name="_SW4200">#REF!</definedName>
    <definedName name="_SW5200">#REF!</definedName>
    <definedName name="a">#REF!</definedName>
    <definedName name="AAA">'[6]BACOLOD RENTAL RATES'!#REF!</definedName>
    <definedName name="abc" localSheetId="0">'[7]Unit Cost'!$E$60</definedName>
    <definedName name="abc">'[8]Unit Cost'!$E$60</definedName>
    <definedName name="acetylene" localSheetId="0">[9]Source!$L$57</definedName>
    <definedName name="acetylene">[10]Source!$L$57</definedName>
    <definedName name="ACTIVITIES">#REF!</definedName>
    <definedName name="ACTIVITY">#REF!</definedName>
    <definedName name="adons">[11]Manpower!$F$110:$F$122</definedName>
    <definedName name="AggHaul">#REF!</definedName>
    <definedName name="AggPlant100.T">'[12]BACOLOD RENTAL RATES'!#REF!</definedName>
    <definedName name="Aggregate_Base_Course">[13]Source!$H$40</definedName>
    <definedName name="agua_gel">#REF!</definedName>
    <definedName name="air_compressor" localSheetId="0">[9]Source!$B$35</definedName>
    <definedName name="air_compressor">[10]Source!$B$35</definedName>
    <definedName name="aircompressor" localSheetId="0">[14]Source!$G$6</definedName>
    <definedName name="aircompressor">[15]Source!$G$6</definedName>
    <definedName name="allen">'[16]BACOLOD RENTAL RATES'!#REF!</definedName>
    <definedName name="angle_bar_3x3x1_4">#REF!</definedName>
    <definedName name="as">[17]Source!$E$2</definedName>
    <definedName name="asdsdf">[18]Numbers!$E$3:$E$423</definedName>
    <definedName name="asdsdf_9">[19]Numbers!$E$3:$E$423</definedName>
    <definedName name="AshDist3000.T">'[12]BACOLOD RENTAL RATES'!#REF!</definedName>
    <definedName name="AshPaver88.T">'[12]BACOLOD RENTAL RATES'!#REF!</definedName>
    <definedName name="ASHPLAN">'[6]BACOLOD RENTAL RATES'!#REF!</definedName>
    <definedName name="AshPlant100.T">'[12]BACOLOD RENTAL RATES'!#REF!</definedName>
    <definedName name="AshPlant30.T">'[12]BACOLOD RENTAL RATES'!#REF!</definedName>
    <definedName name="AshPlant60.T">'[12]BACOLOD RENTAL RATES'!#REF!</definedName>
    <definedName name="asphaltdistributor">[20]Source!$G$7</definedName>
    <definedName name="asphaltpaver">[20]Source!$G$8</definedName>
    <definedName name="backhoe" localSheetId="0">[14]Source!$G$9</definedName>
    <definedName name="backhoe">[15]Source!$G$9</definedName>
    <definedName name="Backhoe.63m3.T">'[12]BACOLOD RENTAL RATES'!#REF!</definedName>
    <definedName name="Backhoe.76m3.T">'[12]BACOLOD RENTAL RATES'!#REF!</definedName>
    <definedName name="backhoe_w__breaker" localSheetId="0">[9]Source!$B$36</definedName>
    <definedName name="backhoe_w__breaker">[10]Source!$B$36</definedName>
    <definedName name="Backhoe1.18m3.T">'[12]BACOLOD RENTAL RATES'!#REF!</definedName>
    <definedName name="Backhoe1.98m3.T">'[12]BACOLOD RENTAL RATES'!#REF!</definedName>
    <definedName name="backhoepavementbreaker">[21]Source!$G$11</definedName>
    <definedName name="backhoewithbreaker">#REF!</definedName>
    <definedName name="backhoewithpavementbreaker">[20]Source!$G$11</definedName>
    <definedName name="Bar_cutter">#REF!</definedName>
    <definedName name="barbender" localSheetId="0">[14]Source!$G$11</definedName>
    <definedName name="barbender">[15]Source!$G$11</definedName>
    <definedName name="barshear">[20]Source!$G$13</definedName>
    <definedName name="Basilan">#REF!</definedName>
    <definedName name="batchingplant">[20]Source!$G$14</definedName>
    <definedName name="BBender" localSheetId="0">[1]Source!$B$14</definedName>
    <definedName name="BBender">[2]Source!$B$14</definedName>
    <definedName name="bebots">#REF!</definedName>
    <definedName name="Bender50.T">'[12]BACOLOD RENTAL RATES'!#REF!</definedName>
    <definedName name="Billboard" localSheetId="0">[22]Source!$J$68</definedName>
    <definedName name="Billboard">[23]Source!$J$68</definedName>
    <definedName name="boulders">#REF!</definedName>
    <definedName name="BPlant" localSheetId="0">[3]Source!$B$9</definedName>
    <definedName name="BPlant">[4]Source!$B$9</definedName>
    <definedName name="Breaker5hp.T">'[12]BACOLOD RENTAL RATES'!#REF!</definedName>
    <definedName name="BShear" localSheetId="0">[1]Source!$B$13</definedName>
    <definedName name="BShear">[2]Source!$B$13</definedName>
    <definedName name="bulldozer" localSheetId="0">[14]Source!$G$14</definedName>
    <definedName name="bulldozer">[15]Source!$G$14</definedName>
    <definedName name="cake">#REF!</definedName>
    <definedName name="Carpenter">#REF!</definedName>
    <definedName name="cc">#REF!</definedName>
    <definedName name="CENTER">#REF!</definedName>
    <definedName name="Cforeman">#REF!</definedName>
    <definedName name="chainsaw">#REF!</definedName>
    <definedName name="ChainSaw.T">'[12]BACOLOD RENTAL RATES'!#REF!</definedName>
    <definedName name="channel_bar_2_x_3_x5mm">#REF!</definedName>
    <definedName name="chekered_plate_20mm">#REF!</definedName>
    <definedName name="chippinghammer" localSheetId="0">[14]Source!$G$29</definedName>
    <definedName name="chippinghammer">[15]Source!$G$29</definedName>
    <definedName name="clamshell" localSheetId="0">[9]Source!$B$31</definedName>
    <definedName name="clamshell">[10]Source!$B$31</definedName>
    <definedName name="Class_111_rock">#REF!</definedName>
    <definedName name="CMixer" localSheetId="0">[3]Source!$B$18</definedName>
    <definedName name="CMixer">[4]Source!$B$18</definedName>
    <definedName name="CNL.000_to_100">#REF!</definedName>
    <definedName name="CNL.010_to_250">#REF!</definedName>
    <definedName name="CNL.140_to_325">#REF!</definedName>
    <definedName name="CNL_000_to_140">#REF!</definedName>
    <definedName name="CNL_014_to_114">#REF!</definedName>
    <definedName name="CNL_435_to_441">#REF!</definedName>
    <definedName name="coco">[24]Source!$H$9</definedName>
    <definedName name="Coco_lumber" localSheetId="0">[3]Source!$J$9</definedName>
    <definedName name="Coco_lumber">[4]Source!$J$9</definedName>
    <definedName name="Coco_trunks" localSheetId="0">[3]Source!$J$8</definedName>
    <definedName name="Coco_trunks">[4]Source!$J$8</definedName>
    <definedName name="Comp150.T">'[12]BACOLOD RENTAL RATES'!#REF!</definedName>
    <definedName name="Comp350.T">'[12]BACOLOD RENTAL RATES'!#REF!</definedName>
    <definedName name="Comp500.T">'[12]BACOLOD RENTAL RATES'!#REF!</definedName>
    <definedName name="Compactor12hp.T">'[12]BACOLOD RENTAL RATES'!#REF!</definedName>
    <definedName name="Compo_1">#REF!</definedName>
    <definedName name="Compo_4">#REF!</definedName>
    <definedName name="Compo_9">#REF!</definedName>
    <definedName name="ConcCtr30.T">'[12]BACOLOD RENTAL RATES'!#REF!</definedName>
    <definedName name="ConcPaver120hp.T">'[12]BACOLOD RENTAL RATES'!#REF!</definedName>
    <definedName name="ConcPlant30.T">'[12]BACOLOD RENTAL RATES'!#REF!</definedName>
    <definedName name="ConcPlant40.T">'[12]BACOLOD RENTAL RATES'!#REF!</definedName>
    <definedName name="ConcPlant60.T">'[12]BACOLOD RENTAL RATES'!#REF!</definedName>
    <definedName name="ConcPump40.T">'[12]BACOLOD RENTAL RATES'!#REF!</definedName>
    <definedName name="ConcPump45.T">'[12]BACOLOD RENTAL RATES'!#REF!</definedName>
    <definedName name="concrete_cutter">[20]Source!$B$44</definedName>
    <definedName name="concrete_epoxy">#REF!</definedName>
    <definedName name="concretemixer" localSheetId="0">[14]Source!$G$18</definedName>
    <definedName name="concretemixer">[15]Source!$G$18</definedName>
    <definedName name="concretesaw">[20]Source!$F$18</definedName>
    <definedName name="concretevibrator" localSheetId="0">[14]Source!$F$19</definedName>
    <definedName name="concretevibrator">[15]Source!$F$19</definedName>
    <definedName name="CostData">#REF!</definedName>
    <definedName name="CostData_6">#REF!</definedName>
    <definedName name="CostData_7">#REF!</definedName>
    <definedName name="CostData_8">#REF!</definedName>
    <definedName name="CostData_9">#REF!</definedName>
    <definedName name="Costypes">[11]CCenter!$F$126:$F$143</definedName>
    <definedName name="Costypes_4">[25]CCenter!$F$126:$F$143</definedName>
    <definedName name="Costypes_6">[26]Manpower!$F$126:$F$143</definedName>
    <definedName name="Costypes_7">[26]Manpower!$F$126:$F$143</definedName>
    <definedName name="Costypes_8">[26]Manpower!$F$126:$F$143</definedName>
    <definedName name="Costypes_9">[19]CCenter!$F$126:$F$143</definedName>
    <definedName name="Cotabato">#REF!</definedName>
    <definedName name="covering">#REF!</definedName>
    <definedName name="Crane">#REF!</definedName>
    <definedName name="crane_16_20_tons">#REF!</definedName>
    <definedName name="crane_35_tons">#REF!</definedName>
    <definedName name="crane_with_drop_ball">#REF!</definedName>
    <definedName name="Crane10t.T">'[12]BACOLOD RENTAL RATES'!#REF!</definedName>
    <definedName name="Crane120t.T">'[12]BACOLOD RENTAL RATES'!#REF!</definedName>
    <definedName name="Crane15t.T">'[12]BACOLOD RENTAL RATES'!#REF!</definedName>
    <definedName name="Crane20t.T">'[12]BACOLOD RENTAL RATES'!#REF!</definedName>
    <definedName name="Crane25t.T">'[12]BACOLOD RENTAL RATES'!#REF!</definedName>
    <definedName name="Crane2t.T">'[12]BACOLOD RENTAL RATES'!#REF!</definedName>
    <definedName name="crane35tons">#REF!</definedName>
    <definedName name="Crane40t.T">'[12]BACOLOD RENTAL RATES'!#REF!</definedName>
    <definedName name="Crane5t.T">'[12]BACOLOD RENTAL RATES'!#REF!</definedName>
    <definedName name="Crane60t.T">'[12]BACOLOD RENTAL RATES'!#REF!</definedName>
    <definedName name="crane60tons" localSheetId="0">[14]Source!$G$23</definedName>
    <definedName name="crane60tons">[15]Source!$G$23</definedName>
    <definedName name="crane80tons">#REF!</definedName>
    <definedName name="Crawler_Crane" localSheetId="0">[1]Source!$B$26</definedName>
    <definedName name="Crawler_Crane">[2]Source!$B$26</definedName>
    <definedName name="Crawler_Crane_80_tons">#REF!</definedName>
    <definedName name="cs">#REF!</definedName>
    <definedName name="cuting_outfit" localSheetId="0">[9]Source!$B$40</definedName>
    <definedName name="cuting_outfit">[10]Source!$B$40</definedName>
    <definedName name="Cutter50.T">'[12]BACOLOD RENTAL RATES'!#REF!</definedName>
    <definedName name="CVibrator" localSheetId="0">[3]Source!$B$12</definedName>
    <definedName name="CVibrator">[4]Source!$B$12</definedName>
    <definedName name="CWNails" localSheetId="0">[3]Source!$J$12</definedName>
    <definedName name="CWNails">[4]Source!$J$12</definedName>
    <definedName name="D">[27]B!#REF!</definedName>
    <definedName name="DAM_1_TL_CST">#REF!</definedName>
    <definedName name="DAM_2_TL_CST">#REF!</definedName>
    <definedName name="Dates">OFFSET([11]Manpower!$D$5:$D$5,0,0,COUNTA([11]Manpower!$D$3:$D$4012),1)</definedName>
    <definedName name="Dates_4">OFFSET([25]Manpower!$D$5:$D$5,0,0,COUNTA([25]Manpower!$D$3:$D$4011),1)</definedName>
    <definedName name="Dates_6">OFFSET([28]Manpower!$D$5:$D$5,0,0,COUNTA([28]Manpower!$D$3:$D$4011),1)</definedName>
    <definedName name="Dates_7">OFFSET([28]Manpower!$D$5:$D$5,0,0,COUNTA([28]Manpower!$D$3:$D$4011),1)</definedName>
    <definedName name="Dates_8">OFFSET([28]Manpower!$D$5:$D$5,0,0,COUNTA([28]Manpower!$D$3:$D$4011),1)</definedName>
    <definedName name="Dates_9">OFFSET([19]Manpower!$D$5:$D$5,0,0,COUNTA([19]Manpower!$D$3:$D$4011),1)</definedName>
    <definedName name="dave">#REF!</definedName>
    <definedName name="dd">'[29]Unit Cost'!$D$9</definedName>
    <definedName name="delabayan">[11]Menu!$C$3:$C$1000</definedName>
    <definedName name="delabayan_4">[25]Menu!$C$3:$C$1000</definedName>
    <definedName name="delabayan_9">[30]Menu!$C$3:$C$1000</definedName>
    <definedName name="delbayan">[11]Menu!$B$3:$B$423</definedName>
    <definedName name="delbayan_4">[25]Menu!$B$3:$B$423</definedName>
    <definedName name="delbayan_9">[30]Menu!$B$3:$B$423</definedName>
    <definedName name="desanding_machine">#REF!</definedName>
    <definedName name="dew">[17]Source!$H$39</definedName>
    <definedName name="dgdgdgd">#REF!</definedName>
    <definedName name="DHammer" localSheetId="0">[1]Source!$B$17</definedName>
    <definedName name="DHammer">[2]Source!$B$17</definedName>
    <definedName name="Diesel">#REF!</definedName>
    <definedName name="DLI103StrExc">#REF!</definedName>
    <definedName name="DLI404RSB">#REF!</definedName>
    <definedName name="DLI404RSBQTO">#REF!</definedName>
    <definedName name="DLI407ConcStr">#REF!</definedName>
    <definedName name="DLISumm">#REF!</definedName>
    <definedName name="DLO103StrExc">#REF!</definedName>
    <definedName name="DLO404RSB">#REF!</definedName>
    <definedName name="DLO404RSBQTO">#REF!</definedName>
    <definedName name="DLO407ConcStr">#REF!</definedName>
    <definedName name="DLOSumm">#REF!</definedName>
    <definedName name="DoubleInlet">#REF!</definedName>
    <definedName name="DoubleOutlet">#REF!</definedName>
    <definedName name="Drain_Pipes">#REF!</definedName>
    <definedName name="Drill115.T">'[12]BACOLOD RENTAL RATES'!#REF!</definedName>
    <definedName name="Driver">#REF!</definedName>
    <definedName name="drop_ball" localSheetId="0">[9]Source!$B$33</definedName>
    <definedName name="drop_ball">[10]Source!$B$33</definedName>
    <definedName name="drophammer">#REF!</definedName>
    <definedName name="dsdf">[11]Materials!$D$9:$D$2180</definedName>
    <definedName name="dsdf_4">[25]Materials!$D$9:$D$2193</definedName>
    <definedName name="dsdf_6">[31]Materials!$D$9:$D$2178</definedName>
    <definedName name="dsdf_7">[31]Materials!$D$9:$D$2178</definedName>
    <definedName name="dsdf_8">[31]Materials!$D$9:$D$2178</definedName>
    <definedName name="dsdf_9">[30]Materials!$D$9:$D$2175</definedName>
    <definedName name="dsfg">#REF!</definedName>
    <definedName name="DT10m3.T">'[12]BACOLOD RENTAL RATES'!#REF!</definedName>
    <definedName name="DT5m3.T">'[12]BACOLOD RENTAL RATES'!#REF!</definedName>
    <definedName name="DT8m3.T">'[12]BACOLOD RENTAL RATES'!#REF!</definedName>
    <definedName name="dumptruck" localSheetId="0">[14]Source!$G$26</definedName>
    <definedName name="dumptruck">[15]Source!$G$26</definedName>
    <definedName name="duro_60_elastomeric_pad_400x500x40">#REF!</definedName>
    <definedName name="duro_60_elastomeric_pad_400x500x50">#REF!</definedName>
    <definedName name="duro_60_elastomeric_pad_660x550x30">#REF!</definedName>
    <definedName name="e">[32]Menu!$E$104:$E$110</definedName>
    <definedName name="e_9">[30]Menu!$E$104:$E$110</definedName>
    <definedName name="eb" localSheetId="0">'[7]Unit Cost'!$E$21</definedName>
    <definedName name="eb">'[8]Unit Cost'!$E$21</definedName>
    <definedName name="ece" localSheetId="0">'[7]Unit Cost'!#REF!</definedName>
    <definedName name="ece">'[8]Unit Cost'!#REF!</definedName>
    <definedName name="electric_bar_cutter" localSheetId="0">[9]Source!$B$32</definedName>
    <definedName name="electric_bar_cutter">[10]Source!$B$32</definedName>
    <definedName name="electrician">#REF!</definedName>
    <definedName name="embankment">#REF!</definedName>
    <definedName name="Embankment_Materials">#REF!</definedName>
    <definedName name="Epoxy_Resin_Bonding_Mortar" localSheetId="0">[3]Source!$J$36</definedName>
    <definedName name="Epoxy_Resin_Bonding_Mortar">[4]Source!$J$36</definedName>
    <definedName name="equipm">[32]Menu!$C$3:$C$1000</definedName>
    <definedName name="equipm_9">[30]Menu!$C$3:$C$1000</definedName>
    <definedName name="Equipment">[11]Equipment!$D$8:$D$135</definedName>
    <definedName name="Equipment_4">[25]Equipment!$D$8:$D$135</definedName>
    <definedName name="Equipment_9">[33]Equipment!$D$8:$D$135</definedName>
    <definedName name="Equipmentnew">[11]Equipment!$D$10:$D$213</definedName>
    <definedName name="Equipmentnew_4">[25]Equipment!$D$10:$D$213</definedName>
    <definedName name="Equipmentnew_6">[28]Equipment!$D$10:$D$213</definedName>
    <definedName name="Equipmentnew_7">[28]Equipment!$D$10:$D$213</definedName>
    <definedName name="Equipmentnew_8">[28]Equipment!$D$10:$D$213</definedName>
    <definedName name="Equipmentnew_9">[19]Equipment!$D$10:$D$213</definedName>
    <definedName name="EQWE" localSheetId="0">'[34]Unit Cost'!#REF!</definedName>
    <definedName name="EQWE">'[34]Unit Cost'!#REF!</definedName>
    <definedName name="eqweqweqwerwer" localSheetId="0">#REF!</definedName>
    <definedName name="eqweqweqwerwer">#REF!</definedName>
    <definedName name="ere" localSheetId="0">'[7]Unit Cost'!$E$20</definedName>
    <definedName name="ere">'[8]Unit Cost'!$E$20</definedName>
    <definedName name="excel" localSheetId="0">#REF!</definedName>
    <definedName name="excel">#REF!</definedName>
    <definedName name="Excel_BuiltIn_Print_Area_1_1" localSheetId="0">#REF!</definedName>
    <definedName name="Excel_BuiltIn_Print_Area_1_1">#REF!</definedName>
    <definedName name="Excel_BuiltIn_Print_Area_1_1_1" localSheetId="0">#REF!</definedName>
    <definedName name="Excel_BuiltIn_Print_Area_1_1_1">#REF!</definedName>
    <definedName name="Excel_BuiltIn_Print_Area_1_1_11" localSheetId="0">#REF!</definedName>
    <definedName name="Excel_BuiltIn_Print_Area_1_1_11">#REF!</definedName>
    <definedName name="Excel_BuiltIn_Print_Area_10_1" localSheetId="0">#REF!</definedName>
    <definedName name="Excel_BuiltIn_Print_Area_10_1">#REF!</definedName>
    <definedName name="Excel_BuiltIn_Print_Area_4" localSheetId="0">#REF!</definedName>
    <definedName name="Excel_BuiltIn_Print_Area_4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1" localSheetId="0">#REF!</definedName>
    <definedName name="Excel_BuiltIn_Print_Area_4_1_11">#REF!</definedName>
    <definedName name="Excel_BuiltIn_Print_Area_5" localSheetId="0">#REF!</definedName>
    <definedName name="Excel_BuiltIn_Print_Area_5">#REF!</definedName>
    <definedName name="Excel_BuiltIn_Print_Area_5_1" localSheetId="0">#REF!</definedName>
    <definedName name="Excel_BuiltIn_Print_Area_5_1">#REF!</definedName>
    <definedName name="excel_builtin_print_area_5_1_11" localSheetId="0">#REF!</definedName>
    <definedName name="excel_builtin_print_area_5_1_11">#REF!</definedName>
    <definedName name="Excel_BuiltIn_Print_Area_6_1" localSheetId="0">#REF!</definedName>
    <definedName name="Excel_BuiltIn_Print_Area_6_1">#REF!</definedName>
    <definedName name="Excel_BuiltIn_Print_Area_6_1_1" localSheetId="0">#REF!</definedName>
    <definedName name="Excel_BuiltIn_Print_Area_6_1_1">#REF!</definedName>
    <definedName name="Excel_BuiltIn_Print_Area_6_1_11" localSheetId="0">#REF!</definedName>
    <definedName name="Excel_BuiltIn_Print_Area_6_1_11">#REF!</definedName>
    <definedName name="Excel_BuiltIn_Print_Area_8_1" localSheetId="0">#REF!</definedName>
    <definedName name="Excel_BuiltIn_Print_Area_8_1">#REF!</definedName>
    <definedName name="Excel_BuiltIn_Print_Area_8_1_11" localSheetId="0">#REF!</definedName>
    <definedName name="Excel_BuiltIn_Print_Area_8_1_11">#REF!</definedName>
    <definedName name="f">#REF!</definedName>
    <definedName name="fdgdg">#REF!</definedName>
    <definedName name="fhtf">#REF!</definedName>
    <definedName name="Filter_Cloth">#REF!</definedName>
    <definedName name="flared">'[35]CALC.'!$N$81:$W$86</definedName>
    <definedName name="Footbridge">#REF!</definedName>
    <definedName name="forklift" localSheetId="0">[14]Source!$G$27</definedName>
    <definedName name="forklift">[15]Source!$G$27</definedName>
    <definedName name="Formlumber" localSheetId="0">[3]Source!$J$10</definedName>
    <definedName name="Formlumber">[4]Source!$J$10</definedName>
    <definedName name="Fruit">[36]AutoList!$D$10:$D$2101</definedName>
    <definedName name="Fruit_4">[37]AutoList!$D$10:$D$2101</definedName>
    <definedName name="Fruit_6">[38]AutoList!$D$10:$D$2101</definedName>
    <definedName name="Fruit_7">[38]AutoList!$D$10:$D$2101</definedName>
    <definedName name="Fruit_8">[38]AutoList!$D$10:$D$2101</definedName>
    <definedName name="Fruit_9">[39]AutoList!$D$10:$D$2101</definedName>
    <definedName name="Full_Cost">OFFSET([11]Equipment!$D$6,0,0,COUNTA([11]Equipment!$D$6:$D$3998),1)</definedName>
    <definedName name="Full_Cost_4">OFFSET([25]Equipment!$D$6,0,0,COUNTA([25]Equipment!$D$6:$D$3998),1)</definedName>
    <definedName name="Full_Cost_6">OFFSET([28]Equipment!$D$6,0,0,COUNTA([28]Equipment!$D$6:$D$3998),1)</definedName>
    <definedName name="Full_Cost_7">OFFSET([28]Equipment!$D$6,0,0,COUNTA([28]Equipment!$D$6:$D$3998),1)</definedName>
    <definedName name="Full_Cost_8">OFFSET([28]Equipment!$D$6,0,0,COUNTA([28]Equipment!$D$6:$D$3998),1)</definedName>
    <definedName name="Full_Cost_9">OFFSET([19]Equipment!$D$6,0,0,COUNTA([19]Equipment!$D$6:$D$3998),1)</definedName>
    <definedName name="G">[40]Source!$G$14</definedName>
    <definedName name="ga_26_x_.80m_x_3m_corr_gi_roofing_sht">#REF!</definedName>
    <definedName name="ga_26_x_.90m_x_2.4_plain_gi_shts">#REF!</definedName>
    <definedName name="Gasoline">#REF!</definedName>
    <definedName name="Gen300kw.T">'[12]BACOLOD RENTAL RATES'!#REF!</definedName>
    <definedName name="Gen600kw.T">'[12]BACOLOD RENTAL RATES'!#REF!</definedName>
    <definedName name="Gen75kw.T">'[12]BACOLOD RENTAL RATES'!#REF!</definedName>
    <definedName name="Generator_set" localSheetId="0">[3]Source!$B$20</definedName>
    <definedName name="Generator_set">[4]Source!$B$20</definedName>
    <definedName name="generatorset" localSheetId="0">[14]Source!$F$28</definedName>
    <definedName name="generatorset">[15]Source!$F$28</definedName>
    <definedName name="GF">#REF!</definedName>
    <definedName name="ghg">#REF!</definedName>
    <definedName name="Gi_elbow_150mm_x_45_deg.">#REF!</definedName>
    <definedName name="Grader125hp.T">'[12]BACOLOD RENTAL RATES'!#REF!</definedName>
    <definedName name="Grader135hp.T">'[12]BACOLOD RENTAL RATES'!#REF!</definedName>
    <definedName name="h">#REF!</definedName>
    <definedName name="Hammer3700kg.T">'[12]BACOLOD RENTAL RATES'!#REF!</definedName>
    <definedName name="Hammer7500kg.T">'[12]BACOLOD RENTAL RATES'!#REF!</definedName>
    <definedName name="HEO">#REF!</definedName>
    <definedName name="hi">[41]Numbers!$D$10:$D$215</definedName>
    <definedName name="Hp_300_x300_x_12mm">#REF!</definedName>
    <definedName name="HPiles305x12m">#REF!</definedName>
    <definedName name="HPiles305x9m">#REF!</definedName>
    <definedName name="hry">[42]Manpower!$B$7:$B$1200</definedName>
    <definedName name="hu">[42]Manpower!$D$7:$D$73</definedName>
    <definedName name="imburnal">OFFSET('[43]Scope of Works'!$B$5,0,0,COUNTA('[43]Scope of Works'!$B$5:$B$4103),1)</definedName>
    <definedName name="InandOut">#REF!</definedName>
    <definedName name="ind">[11]CCenter!$F$110:$F$122</definedName>
    <definedName name="INdcost">[11]CCenter!$F$110:$F$122</definedName>
    <definedName name="INdcost_4">[25]CCenter!$F$110:$F$123</definedName>
    <definedName name="INdcost_6">[28]CCenter!$F$110:$F$122</definedName>
    <definedName name="INdcost_7">[28]CCenter!$F$110:$F$122</definedName>
    <definedName name="INdcost_8">[28]CCenter!$F$110:$F$122</definedName>
    <definedName name="INdcost_9">[19]CCenter!$F$110:$F$123</definedName>
    <definedName name="INDEX">#REF!</definedName>
    <definedName name="Infra">[11]CCenter!$B$81:$B$88</definedName>
    <definedName name="Infra.1">[18]CCenter!$B$81:$B$88</definedName>
    <definedName name="Infra_4">[25]CCenter!$B$81:$B$88</definedName>
    <definedName name="Infra_6">[28]CCenter!$B$81:$B$88</definedName>
    <definedName name="Infra_7">[28]CCenter!$B$81:$B$88</definedName>
    <definedName name="Infra_8">[28]CCenter!$B$81:$B$88</definedName>
    <definedName name="Infra_9">[19]CCenter!$B$81:$B$88</definedName>
    <definedName name="InOutSummary">#REF!</definedName>
    <definedName name="io">[32]Materials!$D$9:$D$2417</definedName>
    <definedName name="io_9">[30]Materials!$D$9:$D$2417</definedName>
    <definedName name="ivy">'[16]BACOLOD RENTAL RATES'!#REF!</definedName>
    <definedName name="Jack_Hammer" localSheetId="0">[9]Source!$B$19</definedName>
    <definedName name="Jack_Hammer">[10]Source!$B$19</definedName>
    <definedName name="jack_hammer_with_compressor">#REF!</definedName>
    <definedName name="jen" localSheetId="0">#REF!</definedName>
    <definedName name="jen">#REF!</definedName>
    <definedName name="jk">#REF!</definedName>
    <definedName name="JkHammer15kg.T">'[12]BACOLOD RENTAL RATES'!#REF!</definedName>
    <definedName name="Laborers">#REF!</definedName>
    <definedName name="LD1103StrExc">#REF!</definedName>
    <definedName name="LD1504GrRpRp">#REF!</definedName>
    <definedName name="LD1Summ">#REF!</definedName>
    <definedName name="LD2103StrExc">#REF!</definedName>
    <definedName name="LD2504GrRpRp">#REF!</definedName>
    <definedName name="LD2Summ">#REF!</definedName>
    <definedName name="LD3103StrExc">#REF!</definedName>
    <definedName name="LD3504GrRpRp">#REF!</definedName>
    <definedName name="LD3Summ">#REF!</definedName>
    <definedName name="LD4103StrExc">#REF!</definedName>
    <definedName name="LD4504GrRpRp">#REF!</definedName>
    <definedName name="LD4Summ">#REF!</definedName>
    <definedName name="LDSumm5.1">#REF!</definedName>
    <definedName name="LDSumm5.2">#REF!</definedName>
    <definedName name="LDSumm5.3">#REF!</definedName>
    <definedName name="LDSumm5.4">#REF!</definedName>
    <definedName name="LDSumm5.5">#REF!</definedName>
    <definedName name="LDSummary">#REF!</definedName>
    <definedName name="LEO">#REF!</definedName>
    <definedName name="LinedDitches">#REF!</definedName>
    <definedName name="Loader" localSheetId="0">[44]Source!$B$4</definedName>
    <definedName name="Loader">[45]Source!$B$4</definedName>
    <definedName name="Loader.76m3.T">'[12]BACOLOD RENTAL RATES'!#REF!</definedName>
    <definedName name="Loader.83m3.T">'[12]BACOLOD RENTAL RATES'!#REF!</definedName>
    <definedName name="Loader.99m3.T">'[12]BACOLOD RENTAL RATES'!#REF!</definedName>
    <definedName name="Loader1.3m3.T">'[12]BACOLOD RENTAL RATES'!#REF!</definedName>
    <definedName name="Loader1.53m3.T">'[12]BACOLOD RENTAL RATES'!#REF!</definedName>
    <definedName name="Loader1.76m3.T">'[12]BACOLOD RENTAL RATES'!#REF!</definedName>
    <definedName name="Loader2.29m3.T">'[12]BACOLOD RENTAL RATES'!#REF!</definedName>
    <definedName name="Ltype">'[35]CALC.'!$N$66:$T$71</definedName>
    <definedName name="Manpower">[18]Manpower!$D$7:$D$63</definedName>
    <definedName name="Manpower_4">[25]Manpower!$D$7:$D$63</definedName>
    <definedName name="Manpower_9">[19]Manpower!$D$7:$D$63</definedName>
    <definedName name="MANPOWERN">[11]Manpower!$D$5:$D$54</definedName>
    <definedName name="MANPOWERN_4">[25]Manpower!$D$5:$D$53</definedName>
    <definedName name="MANPOWERN_6">[26]Manpower!$D$5:$D$53</definedName>
    <definedName name="MANPOWERN_7">[26]Manpower!$D$5:$D$53</definedName>
    <definedName name="MANPOWERN_8">[26]Manpower!$D$5:$D$53</definedName>
    <definedName name="MANPOWERN_9">[19]Manpower!$D$5:$D$53</definedName>
    <definedName name="Manpowernew">[11]Manpower!$D$5:$D$54</definedName>
    <definedName name="Manpowernew_4">[25]Manpower!$D$5:$D$53</definedName>
    <definedName name="Manpowernew_6">[28]Manpower!$D$5:$D$53</definedName>
    <definedName name="Manpowernew_7">[28]Manpower!$D$5:$D$53</definedName>
    <definedName name="Manpowernew_8">[28]Manpower!$D$5:$D$53</definedName>
    <definedName name="Manpowernew_9">[19]Manpower!$D$5:$D$53</definedName>
    <definedName name="Marker1.2ltr.T">'[12]BACOLOD RENTAL RATES'!#REF!</definedName>
    <definedName name="Mason">#REF!</definedName>
    <definedName name="MATCODE">#REF!</definedName>
    <definedName name="Material_eng">#REF!</definedName>
    <definedName name="Materials">[11]Materials!$D$9:$D$2403</definedName>
    <definedName name="Materials_4">[25]Materials!$D$9:$D$2439</definedName>
    <definedName name="Materials_6">[26]Materials!$D$9:$D$2398</definedName>
    <definedName name="Materials_7">[26]Materials!$D$9:$D$2398</definedName>
    <definedName name="Materials_8">[26]Materials!$D$9:$D$2398</definedName>
    <definedName name="Materials_9">[19]Materials!$D$9:$D$2425</definedName>
    <definedName name="mATERIALS1">[46]Materials!$D$10:$D$3138</definedName>
    <definedName name="mATERIALS1_4">[47]Materials!$D$10:$D$3138</definedName>
    <definedName name="mATERIALS1_6">[48]Materials!$D$10:$D$3138</definedName>
    <definedName name="mATERIALS1_7">[48]Materials!$D$10:$D$3138</definedName>
    <definedName name="mATERIALS1_8">[48]Materials!$D$10:$D$3138</definedName>
    <definedName name="mATERIALS1_9">[47]Materials!$D$10:$D$3138</definedName>
    <definedName name="Materialsnew" localSheetId="0">[49]Materials!$D$9:$D$2185</definedName>
    <definedName name="Materialsnew">[50]Materials!$D$9:$D$2185</definedName>
    <definedName name="Materialsnew_4">[25]Materials!$D$9:$D$2421</definedName>
    <definedName name="Materialsnew_6">[28]Materials!$D$9:$D$2162</definedName>
    <definedName name="Materialsnew_7">[28]Materials!$D$9:$D$2162</definedName>
    <definedName name="Materialsnew_8">[28]Materials!$D$9:$D$2162</definedName>
    <definedName name="Materialsnew_9">[19]Materials!$D$9:$D$2396</definedName>
    <definedName name="matnew">[11]Materials!$D$9:$D$2182</definedName>
    <definedName name="matnew_6">[31]Materials!$D$9:$D$2182</definedName>
    <definedName name="matnew_7">[31]Materials!$D$9:$D$2182</definedName>
    <definedName name="matnew_8">[31]Materials!$D$9:$D$2182</definedName>
    <definedName name="matrixes">[51]Source!$J$68</definedName>
    <definedName name="mechanic">#REF!</definedName>
    <definedName name="mechanical_coupler">#REF!</definedName>
    <definedName name="Mixer1.T">'[12]BACOLOD RENTAL RATES'!#REF!</definedName>
    <definedName name="Mixer2.T">'[12]BACOLOD RENTAL RATES'!#REF!</definedName>
    <definedName name="Mixer3.T">'[12]BACOLOD RENTAL RATES'!#REF!</definedName>
    <definedName name="Mixer5m3.T">'[12]BACOLOD RENTAL RATES'!#REF!</definedName>
    <definedName name="mnmn">#REF!</definedName>
    <definedName name="Name">[11]Materials!$D$9:$D$726</definedName>
    <definedName name="Name_4">[25]Materials!$D$9:$D$991</definedName>
    <definedName name="Name_6">[28]Materials!$D$9:$D$737</definedName>
    <definedName name="Name_7">[28]Materials!$D$9:$D$737</definedName>
    <definedName name="Name_8">[28]Materials!$D$9:$D$737</definedName>
    <definedName name="Name_9">[19]Materials!$D$9:$D$964</definedName>
    <definedName name="newucdb">'[52]new ucdb'!$C$2:$S$478</definedName>
    <definedName name="nm">#REF!</definedName>
    <definedName name="num">#REF!</definedName>
    <definedName name="num_6">#REF!</definedName>
    <definedName name="num_7">#REF!</definedName>
    <definedName name="num_8">#REF!</definedName>
    <definedName name="Numbers">'[53]Extracted Information'!$B$10:$B$436</definedName>
    <definedName name="Numbers_4">'[54]Extracted Information'!$B$10:$B$436</definedName>
    <definedName name="Numbers_6">'[28]Extracted Information'!$B$10:$B$436</definedName>
    <definedName name="Numbers_7">'[28]Extracted Information'!$B$10:$B$436</definedName>
    <definedName name="Numbers_8">'[28]Extracted Information'!$B$10:$B$436</definedName>
    <definedName name="Numbers_9">'[19]Extracted Information'!$B$10:$B$436</definedName>
    <definedName name="Numbersnew">[53]Numbers!$C$3:$C$1000</definedName>
    <definedName name="Numbersnew_4">[54]Numbers!$C$3:$C$1000</definedName>
    <definedName name="Numbersnew_6">[28]Numbers!$C$3:$C$1000</definedName>
    <definedName name="Numbersnew_7">[28]Numbers!$C$3:$C$1000</definedName>
    <definedName name="Numbersnew_8">[28]Numbers!$C$3:$C$1000</definedName>
    <definedName name="Numbersnew_9">[19]Numbers!$C$3:$C$1000</definedName>
    <definedName name="Numbersnew1">[53]Numbers!$B$3:$B$423</definedName>
    <definedName name="Numbersnew1_4">[54]Numbers!$B$3:$B$423</definedName>
    <definedName name="Numbersnew1_6">[28]Numbers!$B$3:$B$423</definedName>
    <definedName name="Numbersnew1_7">[28]Numbers!$B$3:$B$423</definedName>
    <definedName name="Numbersnew1_8">[28]Numbers!$B$3:$B$423</definedName>
    <definedName name="Numbersnew1_9">[19]Numbers!$B$3:$B$423</definedName>
    <definedName name="Numbersnew2">[53]Numbers!$D$3:$D$423</definedName>
    <definedName name="Numbersnew2_4">[54]Numbers!$D$3:$D$423</definedName>
    <definedName name="Numbersnew2_6">[28]Numbers!$D$3:$D$423</definedName>
    <definedName name="Numbersnew2_7">[28]Numbers!$D$3:$D$423</definedName>
    <definedName name="Numbersnew2_8">[28]Numbers!$D$3:$D$423</definedName>
    <definedName name="Numbersnew2_9">[19]Numbers!$D$3:$D$423</definedName>
    <definedName name="Numbersnew3">[53]Numbers!$E$3:$E$423</definedName>
    <definedName name="Numbersnew3_4">[54]Numbers!$E$3:$E$423</definedName>
    <definedName name="Numbersnew3_6">[28]Numbers!$E$3:$E$423</definedName>
    <definedName name="Numbersnew3_7">[28]Numbers!$E$3:$E$423</definedName>
    <definedName name="Numbersnew3_8">[28]Numbers!$E$3:$E$423</definedName>
    <definedName name="Numbersnew3_9">[19]Numbers!$E$3:$E$423</definedName>
    <definedName name="Numbersnew4">[53]Numbers!$F$3:$F$423</definedName>
    <definedName name="Numbersnew4_4">[54]Numbers!$F$3:$F$423</definedName>
    <definedName name="Numbersnew4_6">[28]Numbers!$F$3:$F$423</definedName>
    <definedName name="Numbersnew4_7">[28]Numbers!$F$3:$F$423</definedName>
    <definedName name="Numbersnew4_8">[28]Numbers!$F$3:$F$423</definedName>
    <definedName name="Numbersnew4_9">[19]Numbers!$F$3:$F$423</definedName>
    <definedName name="o">'[11]Scope of Works'!$B$7:$B$1184</definedName>
    <definedName name="o_4">'[25]Scope of Works'!$B$7:$B$1184</definedName>
    <definedName name="o_6">'[31]Scope of Works'!$B$7:$B$1184</definedName>
    <definedName name="o_7">'[31]Scope of Works'!$B$7:$B$1184</definedName>
    <definedName name="o_8">'[31]Scope of Works'!$B$7:$B$1184</definedName>
    <definedName name="o_9">'[30]Scope of Works'!$B$7:$B$1184</definedName>
    <definedName name="oo">#REF!</definedName>
    <definedName name="oxygen" localSheetId="0">[9]Source!$L$56</definedName>
    <definedName name="oxygen">[10]Source!$L$56</definedName>
    <definedName name="payitems">'[55]PAY ITEMS'!$A$3:$D$1421</definedName>
    <definedName name="payloader">#REF!</definedName>
    <definedName name="pccp" localSheetId="0">'[7]Unit Cost'!$E$61</definedName>
    <definedName name="pccp">'[8]Unit Cost'!$E$61</definedName>
    <definedName name="Pcement" localSheetId="0">[3]Source!$J$4</definedName>
    <definedName name="Pcement">[4]Source!$J$4</definedName>
    <definedName name="PCompactor">[20]Source!$B$8</definedName>
    <definedName name="PEJF">#REF!</definedName>
    <definedName name="Percent_Paid">OFFSET('[11]Scope of Works'!$B$8,0,0,COUNTA('[11]Scope of Works'!$B$8:$B$4135),1)</definedName>
    <definedName name="Percent_Paid_4">OFFSET('[25]Scope of Works'!$B$8,0,0,COUNTA('[25]Scope of Works'!$B$8:$B$4166),1)</definedName>
    <definedName name="Percent_Paid_6">OFFSET('[28]Scope of Works'!$B$8,0,0,COUNTA('[28]Scope of Works'!$B$8:$B$4137),1)</definedName>
    <definedName name="Percent_Paid_7">OFFSET('[28]Scope of Works'!$B$8,0,0,COUNTA('[28]Scope of Works'!$B$8:$B$4137),1)</definedName>
    <definedName name="Percent_Paid_8">OFFSET('[28]Scope of Works'!$B$8,0,0,COUNTA('[28]Scope of Works'!$B$8:$B$4137),1)</definedName>
    <definedName name="Percent_Paid_9">OFFSET('[19]Scope of Works'!$B$8,0,0,COUNTA('[19]Scope of Works'!$B$8:$B$4155),1)</definedName>
    <definedName name="PHammer" localSheetId="0">[1]Source!$B$16</definedName>
    <definedName name="PHammer">[2]Source!$B$16</definedName>
    <definedName name="Pile_Shoe" localSheetId="0">[3]Source!$J$35</definedName>
    <definedName name="Pile_Shoe">[4]Source!$J$35</definedName>
    <definedName name="pilehammer">#REF!</definedName>
    <definedName name="platecompactor">#REF!</definedName>
    <definedName name="Plywood12" localSheetId="0">[1]Source!$J$32</definedName>
    <definedName name="Plywood12">[2]Source!$J$32</definedName>
    <definedName name="Plywood14" localSheetId="0">[3]Source!$J$11</definedName>
    <definedName name="Plywood14">[4]Source!$J$11</definedName>
    <definedName name="pneumatictireroller">[20]Source!$G$34</definedName>
    <definedName name="portable">#REF!</definedName>
    <definedName name="Portland_Cement" localSheetId="0">[3]Source!$J$4</definedName>
    <definedName name="Portland_Cement">[4]Source!$J$4</definedName>
    <definedName name="PPE_435_to_441">#REF!</definedName>
    <definedName name="PPE_CR_129_to_133">#REF!</definedName>
    <definedName name="PPE_CR_310_to_315">'[56]Det. Estimate'!#REF!</definedName>
    <definedName name="PPE_EL_435_to_441">#REF!</definedName>
    <definedName name="precast_prestressed_concrete_piles">#REF!</definedName>
    <definedName name="precast_prestressed_concrete_piles_450x_450">#REF!</definedName>
    <definedName name="_xlnm.Print_Area" localSheetId="0">ABC.!$A$1:$M$79</definedName>
    <definedName name="_xlnm.Print_Titles" localSheetId="0">ABC.!$5:$10</definedName>
    <definedName name="PrintDetal">#REF!</definedName>
    <definedName name="PrintDetal_4">#REF!</definedName>
    <definedName name="PrintDetal_9">#REF!</definedName>
    <definedName name="Projeclist">[11]Equipment!$C$6:$C$562</definedName>
    <definedName name="Projeclist_4">[25]Equipment!$C$6:$C$562</definedName>
    <definedName name="Projeclist_6">'[28]Project List'!$C$6:$C$557</definedName>
    <definedName name="Projeclist_7">'[28]Project List'!$C$6:$C$557</definedName>
    <definedName name="Projeclist_8">'[28]Project List'!$C$6:$C$557</definedName>
    <definedName name="Projeclist_9">[30]Equipment!$C$6:$C$562</definedName>
    <definedName name="Project_Eng">#REF!</definedName>
    <definedName name="Project_List">'[11]Project List'!$C$6:$C$552</definedName>
    <definedName name="Project_List_4">'[25]Project List'!$C$6:$C$552</definedName>
    <definedName name="Project_List_6">'[28]Project List'!$C$6:$C$555</definedName>
    <definedName name="Project_List_7">'[28]Project List'!$C$6:$C$555</definedName>
    <definedName name="Project_List_8">'[28]Project List'!$C$6:$C$555</definedName>
    <definedName name="Project_List_9">'[19]Project List'!$C$6:$C$552</definedName>
    <definedName name="Projectlists">'[11]Project List'!$C$6:$C$554</definedName>
    <definedName name="Projectlists_4">'[25]Project List'!$C$6:$C$554</definedName>
    <definedName name="Projectlists_9">'[30]Project List'!$C$6:$C$554</definedName>
    <definedName name="projeng">#REF!</definedName>
    <definedName name="PSCG_25meters">#REF!</definedName>
    <definedName name="PSCG_30meters">#REF!</definedName>
    <definedName name="PSCG_40meters">#REF!</definedName>
    <definedName name="PSCG_TYPE_IV_B_20meters">#REF!</definedName>
    <definedName name="Pump1750gpm.T">'[12]BACOLOD RENTAL RATES'!#REF!</definedName>
    <definedName name="Pump250gpm.T">'[12]BACOLOD RENTAL RATES'!#REF!</definedName>
    <definedName name="Pump650gpm.T">'[12]BACOLOD RENTAL RATES'!#REF!</definedName>
    <definedName name="q">[57]Manpower!$F$126:$F$143</definedName>
    <definedName name="q_9">[58]Manpower!$F$126:$F$143</definedName>
    <definedName name="QTY">'[59]Compo Bill'!$B$2:$M$98</definedName>
    <definedName name="QTY_9">'[60]Compo Bill'!$B$2:$M$98</definedName>
    <definedName name="qwewqeewerewr" localSheetId="0">#REF!</definedName>
    <definedName name="qwewqeewerewr">#REF!</definedName>
    <definedName name="RCPC">#REF!</definedName>
    <definedName name="RCPC_72__diameter">[13]Source!$H$41</definedName>
    <definedName name="RCPC_72__Ø">#REF!</definedName>
    <definedName name="RCPCSummary">#REF!</definedName>
    <definedName name="RCTABLE">#REF!</definedName>
    <definedName name="ree.">'[11]Project List'!$C$6:$C$562</definedName>
    <definedName name="ree._4">'[25]Project List'!$C$6:$C$562</definedName>
    <definedName name="ree._9">'[30]Project List'!$C$6:$C$562</definedName>
    <definedName name="Reinforcing_Steel_bars" localSheetId="0">[3]Source!$J$41</definedName>
    <definedName name="Reinforcing_Steel_bars">[4]Source!$J$41</definedName>
    <definedName name="Reinforcing_Steel_bars_grade_40" localSheetId="0">[1]Source!$J$41</definedName>
    <definedName name="Reinforcing_Steel_bars_grade_40">[2]Source!$J$41</definedName>
    <definedName name="Reinforcing_Steel_bars_grade_60" localSheetId="0">[3]Source!$J$42</definedName>
    <definedName name="Reinforcing_Steel_bars_grade_60">[4]Source!$J$42</definedName>
    <definedName name="RetWalls1">#REF!</definedName>
    <definedName name="RetWalls2">#REF!</definedName>
    <definedName name="RetWalls3">#REF!</definedName>
    <definedName name="RetWalls4">#REF!</definedName>
    <definedName name="RetWalls5">#REF!</definedName>
    <definedName name="RGrader" localSheetId="0">[61]Source!$B$5</definedName>
    <definedName name="RGrader">[62]Source!$B$5</definedName>
    <definedName name="rho_Mcr">[63]Inputs!$I$113</definedName>
    <definedName name="rho_reqd">[63]Inputs!$I$98</definedName>
    <definedName name="rho_waiver">[63]Inputs!$G$115</definedName>
    <definedName name="Riggerman">#REF!</definedName>
    <definedName name="RMC_Class_A_4000_psi">#REF!</definedName>
    <definedName name="roadgrader">[20]Source!$G$35</definedName>
    <definedName name="roadroller">[20]Source!$G$36</definedName>
    <definedName name="RoadSurface">#REF!</definedName>
    <definedName name="Roller10t.T">'[12]BACOLOD RENTAL RATES'!#REF!</definedName>
    <definedName name="Roller25t.T">'[12]BACOLOD RENTAL RATES'!#REF!</definedName>
    <definedName name="Rotary_Drill_Rig_with_accessories">#REF!</definedName>
    <definedName name="rotarydrillrig">#REF!</definedName>
    <definedName name="RRoller" localSheetId="0">[61]Source!$B$6</definedName>
    <definedName name="RRoller">[62]Source!$B$6</definedName>
    <definedName name="RSB10x6">#REF!</definedName>
    <definedName name="RSB10x9">#REF!</definedName>
    <definedName name="RSB12x6">#REF!</definedName>
    <definedName name="RSB12x9">#REF!</definedName>
    <definedName name="RSB16x6">#REF!</definedName>
    <definedName name="RSB16x9">#REF!</definedName>
    <definedName name="RSB20x6">#REF!</definedName>
    <definedName name="RSB20x9">#REF!</definedName>
    <definedName name="RSB25x6">#REF!</definedName>
    <definedName name="RSB25x9">#REF!</definedName>
    <definedName name="RSB28x6">#REF!</definedName>
    <definedName name="RSB28x9">#REF!</definedName>
    <definedName name="RSB32x6">#REF!</definedName>
    <definedName name="RSB32x9">#REF!</definedName>
    <definedName name="RSB36x6">#REF!</definedName>
    <definedName name="RSB36x9">#REF!</definedName>
    <definedName name="RSSummary">#REF!</definedName>
    <definedName name="RW1Summary">#REF!</definedName>
    <definedName name="RW2Summary">#REF!</definedName>
    <definedName name="RW3Summary">#REF!</definedName>
    <definedName name="RW4Summary">#REF!</definedName>
    <definedName name="RW5Summary">#REF!</definedName>
    <definedName name="RWSumm">#REF!</definedName>
    <definedName name="RWSumm1">#REF!</definedName>
    <definedName name="RWSumm2">#REF!</definedName>
    <definedName name="RWSumm3">#REF!</definedName>
    <definedName name="RWSumm4">#REF!</definedName>
    <definedName name="RWSumm5">#REF!</definedName>
    <definedName name="RWSumm6">#REF!</definedName>
    <definedName name="s">'[11]Scope of Works'!$B$7:$B$1182</definedName>
    <definedName name="sadfsadf">#REF!</definedName>
    <definedName name="sbc" localSheetId="0">'[7]Unit Cost'!#REF!</definedName>
    <definedName name="sbc">'[8]Unit Cost'!#REF!</definedName>
    <definedName name="sc">[11]CCenter!$E$104:$E$110</definedName>
    <definedName name="sce" localSheetId="0">'[7]Unit Cost'!$E$8</definedName>
    <definedName name="sce">'[8]Unit Cost'!$E$8</definedName>
    <definedName name="Scope_4">#REF!</definedName>
    <definedName name="Scope_9">#REF!</definedName>
    <definedName name="ScopeClass">[11]CCenter!$E$104:$E$110</definedName>
    <definedName name="ScopeClass_4">[25]CCenter!$E$104:$E$110</definedName>
    <definedName name="ScopeClass_6">[28]CCenter!$E$104:$E$110</definedName>
    <definedName name="ScopeClass_7">[28]CCenter!$E$104:$E$110</definedName>
    <definedName name="ScopeClass_8">[28]CCenter!$E$104:$E$110</definedName>
    <definedName name="ScopeClass_9">[19]CCenter!$E$104:$E$110</definedName>
    <definedName name="scopeofwork">'[11]Scope of Works'!$B$7:$B$1091</definedName>
    <definedName name="scopeofwork_4">'[25]Scope of Works'!$B$7:$B$1290</definedName>
    <definedName name="scopeofwork_6">'[26]Scope of Works'!$B$7:$B$1182</definedName>
    <definedName name="scopeofwork_7">'[26]Scope of Works'!$B$7:$B$1182</definedName>
    <definedName name="scopeofwork_8">'[26]Scope of Works'!$B$7:$B$1182</definedName>
    <definedName name="scopeofwork_9">'[19]Scope of Works'!$B$7:$B$1290</definedName>
    <definedName name="scopeofwork1">'[11]Scope of Works'!$B$7:$B$1182</definedName>
    <definedName name="scopeofwork1_4">'[25]Scope of Works'!$B$7:$B$1182</definedName>
    <definedName name="scopeofwork1_6">'[26]Scope of Works'!$B$7:$B$1182</definedName>
    <definedName name="scopeofwork1_7">'[26]Scope of Works'!$B$7:$B$1182</definedName>
    <definedName name="scopeofwork1_8">'[26]Scope of Works'!$B$7:$B$1182</definedName>
    <definedName name="scopeofwork1_9">'[19]Scope of Works'!$B$7:$B$1182</definedName>
    <definedName name="scopeofworks">'[32]Scope of Works'!$B$7:$B$1393</definedName>
    <definedName name="scopeofworks_4">'[25]Scope of Works'!$B$7:$B$1397</definedName>
    <definedName name="scopeofworks_9">'[19]Scope of Works'!$B$7:$B$1397</definedName>
    <definedName name="scopeofworksnew">'[11]Scope of Works'!$B$7:$B$1166</definedName>
    <definedName name="scopeofworksnew_4">'[25]Scope of Works'!$B$7:$B$1197</definedName>
    <definedName name="scopeofworksnew_6">'[28]Scope of Works'!$B$7:$B$1168</definedName>
    <definedName name="scopeofworksnew_7">'[28]Scope of Works'!$B$7:$B$1168</definedName>
    <definedName name="scopeofworksnew_8">'[28]Scope of Works'!$B$7:$B$1168</definedName>
    <definedName name="scopeofworksnew_9">'[19]Scope of Works'!$B$7:$B$1186</definedName>
    <definedName name="scopeorworks">'[32]Scope of Works'!$B$7:$B$1395</definedName>
    <definedName name="scopeorworks_4">'[25]Scope of Works'!$B$7:$B$1406</definedName>
    <definedName name="scopeorworks_9">'[19]Scope of Works'!$B$7:$B$1395</definedName>
    <definedName name="Scraper21m3.T">'[12]BACOLOD RENTAL RATES'!#REF!</definedName>
    <definedName name="sd">[18]Materials!$D$9:$D$2395</definedName>
    <definedName name="sd_9">[19]Materials!$D$9:$D$2395</definedName>
    <definedName name="sdffsdff">#REF!</definedName>
    <definedName name="sdfsdfhgj">'[64]BACOLOD RENTAL RATES'!#REF!</definedName>
    <definedName name="Sealer10hp.T">'[12]BACOLOD RENTAL RATES'!#REF!</definedName>
    <definedName name="servicetruck">[20]Source!$G$49</definedName>
    <definedName name="Shape">[65]Forms!$C$4:$C$20</definedName>
    <definedName name="sheet1">#REF!</definedName>
    <definedName name="sheet2">#REF!</definedName>
    <definedName name="Shovel1250hp.T">'[12]BACOLOD RENTAL RATES'!#REF!</definedName>
    <definedName name="Singleinlet">#REF!</definedName>
    <definedName name="SingleOutlet">#REF!</definedName>
    <definedName name="Size">[65]Forms!$A$4:$A$11</definedName>
    <definedName name="SLI103StrExc">#REF!</definedName>
    <definedName name="SLI404RSB">#REF!</definedName>
    <definedName name="SLI404RSBQTO">#REF!</definedName>
    <definedName name="SLI407ConcStr">#REF!</definedName>
    <definedName name="SLISumm">#REF!</definedName>
    <definedName name="Slo103StrExc">#REF!</definedName>
    <definedName name="SLO404RSB">#REF!</definedName>
    <definedName name="SLO404RSBQTO">#REF!</definedName>
    <definedName name="SLO407ConcStr">#REF!</definedName>
    <definedName name="SLOSumm">#REF!</definedName>
    <definedName name="sp" localSheetId="0">'[7]Unit Cost'!#REF!</definedName>
    <definedName name="sp">'[8]Unit Cost'!#REF!</definedName>
    <definedName name="SPECIAL">'[6]BACOLOD RENTAL RATES'!#REF!</definedName>
    <definedName name="Spillways1">#REF!</definedName>
    <definedName name="Spillways2">#REF!</definedName>
    <definedName name="Spillways3">#REF!</definedName>
    <definedName name="Spillways4">#REF!</definedName>
    <definedName name="Spillways5">#REF!</definedName>
    <definedName name="square_bar_20_x_20">#REF!</definedName>
    <definedName name="sre" localSheetId="0">'[7]Unit Cost'!$E$11</definedName>
    <definedName name="sre">'[8]Unit Cost'!$E$11</definedName>
    <definedName name="ssad" localSheetId="0">#REF!</definedName>
    <definedName name="ssad">#REF!</definedName>
    <definedName name="stake_truck_cargo">#REF!</definedName>
    <definedName name="staketruckcargo">#REF!</definedName>
    <definedName name="steel_plate_10mmthk">#REF!</definedName>
    <definedName name="steel_plate_12mmthk">#REF!</definedName>
    <definedName name="steel_plate_9mm_thk">#REF!</definedName>
    <definedName name="steel_plate_bender">#REF!</definedName>
    <definedName name="Steel_spike">#REF!</definedName>
    <definedName name="Steelman">#REF!</definedName>
    <definedName name="steelroadroller">[20]Source!$G$40</definedName>
    <definedName name="straight">'[35]CALC.'!$N$93:$W$98</definedName>
    <definedName name="StripMach10hp.T">'[12]BACOLOD RENTAL RATES'!#REF!</definedName>
    <definedName name="submersiblepumps">#REF!</definedName>
    <definedName name="Summ">#REF!</definedName>
    <definedName name="summa">#REF!</definedName>
    <definedName name="summary">'[66]Det. Estimate'!#REF!</definedName>
    <definedName name="SW1105SGprep">#REF!</definedName>
    <definedName name="SW1311PCCP">#REF!</definedName>
    <definedName name="SW1Summ">#REF!</definedName>
    <definedName name="SW2105SGPrep">#REF!</definedName>
    <definedName name="SW2311PCCP">#REF!</definedName>
    <definedName name="SW2Summ">#REF!</definedName>
    <definedName name="SW3105SGPrep">#REF!</definedName>
    <definedName name="SW3311PCCP">#REF!</definedName>
    <definedName name="SW3Summ">#REF!</definedName>
    <definedName name="SW4105SGPrep">#REF!</definedName>
    <definedName name="SW4311PCCP">#REF!</definedName>
    <definedName name="SW4Summ">#REF!</definedName>
    <definedName name="SW5105SGPrep">#REF!</definedName>
    <definedName name="SW5311PCCP">#REF!</definedName>
    <definedName name="SW5Summ">#REF!</definedName>
    <definedName name="Sweeper30hp.T">'[12]BACOLOD RENTAL RATES'!#REF!</definedName>
    <definedName name="SWSumm6.1">#REF!</definedName>
    <definedName name="SWSumm6.2">#REF!</definedName>
    <definedName name="SWSumm6.3">#REF!</definedName>
    <definedName name="SWSumm6.4">#REF!</definedName>
    <definedName name="SWSumm6.5">#REF!</definedName>
    <definedName name="SWSummary">#REF!</definedName>
    <definedName name="t">#REF!</definedName>
    <definedName name="Tawi">#REF!</definedName>
    <definedName name="Tie_wires" localSheetId="0">[3]Source!$J$13</definedName>
    <definedName name="Tie_wires">[4]Source!$J$13</definedName>
    <definedName name="TMA.Boulder" localSheetId="0">[67]Materials!$D$9:$D$2185</definedName>
    <definedName name="TMA.Boulder">[68]Materials!$D$9:$D$2185</definedName>
    <definedName name="TMixer" localSheetId="0">[3]Source!$B$10</definedName>
    <definedName name="TMixer">[4]Source!$B$10</definedName>
    <definedName name="TOTAL_COST_OF_LINED_CANAL_Sta._0_000_to_0_140">#REF!</definedName>
    <definedName name="Tractor140hp.T">'[12]BACOLOD RENTAL RATES'!#REF!</definedName>
    <definedName name="Tractor215hp.T">'[12]BACOLOD RENTAL RATES'!#REF!</definedName>
    <definedName name="Tractor335hp.T">'[12]BACOLOD RENTAL RATES'!#REF!</definedName>
    <definedName name="Tractor95hp.T">'[12]BACOLOD RENTAL RATES'!#REF!</definedName>
    <definedName name="Trailer_with_truck_tractor" localSheetId="0">[3]Source!$B$21</definedName>
    <definedName name="Trailer_with_truck_tractor">[4]Source!$B$21</definedName>
    <definedName name="TrailerHigh25t.T">'[12]BACOLOD RENTAL RATES'!#REF!</definedName>
    <definedName name="TrailerLow25t.T">'[12]BACOLOD RENTAL RATES'!#REF!</definedName>
    <definedName name="trailerwithtrucktractor" localSheetId="0">[14]Source!$G$39</definedName>
    <definedName name="trailerwithtrucktractor">[15]Source!$G$39</definedName>
    <definedName name="transitmixer">[20]Source!$G$42</definedName>
    <definedName name="Tremie_Pipe">#REF!</definedName>
    <definedName name="truck_mounted_crane" localSheetId="0">[3]Source!$B$23</definedName>
    <definedName name="truck_mounted_crane">[4]Source!$B$23</definedName>
    <definedName name="Truck10t.T">'[12]BACOLOD RENTAL RATES'!#REF!</definedName>
    <definedName name="Truck5t.T">'[12]BACOLOD RENTAL RATES'!#REF!</definedName>
    <definedName name="TruckCrane10t.T">'[12]BACOLOD RENTAL RATES'!#REF!</definedName>
    <definedName name="tyr">'[69]Compo Bill'!$C$3:$C$1000</definedName>
    <definedName name="u">#REF!</definedName>
    <definedName name="UCDB">#REF!</definedName>
    <definedName name="UCOST">#REF!</definedName>
    <definedName name="UcostBoulders">#REF!</definedName>
    <definedName name="UcostMixAgg">#REF!</definedName>
    <definedName name="UcostSandGravel">#REF!</definedName>
    <definedName name="Unit">[65]Forms!$B$4:$B$11</definedName>
    <definedName name="valuevx">42.314159</definedName>
    <definedName name="vDateTime">#REF!</definedName>
    <definedName name="vDiastolic">#REF!</definedName>
    <definedName name="Vector">[65]Forms!$D$4:$D$20</definedName>
    <definedName name="vertex42_copyright" hidden="1">"© 2017 Vertex42 LLC"</definedName>
    <definedName name="vertex42_id" hidden="1">"construction-schedule-weekly.xlsx"</definedName>
    <definedName name="vertex42_title" hidden="1">"Weekly Construction Schedule Template"</definedName>
    <definedName name="vHeartRate">#REF!</definedName>
    <definedName name="Vib75.T">'[12]BACOLOD RENTAL RATES'!#REF!</definedName>
    <definedName name="vibro_hammer" localSheetId="0">[3]Source!$B$30</definedName>
    <definedName name="vibro_hammer">[4]Source!$B$30</definedName>
    <definedName name="vibrohammerelectricdriven" localSheetId="0">[14]Source!$G$41</definedName>
    <definedName name="vibrohammerelectricdriven">[15]Source!$G$41</definedName>
    <definedName name="vibrohammerhyraulicdriven">#REF!</definedName>
    <definedName name="VibRoll12t.T">'[12]BACOLOD RENTAL RATES'!#REF!</definedName>
    <definedName name="VibRoll2t.T">'[12]BACOLOD RENTAL RATES'!#REF!</definedName>
    <definedName name="VibRollS10t.T">'[12]BACOLOD RENTAL RATES'!#REF!</definedName>
    <definedName name="VibRollT10t.T">'[12]BACOLOD RENTAL RATES'!#REF!</definedName>
    <definedName name="VOLUME">#REF!</definedName>
    <definedName name="vsvsv">[70]Equipment!$D$10:$D$213</definedName>
    <definedName name="vSystolic">#REF!</definedName>
    <definedName name="W_16x_16_x_12mm_I_beam">#REF!</definedName>
    <definedName name="Washed_Gravel" localSheetId="0">[3]Source!$J$6</definedName>
    <definedName name="Washed_Gravel">[4]Source!$J$6</definedName>
    <definedName name="washed_gravel_lasang">[20]Source!$H$53</definedName>
    <definedName name="Washed_Sand" localSheetId="0">[3]Source!$J$5</definedName>
    <definedName name="Washed_Sand">[4]Source!$J$5</definedName>
    <definedName name="washed_sand_lasang">[20]Source!$H$54</definedName>
    <definedName name="water">[71]Source!$G$44</definedName>
    <definedName name="water_pump" localSheetId="0">[72]Source!$B$24</definedName>
    <definedName name="water_pump">[73]Source!$B$24</definedName>
    <definedName name="waterpump">#REF!</definedName>
    <definedName name="watertank">#REF!</definedName>
    <definedName name="watertruck">[20]Source!$G$46</definedName>
    <definedName name="wefw">#REF!</definedName>
    <definedName name="welder">#REF!</definedName>
    <definedName name="Welding_Machine">#REF!</definedName>
    <definedName name="welding_rod_7018" localSheetId="0">[9]Source!$L$58</definedName>
    <definedName name="welding_rod_7018">[10]Source!$L$58</definedName>
    <definedName name="weldingmachine" localSheetId="0">[74]Source!$G$47</definedName>
    <definedName name="weldingmachine">[75]Source!$G$47</definedName>
    <definedName name="WeldMach1.T">'[12]BACOLOD RENTAL RATES'!#REF!</definedName>
    <definedName name="WeldMach2.T">'[12]BACOLOD RENTAL RATES'!#REF!</definedName>
    <definedName name="weqwe" localSheetId="0">#REF!</definedName>
    <definedName name="weqwe">#REF!</definedName>
    <definedName name="wer">'[57]Project List'!$C$6:$C$562</definedName>
    <definedName name="wer_9">'[58]Project List'!$C$6:$C$562</definedName>
    <definedName name="WGravel" localSheetId="0">[3]Source!$J$6</definedName>
    <definedName name="WGravel">[4]Source!$J$6</definedName>
    <definedName name="WSand" localSheetId="0">[3]Source!$J$5</definedName>
    <definedName name="WSand">[4]Source!$J$5</definedName>
    <definedName name="WTank" localSheetId="0">[3]Source!$B$11</definedName>
    <definedName name="WTank">[4]Source!$B$11</definedName>
    <definedName name="WtrTrck3000gal.T">'[12]BACOLOD RENTAL RATES'!#REF!</definedName>
    <definedName name="WTruck" localSheetId="0">[3]Source!$B$7</definedName>
    <definedName name="WTruck">[4]Source!$B$7</definedName>
    <definedName name="xasdnsajdhb" localSheetId="0">#REF!</definedName>
    <definedName name="xasdnsajdhb">#REF!</definedName>
    <definedName name="yakal">#REF!</definedName>
    <definedName name="yury">[76]Equipment!$D$8:$D$135</definedName>
    <definedName name="z">#REF!</definedName>
    <definedName name="Z_9E16EDFA_6548_47C0_B4CE_1CC8B7F97DFD_.wvu.PrintArea" localSheetId="0" hidden="1">ABC.!$A$1:$M$79</definedName>
    <definedName name="Z_9E16EDFA_6548_47C0_B4CE_1CC8B7F97DFD_.wvu.PrintTitles" localSheetId="0" hidden="1">ABC.!$5:$10</definedName>
    <definedName name="Z_9E16EDFA_6548_47C0_B4CE_1CC8B7F97DFD_.wvu.Rows" localSheetId="0" hidden="1">ABC.!$11:$12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9" i="2" l="1"/>
  <c r="B78" i="2"/>
  <c r="E61" i="2"/>
  <c r="D61" i="2"/>
  <c r="C61" i="2"/>
  <c r="B61" i="2"/>
  <c r="A61" i="2"/>
  <c r="E60" i="2"/>
  <c r="D60" i="2"/>
  <c r="C60" i="2"/>
  <c r="B60" i="2"/>
  <c r="A60" i="2"/>
  <c r="E59" i="2"/>
  <c r="D59" i="2"/>
  <c r="C59" i="2"/>
  <c r="B59" i="2"/>
  <c r="A59" i="2"/>
  <c r="B58" i="2"/>
  <c r="A58" i="2"/>
  <c r="E57" i="2"/>
  <c r="D57" i="2"/>
  <c r="C57" i="2"/>
  <c r="B57" i="2"/>
  <c r="A57" i="2"/>
  <c r="E56" i="2"/>
  <c r="D56" i="2"/>
  <c r="C56" i="2"/>
  <c r="A56" i="2"/>
  <c r="E55" i="2"/>
  <c r="D55" i="2"/>
  <c r="C55" i="2"/>
  <c r="B55" i="2"/>
  <c r="A55" i="2"/>
  <c r="E54" i="2"/>
  <c r="D54" i="2"/>
  <c r="C54" i="2"/>
  <c r="B54" i="2"/>
  <c r="A54" i="2"/>
  <c r="B53" i="2"/>
  <c r="A53" i="2"/>
  <c r="E52" i="2"/>
  <c r="D52" i="2"/>
  <c r="C52" i="2"/>
  <c r="B52" i="2"/>
  <c r="A52" i="2"/>
  <c r="E51" i="2"/>
  <c r="D51" i="2"/>
  <c r="C51" i="2"/>
  <c r="B51" i="2"/>
  <c r="A51" i="2"/>
  <c r="E50" i="2"/>
  <c r="D50" i="2"/>
  <c r="C50" i="2"/>
  <c r="B50" i="2"/>
  <c r="A50" i="2"/>
  <c r="E49" i="2"/>
  <c r="D49" i="2"/>
  <c r="C49" i="2"/>
  <c r="B49" i="2"/>
  <c r="A49" i="2"/>
  <c r="E48" i="2"/>
  <c r="D48" i="2"/>
  <c r="C48" i="2"/>
  <c r="B48" i="2"/>
  <c r="A48" i="2"/>
  <c r="E47" i="2"/>
  <c r="D47" i="2"/>
  <c r="C47" i="2"/>
  <c r="B47" i="2"/>
  <c r="A47" i="2"/>
  <c r="E46" i="2"/>
  <c r="D46" i="2"/>
  <c r="C46" i="2"/>
  <c r="B46" i="2"/>
  <c r="A46" i="2"/>
  <c r="E45" i="2"/>
  <c r="D45" i="2"/>
  <c r="C45" i="2"/>
  <c r="B45" i="2"/>
  <c r="A45" i="2"/>
  <c r="E44" i="2"/>
  <c r="D44" i="2"/>
  <c r="C44" i="2"/>
  <c r="B44" i="2"/>
  <c r="A44" i="2"/>
  <c r="D43" i="2"/>
  <c r="C43" i="2"/>
  <c r="B43" i="2"/>
  <c r="A43" i="2"/>
  <c r="D42" i="2"/>
  <c r="C42" i="2"/>
  <c r="B42" i="2"/>
  <c r="A42" i="2"/>
  <c r="E41" i="2"/>
  <c r="D41" i="2"/>
  <c r="C41" i="2"/>
  <c r="B41" i="2"/>
  <c r="A41" i="2"/>
  <c r="E40" i="2"/>
  <c r="D40" i="2"/>
  <c r="C40" i="2"/>
  <c r="B40" i="2"/>
  <c r="A40" i="2"/>
  <c r="H39" i="2"/>
  <c r="E39" i="2"/>
  <c r="D39" i="2"/>
  <c r="C39" i="2"/>
  <c r="B39" i="2"/>
  <c r="A39" i="2"/>
  <c r="H38" i="2"/>
  <c r="E38" i="2"/>
  <c r="D38" i="2"/>
  <c r="C38" i="2"/>
  <c r="B38" i="2"/>
  <c r="A38" i="2"/>
  <c r="H37" i="2"/>
  <c r="E37" i="2"/>
  <c r="I37" i="2" s="1"/>
  <c r="J37" i="2" s="1"/>
  <c r="K37" i="2" s="1"/>
  <c r="L37" i="2" s="1"/>
  <c r="D37" i="2"/>
  <c r="C37" i="2"/>
  <c r="B37" i="2"/>
  <c r="A37" i="2"/>
  <c r="H36" i="2"/>
  <c r="E36" i="2"/>
  <c r="I36" i="2" s="1"/>
  <c r="J36" i="2" s="1"/>
  <c r="K36" i="2" s="1"/>
  <c r="L36" i="2" s="1"/>
  <c r="D36" i="2"/>
  <c r="C36" i="2"/>
  <c r="B36" i="2"/>
  <c r="A36" i="2"/>
  <c r="E35" i="2"/>
  <c r="D35" i="2"/>
  <c r="C35" i="2"/>
  <c r="B35" i="2"/>
  <c r="A35" i="2"/>
  <c r="E34" i="2"/>
  <c r="D34" i="2"/>
  <c r="C34" i="2"/>
  <c r="B34" i="2"/>
  <c r="A34" i="2"/>
  <c r="E33" i="2"/>
  <c r="D33" i="2"/>
  <c r="C33" i="2"/>
  <c r="B33" i="2"/>
  <c r="A33" i="2"/>
  <c r="E32" i="2"/>
  <c r="D32" i="2"/>
  <c r="C32" i="2"/>
  <c r="B32" i="2"/>
  <c r="A32" i="2"/>
  <c r="E31" i="2"/>
  <c r="D31" i="2"/>
  <c r="C31" i="2"/>
  <c r="B31" i="2"/>
  <c r="A31" i="2"/>
  <c r="E30" i="2"/>
  <c r="D30" i="2"/>
  <c r="C30" i="2"/>
  <c r="B30" i="2"/>
  <c r="A30" i="2"/>
  <c r="E29" i="2"/>
  <c r="D29" i="2"/>
  <c r="C29" i="2"/>
  <c r="B29" i="2"/>
  <c r="A29" i="2"/>
  <c r="E28" i="2"/>
  <c r="D28" i="2"/>
  <c r="C28" i="2"/>
  <c r="B28" i="2"/>
  <c r="A28" i="2"/>
  <c r="B27" i="2"/>
  <c r="A27" i="2"/>
  <c r="E26" i="2"/>
  <c r="D26" i="2"/>
  <c r="C26" i="2"/>
  <c r="B26" i="2"/>
  <c r="A26" i="2"/>
  <c r="E25" i="2"/>
  <c r="D25" i="2"/>
  <c r="C25" i="2"/>
  <c r="B25" i="2"/>
  <c r="A25" i="2"/>
  <c r="E24" i="2"/>
  <c r="D24" i="2"/>
  <c r="C24" i="2"/>
  <c r="B24" i="2"/>
  <c r="A24" i="2"/>
  <c r="B23" i="2"/>
  <c r="A23" i="2"/>
  <c r="E22" i="2"/>
  <c r="D22" i="2"/>
  <c r="C22" i="2"/>
  <c r="B22" i="2"/>
  <c r="A22" i="2"/>
  <c r="G21" i="2"/>
  <c r="G22" i="2" s="1"/>
  <c r="F21" i="2"/>
  <c r="F22" i="2" s="1"/>
  <c r="F24" i="2" s="1"/>
  <c r="F25" i="2" s="1"/>
  <c r="F26" i="2" s="1"/>
  <c r="F28" i="2" s="1"/>
  <c r="F29" i="2" s="1"/>
  <c r="F30" i="2" s="1"/>
  <c r="F31" i="2" s="1"/>
  <c r="F32" i="2" s="1"/>
  <c r="F33" i="2" s="1"/>
  <c r="F34" i="2" s="1"/>
  <c r="E21" i="2"/>
  <c r="D21" i="2"/>
  <c r="C21" i="2"/>
  <c r="B21" i="2"/>
  <c r="A21" i="2"/>
  <c r="H20" i="2"/>
  <c r="E20" i="2"/>
  <c r="I20" i="2" s="1"/>
  <c r="J20" i="2" s="1"/>
  <c r="K20" i="2" s="1"/>
  <c r="L20" i="2" s="1"/>
  <c r="D20" i="2"/>
  <c r="C20" i="2"/>
  <c r="B20" i="2"/>
  <c r="A20" i="2"/>
  <c r="B19" i="2"/>
  <c r="A19" i="2"/>
  <c r="A18" i="2"/>
  <c r="H17" i="2"/>
  <c r="E17" i="2"/>
  <c r="I17" i="2" s="1"/>
  <c r="J17" i="2" s="1"/>
  <c r="K17" i="2" s="1"/>
  <c r="L17" i="2" s="1"/>
  <c r="D17" i="2"/>
  <c r="C17" i="2"/>
  <c r="B17" i="2"/>
  <c r="A17" i="2"/>
  <c r="H16" i="2"/>
  <c r="E16" i="2"/>
  <c r="I16" i="2" s="1"/>
  <c r="J16" i="2" s="1"/>
  <c r="K16" i="2" s="1"/>
  <c r="L16" i="2" s="1"/>
  <c r="D16" i="2"/>
  <c r="C16" i="2"/>
  <c r="B16" i="2"/>
  <c r="A16" i="2"/>
  <c r="H15" i="2"/>
  <c r="E15" i="2"/>
  <c r="D15" i="2"/>
  <c r="C15" i="2"/>
  <c r="B15" i="2"/>
  <c r="A15" i="2"/>
  <c r="H14" i="2"/>
  <c r="E14" i="2"/>
  <c r="D14" i="2"/>
  <c r="C14" i="2"/>
  <c r="B14" i="2"/>
  <c r="A14" i="2"/>
  <c r="A13" i="2"/>
  <c r="H12" i="2"/>
  <c r="E12" i="2"/>
  <c r="D12" i="2"/>
  <c r="C12" i="2"/>
  <c r="B12" i="2"/>
  <c r="A12" i="2"/>
  <c r="A11" i="2"/>
  <c r="L2" i="2"/>
  <c r="B3" i="2"/>
  <c r="B1" i="2"/>
  <c r="I38" i="2" l="1"/>
  <c r="J38" i="2" s="1"/>
  <c r="K38" i="2" s="1"/>
  <c r="L38" i="2" s="1"/>
  <c r="M38" i="2" s="1"/>
  <c r="M36" i="2"/>
  <c r="M16" i="2"/>
  <c r="M20" i="2"/>
  <c r="M17" i="2"/>
  <c r="I21" i="2"/>
  <c r="J21" i="2" s="1"/>
  <c r="K21" i="2" s="1"/>
  <c r="L21" i="2" s="1"/>
  <c r="M21" i="2" s="1"/>
  <c r="M37" i="2"/>
  <c r="I14" i="2"/>
  <c r="J14" i="2" s="1"/>
  <c r="K14" i="2" s="1"/>
  <c r="L14" i="2" s="1"/>
  <c r="M14" i="2" s="1"/>
  <c r="I39" i="2"/>
  <c r="J39" i="2" s="1"/>
  <c r="K39" i="2" s="1"/>
  <c r="L39" i="2" s="1"/>
  <c r="M39" i="2" s="1"/>
  <c r="I15" i="2"/>
  <c r="J15" i="2" s="1"/>
  <c r="K15" i="2" s="1"/>
  <c r="L15" i="2" s="1"/>
  <c r="M15" i="2" s="1"/>
  <c r="H21" i="2"/>
  <c r="F40" i="2"/>
  <c r="F35" i="2"/>
  <c r="H22" i="2"/>
  <c r="I22" i="2" s="1"/>
  <c r="J22" i="2" s="1"/>
  <c r="K22" i="2" s="1"/>
  <c r="L22" i="2" s="1"/>
  <c r="M22" i="2" s="1"/>
  <c r="G24" i="2"/>
  <c r="I12" i="2"/>
  <c r="H24" i="2" l="1"/>
  <c r="I24" i="2" s="1"/>
  <c r="J24" i="2" s="1"/>
  <c r="K24" i="2" s="1"/>
  <c r="L24" i="2" s="1"/>
  <c r="M24" i="2" s="1"/>
  <c r="G25" i="2"/>
  <c r="J12" i="2"/>
  <c r="F42" i="2"/>
  <c r="F43" i="2" s="1"/>
  <c r="F44" i="2" s="1"/>
  <c r="F45" i="2" s="1"/>
  <c r="F46" i="2" s="1"/>
  <c r="F47" i="2" s="1"/>
  <c r="F48" i="2" s="1"/>
  <c r="F41" i="2"/>
  <c r="F50" i="2" l="1"/>
  <c r="F51" i="2" s="1"/>
  <c r="F52" i="2" s="1"/>
  <c r="F54" i="2" s="1"/>
  <c r="F49" i="2"/>
  <c r="G26" i="2"/>
  <c r="H25" i="2"/>
  <c r="I25" i="2" s="1"/>
  <c r="K12" i="2"/>
  <c r="J25" i="2" l="1"/>
  <c r="L12" i="2"/>
  <c r="H26" i="2"/>
  <c r="I26" i="2" s="1"/>
  <c r="J26" i="2" s="1"/>
  <c r="K26" i="2" s="1"/>
  <c r="L26" i="2" s="1"/>
  <c r="M26" i="2" s="1"/>
  <c r="G28" i="2"/>
  <c r="F59" i="2"/>
  <c r="F55" i="2"/>
  <c r="F56" i="2" s="1"/>
  <c r="F57" i="2" s="1"/>
  <c r="F60" i="2" s="1"/>
  <c r="F61" i="2" s="1"/>
  <c r="H28" i="2" l="1"/>
  <c r="I28" i="2" s="1"/>
  <c r="J28" i="2" s="1"/>
  <c r="K28" i="2" s="1"/>
  <c r="L28" i="2" s="1"/>
  <c r="M28" i="2" s="1"/>
  <c r="G29" i="2"/>
  <c r="M12" i="2"/>
  <c r="K25" i="2"/>
  <c r="G30" i="2" l="1"/>
  <c r="H29" i="2"/>
  <c r="I29" i="2" s="1"/>
  <c r="L25" i="2"/>
  <c r="M25" i="2" l="1"/>
  <c r="J29" i="2"/>
  <c r="G31" i="2"/>
  <c r="H30" i="2"/>
  <c r="I30" i="2" s="1"/>
  <c r="J30" i="2" s="1"/>
  <c r="K30" i="2" s="1"/>
  <c r="L30" i="2" s="1"/>
  <c r="M30" i="2" s="1"/>
  <c r="H31" i="2" l="1"/>
  <c r="I31" i="2" s="1"/>
  <c r="J31" i="2" s="1"/>
  <c r="K31" i="2" s="1"/>
  <c r="L31" i="2" s="1"/>
  <c r="M31" i="2" s="1"/>
  <c r="G32" i="2"/>
  <c r="K29" i="2"/>
  <c r="G33" i="2" l="1"/>
  <c r="H32" i="2"/>
  <c r="I32" i="2" s="1"/>
  <c r="J32" i="2" s="1"/>
  <c r="L29" i="2"/>
  <c r="M29" i="2" l="1"/>
  <c r="K32" i="2"/>
  <c r="G34" i="2"/>
  <c r="H33" i="2"/>
  <c r="I33" i="2" s="1"/>
  <c r="J33" i="2" s="1"/>
  <c r="K33" i="2" s="1"/>
  <c r="L33" i="2" s="1"/>
  <c r="M33" i="2" s="1"/>
  <c r="G40" i="2" l="1"/>
  <c r="H34" i="2"/>
  <c r="I34" i="2" s="1"/>
  <c r="J34" i="2" s="1"/>
  <c r="K34" i="2" s="1"/>
  <c r="L34" i="2" s="1"/>
  <c r="M34" i="2" s="1"/>
  <c r="G35" i="2"/>
  <c r="H35" i="2" s="1"/>
  <c r="I35" i="2" s="1"/>
  <c r="J35" i="2" s="1"/>
  <c r="K35" i="2" s="1"/>
  <c r="L35" i="2" s="1"/>
  <c r="M35" i="2" s="1"/>
  <c r="L32" i="2"/>
  <c r="M32" i="2" l="1"/>
  <c r="H40" i="2"/>
  <c r="I40" i="2" s="1"/>
  <c r="J40" i="2" s="1"/>
  <c r="K40" i="2" s="1"/>
  <c r="L40" i="2" s="1"/>
  <c r="M40" i="2" s="1"/>
  <c r="G42" i="2"/>
  <c r="G41" i="2"/>
  <c r="H41" i="2" s="1"/>
  <c r="I41" i="2" s="1"/>
  <c r="J41" i="2" s="1"/>
  <c r="K41" i="2" s="1"/>
  <c r="L41" i="2" s="1"/>
  <c r="M41" i="2" s="1"/>
  <c r="H42" i="2" l="1"/>
  <c r="G43" i="2"/>
  <c r="H43" i="2" l="1"/>
  <c r="G44" i="2"/>
  <c r="H44" i="2" l="1"/>
  <c r="I44" i="2" s="1"/>
  <c r="J44" i="2" s="1"/>
  <c r="K44" i="2" s="1"/>
  <c r="L44" i="2" s="1"/>
  <c r="M44" i="2" s="1"/>
  <c r="G45" i="2"/>
  <c r="H45" i="2" l="1"/>
  <c r="I45" i="2" s="1"/>
  <c r="J45" i="2" s="1"/>
  <c r="K45" i="2" s="1"/>
  <c r="L45" i="2" s="1"/>
  <c r="M45" i="2" s="1"/>
  <c r="G46" i="2"/>
  <c r="H46" i="2" l="1"/>
  <c r="I46" i="2" s="1"/>
  <c r="J46" i="2" s="1"/>
  <c r="K46" i="2" s="1"/>
  <c r="L46" i="2" s="1"/>
  <c r="M46" i="2" s="1"/>
  <c r="G47" i="2"/>
  <c r="H47" i="2" l="1"/>
  <c r="I47" i="2" s="1"/>
  <c r="J47" i="2" s="1"/>
  <c r="K47" i="2" s="1"/>
  <c r="L47" i="2" s="1"/>
  <c r="M47" i="2" s="1"/>
  <c r="G48" i="2"/>
  <c r="H48" i="2" l="1"/>
  <c r="I48" i="2" s="1"/>
  <c r="J48" i="2" s="1"/>
  <c r="K48" i="2" s="1"/>
  <c r="L48" i="2" s="1"/>
  <c r="M48" i="2" s="1"/>
  <c r="G50" i="2"/>
  <c r="G49" i="2"/>
  <c r="H49" i="2" s="1"/>
  <c r="I49" i="2" s="1"/>
  <c r="J49" i="2" s="1"/>
  <c r="K49" i="2" s="1"/>
  <c r="L49" i="2" s="1"/>
  <c r="M49" i="2" s="1"/>
  <c r="H50" i="2" l="1"/>
  <c r="I50" i="2" s="1"/>
  <c r="J50" i="2" s="1"/>
  <c r="K50" i="2" s="1"/>
  <c r="L50" i="2" s="1"/>
  <c r="M50" i="2" s="1"/>
  <c r="G51" i="2"/>
  <c r="H51" i="2" l="1"/>
  <c r="I51" i="2" s="1"/>
  <c r="J51" i="2" s="1"/>
  <c r="K51" i="2" s="1"/>
  <c r="L51" i="2" s="1"/>
  <c r="M51" i="2" s="1"/>
  <c r="G52" i="2"/>
  <c r="G54" i="2" l="1"/>
  <c r="H52" i="2"/>
  <c r="I52" i="2" s="1"/>
  <c r="J52" i="2" s="1"/>
  <c r="K52" i="2" s="1"/>
  <c r="L52" i="2" s="1"/>
  <c r="M52" i="2" s="1"/>
  <c r="G55" i="2" l="1"/>
  <c r="H54" i="2"/>
  <c r="I54" i="2" s="1"/>
  <c r="J54" i="2" s="1"/>
  <c r="K54" i="2" s="1"/>
  <c r="L54" i="2" s="1"/>
  <c r="M54" i="2" s="1"/>
  <c r="G59" i="2"/>
  <c r="H59" i="2" s="1"/>
  <c r="I59" i="2" s="1"/>
  <c r="J59" i="2" s="1"/>
  <c r="K59" i="2" s="1"/>
  <c r="L59" i="2" s="1"/>
  <c r="M59" i="2" s="1"/>
  <c r="G56" i="2" l="1"/>
  <c r="H55" i="2"/>
  <c r="I55" i="2" s="1"/>
  <c r="J55" i="2" s="1"/>
  <c r="K55" i="2" s="1"/>
  <c r="L55" i="2" s="1"/>
  <c r="M55" i="2" s="1"/>
  <c r="H56" i="2" l="1"/>
  <c r="I56" i="2" s="1"/>
  <c r="J56" i="2" s="1"/>
  <c r="K56" i="2" s="1"/>
  <c r="L56" i="2" s="1"/>
  <c r="M56" i="2" s="1"/>
  <c r="G57" i="2"/>
  <c r="H57" i="2" l="1"/>
  <c r="I57" i="2" s="1"/>
  <c r="J57" i="2" s="1"/>
  <c r="K57" i="2" s="1"/>
  <c r="L57" i="2" s="1"/>
  <c r="M57" i="2" s="1"/>
  <c r="G60" i="2"/>
  <c r="G61" i="2" l="1"/>
  <c r="H61" i="2" s="1"/>
  <c r="I61" i="2" s="1"/>
  <c r="H60" i="2"/>
  <c r="I60" i="2" s="1"/>
  <c r="J60" i="2" s="1"/>
  <c r="K60" i="2" s="1"/>
  <c r="L60" i="2" s="1"/>
  <c r="M60" i="2" s="1"/>
  <c r="J61" i="2" l="1"/>
  <c r="K61" i="2" l="1"/>
  <c r="L61" i="2" s="1"/>
  <c r="M61" i="2" s="1"/>
  <c r="E43" i="2" l="1"/>
  <c r="I43" i="2" s="1"/>
  <c r="J43" i="2" s="1"/>
  <c r="K43" i="2" s="1"/>
  <c r="L43" i="2" s="1"/>
  <c r="M43" i="2" s="1"/>
  <c r="E42" i="2" l="1"/>
  <c r="I42" i="2" l="1"/>
  <c r="E70" i="2"/>
  <c r="J42" i="2" l="1"/>
  <c r="I70" i="2"/>
  <c r="K42" i="2" l="1"/>
  <c r="J70" i="2"/>
  <c r="L42" i="2" l="1"/>
  <c r="K70" i="2"/>
  <c r="M42" i="2" l="1"/>
  <c r="L70" i="2"/>
</calcChain>
</file>

<file path=xl/sharedStrings.xml><?xml version="1.0" encoding="utf-8"?>
<sst xmlns="http://schemas.openxmlformats.org/spreadsheetml/2006/main" count="50" uniqueCount="50">
  <si>
    <t>Project:</t>
  </si>
  <si>
    <t>Location:</t>
  </si>
  <si>
    <t>Contract Duration:</t>
  </si>
  <si>
    <t>DAYS</t>
  </si>
  <si>
    <t>PAY ITEM NO.</t>
  </si>
  <si>
    <t>DESCRIPTION</t>
  </si>
  <si>
    <t>UNIT</t>
  </si>
  <si>
    <t>QUANTITY</t>
  </si>
  <si>
    <t>ESTIMATED DIRECT COST</t>
  </si>
  <si>
    <t>MARK-UP</t>
  </si>
  <si>
    <t>TOTAL MARK - UP</t>
  </si>
  <si>
    <t>VAT (5+9) 5%</t>
  </si>
  <si>
    <t>TOTAL INDIRECT COST                                              (9 + 10)</t>
  </si>
  <si>
    <t>TOTAL COST                                (5 + 11)</t>
  </si>
  <si>
    <t>UNIT COST (Adjusted)         (12/3)</t>
  </si>
  <si>
    <t>OCM</t>
  </si>
  <si>
    <t>PROFIT</t>
  </si>
  <si>
    <t>%</t>
  </si>
  <si>
    <t>VALUE (5*8)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</si>
  <si>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</si>
  <si>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</si>
  <si>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</si>
  <si>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</si>
  <si>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</si>
  <si>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</si>
  <si>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</si>
  <si>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</si>
  <si>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</si>
  <si>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</si>
  <si>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</si>
  <si>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</si>
  <si>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</si>
  <si>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POWER LOAD CENTER, SWITCHGEAR AND PANELBOARDS AND OTHER OVERCURRENT PROTECTION DEVICES</t>
  </si>
  <si>
    <t>TOTAL</t>
  </si>
  <si>
    <t>\</t>
  </si>
  <si>
    <t xml:space="preserve">                  PREPARED BY:</t>
  </si>
  <si>
    <t>CHECKED BY:</t>
  </si>
  <si>
    <t xml:space="preserve">            RECOMMENDING APPROVAL:</t>
  </si>
  <si>
    <t>APPROVED:</t>
  </si>
  <si>
    <t>ROMEO L. CALAMBA</t>
  </si>
  <si>
    <t xml:space="preserve">      JOY C. MANABAT     </t>
  </si>
  <si>
    <t>ENGR. RAUL G. MABANGLO</t>
  </si>
  <si>
    <t xml:space="preserve">       Engineer I</t>
  </si>
  <si>
    <t>Acting PG Dept. Head - PEO</t>
  </si>
  <si>
    <t>Governor</t>
  </si>
  <si>
    <t xml:space="preserve">  </t>
  </si>
  <si>
    <t>Project Description:</t>
  </si>
  <si>
    <t>Test Description</t>
  </si>
  <si>
    <t>Code:</t>
  </si>
  <si>
    <t>CW-123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</si>
</sst>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\+000\ &quot;-&quot;"/>
    <numFmt numFmtId="165" formatCode="0\ \+\ 000"/>
    <numFmt numFmtId="166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b/>
      <sz val="10"/>
      <color rgb="FFFF0000"/>
      <name val="Calibri"/>
      <family val="2"/>
    </font>
    <font>
      <b/>
      <sz val="10"/>
      <color rgb="FF00206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sz val="10"/>
      <color theme="0"/>
      <name val="Calibri"/>
      <family val="2"/>
    </font>
    <font>
      <sz val="10"/>
      <color rgb="FFFF0000"/>
      <name val="Calibri"/>
      <family val="2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" fillId="0" borderId="0"/>
  </cellStyleXfs>
  <cellXfs count="98">
    <xf numFmtId="0" fontId="0" fillId="0" borderId="0" xfId="0"/>
    <xf numFmtId="0" fontId="4" fillId="0" borderId="0" xfId="2" applyFont="1" applyAlignment="1">
      <alignment wrapText="1"/>
    </xf>
    <xf numFmtId="0" fontId="6" fillId="0" borderId="0" xfId="2" applyFont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horizontal="center"/>
    </xf>
    <xf numFmtId="0" fontId="7" fillId="0" borderId="0" xfId="2" applyFont="1"/>
    <xf numFmtId="164" fontId="3" fillId="0" borderId="0" xfId="2" applyNumberFormat="1" applyFont="1" applyAlignment="1">
      <alignment horizontal="right"/>
    </xf>
    <xf numFmtId="165" fontId="3" fillId="0" borderId="0" xfId="2" applyNumberFormat="1" applyFont="1" applyAlignment="1">
      <alignment horizontal="left"/>
    </xf>
    <xf numFmtId="0" fontId="5" fillId="0" borderId="0" xfId="2" applyFont="1" applyAlignment="1">
      <alignment horizontal="left" vertical="center" wrapText="1"/>
    </xf>
    <xf numFmtId="0" fontId="3" fillId="0" borderId="0" xfId="2" applyFont="1" applyAlignment="1">
      <alignment vertical="center"/>
    </xf>
    <xf numFmtId="0" fontId="3" fillId="0" borderId="0" xfId="2" applyFont="1"/>
    <xf numFmtId="0" fontId="4" fillId="0" borderId="0" xfId="2" applyFont="1"/>
    <xf numFmtId="166" fontId="3" fillId="0" borderId="0" xfId="2" applyNumberFormat="1" applyFont="1"/>
    <xf numFmtId="0" fontId="3" fillId="0" borderId="0" xfId="2" applyFont="1" applyAlignment="1">
      <alignment horizontal="left"/>
    </xf>
    <xf numFmtId="0" fontId="4" fillId="0" borderId="1" xfId="2" applyFont="1" applyBorder="1" applyAlignment="1">
      <alignment horizontal="center" wrapText="1"/>
    </xf>
    <xf numFmtId="0" fontId="4" fillId="0" borderId="1" xfId="2" applyFont="1" applyBorder="1" applyAlignment="1">
      <alignment wrapText="1"/>
    </xf>
    <xf numFmtId="166" fontId="4" fillId="0" borderId="1" xfId="3" applyFont="1" applyFill="1" applyBorder="1" applyAlignment="1">
      <alignment wrapText="1"/>
    </xf>
    <xf numFmtId="0" fontId="4" fillId="0" borderId="6" xfId="2" applyFont="1" applyBorder="1" applyAlignment="1">
      <alignment wrapText="1"/>
    </xf>
    <xf numFmtId="0" fontId="4" fillId="0" borderId="6" xfId="2" applyFont="1" applyBorder="1" applyAlignment="1">
      <alignment horizontal="center" wrapText="1"/>
    </xf>
    <xf numFmtId="9" fontId="4" fillId="0" borderId="6" xfId="2" applyNumberFormat="1" applyFont="1" applyBorder="1" applyAlignment="1">
      <alignment horizontal="center" vertical="center" wrapText="1"/>
    </xf>
    <xf numFmtId="166" fontId="3" fillId="0" borderId="2" xfId="3" applyFont="1" applyFill="1" applyBorder="1" applyAlignment="1">
      <alignment horizontal="center" wrapText="1"/>
    </xf>
    <xf numFmtId="9" fontId="8" fillId="0" borderId="10" xfId="4" applyFont="1" applyFill="1" applyBorder="1" applyAlignment="1">
      <alignment horizontal="center" wrapText="1"/>
    </xf>
    <xf numFmtId="0" fontId="9" fillId="0" borderId="6" xfId="2" applyFont="1" applyBorder="1" applyAlignment="1">
      <alignment wrapText="1"/>
    </xf>
    <xf numFmtId="9" fontId="9" fillId="0" borderId="6" xfId="2" applyNumberFormat="1" applyFont="1" applyBorder="1" applyAlignment="1">
      <alignment horizontal="center" vertical="center" wrapText="1"/>
    </xf>
    <xf numFmtId="0" fontId="3" fillId="0" borderId="11" xfId="2" applyFont="1" applyBorder="1" applyAlignment="1">
      <alignment horizontal="left" vertical="center"/>
    </xf>
    <xf numFmtId="0" fontId="3" fillId="0" borderId="11" xfId="2" applyFont="1" applyBorder="1" applyAlignment="1">
      <alignment horizontal="left" vertical="center" wrapText="1"/>
    </xf>
    <xf numFmtId="0" fontId="4" fillId="0" borderId="12" xfId="2" applyFont="1" applyBorder="1" applyAlignment="1">
      <alignment vertical="center" wrapText="1"/>
    </xf>
    <xf numFmtId="166" fontId="4" fillId="0" borderId="12" xfId="3" applyFont="1" applyFill="1" applyBorder="1" applyAlignment="1">
      <alignment vertical="center" wrapText="1"/>
    </xf>
    <xf numFmtId="0" fontId="4" fillId="0" borderId="0" xfId="2" applyFont="1" applyAlignment="1">
      <alignment vertical="top" wrapText="1"/>
    </xf>
    <xf numFmtId="166" fontId="4" fillId="0" borderId="0" xfId="5" applyFont="1" applyFill="1" applyAlignment="1">
      <alignment horizontal="center" vertical="top" wrapText="1"/>
    </xf>
    <xf numFmtId="0" fontId="4" fillId="0" borderId="11" xfId="2" applyFont="1" applyBorder="1" applyAlignment="1">
      <alignment horizontal="center" vertical="center"/>
    </xf>
    <xf numFmtId="0" fontId="10" fillId="0" borderId="11" xfId="2" applyFont="1" applyBorder="1" applyAlignment="1">
      <alignment horizontal="left" vertical="center" wrapText="1"/>
    </xf>
    <xf numFmtId="166" fontId="4" fillId="0" borderId="11" xfId="2" applyNumberFormat="1" applyFont="1" applyBorder="1" applyAlignment="1">
      <alignment horizontal="center" vertical="center"/>
    </xf>
    <xf numFmtId="166" fontId="4" fillId="0" borderId="11" xfId="3" applyFont="1" applyFill="1" applyBorder="1" applyAlignment="1">
      <alignment vertical="center"/>
    </xf>
    <xf numFmtId="9" fontId="4" fillId="0" borderId="11" xfId="2" applyNumberFormat="1" applyFont="1" applyBorder="1" applyAlignment="1">
      <alignment horizontal="center" vertical="center"/>
    </xf>
    <xf numFmtId="9" fontId="4" fillId="0" borderId="11" xfId="3" applyNumberFormat="1" applyFont="1" applyFill="1" applyBorder="1" applyAlignment="1">
      <alignment horizontal="center" vertical="center" wrapText="1"/>
    </xf>
    <xf numFmtId="166" fontId="4" fillId="0" borderId="11" xfId="3" applyFont="1" applyFill="1" applyBorder="1" applyAlignment="1">
      <alignment vertical="center" wrapText="1"/>
    </xf>
    <xf numFmtId="166" fontId="4" fillId="0" borderId="11" xfId="2" applyNumberFormat="1" applyFont="1" applyBorder="1" applyAlignment="1">
      <alignment vertical="center"/>
    </xf>
    <xf numFmtId="166" fontId="4" fillId="0" borderId="0" xfId="2" applyNumberFormat="1" applyFont="1" applyAlignment="1">
      <alignment vertical="top" wrapText="1"/>
    </xf>
    <xf numFmtId="166" fontId="4" fillId="0" borderId="0" xfId="2" applyNumberFormat="1" applyFont="1" applyAlignment="1">
      <alignment vertical="top"/>
    </xf>
    <xf numFmtId="166" fontId="3" fillId="0" borderId="0" xfId="2" applyNumberFormat="1" applyFont="1" applyAlignment="1">
      <alignment horizontal="center" vertical="top"/>
    </xf>
    <xf numFmtId="166" fontId="3" fillId="0" borderId="0" xfId="5" applyFont="1" applyFill="1" applyAlignment="1">
      <alignment horizontal="center" vertical="top" wrapText="1"/>
    </xf>
    <xf numFmtId="0" fontId="4" fillId="0" borderId="0" xfId="2" applyFont="1" applyAlignment="1">
      <alignment vertical="top"/>
    </xf>
    <xf numFmtId="0" fontId="3" fillId="0" borderId="11" xfId="2" applyFont="1" applyBorder="1" applyAlignment="1">
      <alignment horizontal="right" vertical="center"/>
    </xf>
    <xf numFmtId="0" fontId="11" fillId="0" borderId="11" xfId="2" applyFont="1" applyBorder="1" applyAlignment="1">
      <alignment horizontal="left" vertical="center" wrapText="1"/>
    </xf>
    <xf numFmtId="0" fontId="3" fillId="0" borderId="0" xfId="2" applyFont="1" applyAlignment="1">
      <alignment vertical="top" wrapText="1"/>
    </xf>
    <xf numFmtId="0" fontId="12" fillId="0" borderId="11" xfId="2" applyFont="1" applyBorder="1" applyAlignment="1">
      <alignment horizontal="left" vertical="center" wrapText="1"/>
    </xf>
    <xf numFmtId="0" fontId="10" fillId="0" borderId="13" xfId="2" applyFont="1" applyBorder="1" applyAlignment="1">
      <alignment horizontal="left" vertical="center" wrapText="1"/>
    </xf>
    <xf numFmtId="166" fontId="4" fillId="0" borderId="13" xfId="2" applyNumberFormat="1" applyFont="1" applyBorder="1" applyAlignment="1">
      <alignment horizontal="center" vertical="center"/>
    </xf>
    <xf numFmtId="166" fontId="4" fillId="0" borderId="13" xfId="3" applyFont="1" applyFill="1" applyBorder="1" applyAlignment="1">
      <alignment vertical="center"/>
    </xf>
    <xf numFmtId="166" fontId="4" fillId="0" borderId="13" xfId="3" applyFont="1" applyFill="1" applyBorder="1" applyAlignment="1">
      <alignment vertical="center" wrapText="1"/>
    </xf>
    <xf numFmtId="9" fontId="4" fillId="0" borderId="13" xfId="2" applyNumberFormat="1" applyFont="1" applyBorder="1" applyAlignment="1">
      <alignment horizontal="center" vertical="center"/>
    </xf>
    <xf numFmtId="9" fontId="4" fillId="0" borderId="13" xfId="3" applyNumberFormat="1" applyFont="1" applyFill="1" applyBorder="1" applyAlignment="1">
      <alignment horizontal="center" vertical="center" wrapText="1"/>
    </xf>
    <xf numFmtId="166" fontId="4" fillId="0" borderId="13" xfId="2" applyNumberFormat="1" applyFont="1" applyBorder="1" applyAlignment="1">
      <alignment vertical="center"/>
    </xf>
    <xf numFmtId="0" fontId="4" fillId="0" borderId="14" xfId="2" applyFont="1" applyBorder="1" applyAlignment="1">
      <alignment horizontal="center" vertical="center" wrapText="1"/>
    </xf>
    <xf numFmtId="0" fontId="13" fillId="0" borderId="14" xfId="2" applyFont="1" applyBorder="1" applyAlignment="1">
      <alignment horizontal="right" vertical="center" wrapText="1"/>
    </xf>
    <xf numFmtId="166" fontId="4" fillId="0" borderId="14" xfId="2" applyNumberFormat="1" applyFont="1" applyBorder="1" applyAlignment="1">
      <alignment horizontal="center" vertical="center"/>
    </xf>
    <xf numFmtId="166" fontId="4" fillId="0" borderId="14" xfId="3" applyFont="1" applyFill="1" applyBorder="1" applyAlignment="1">
      <alignment vertical="center" wrapText="1"/>
    </xf>
    <xf numFmtId="166" fontId="3" fillId="0" borderId="14" xfId="3" applyFont="1" applyFill="1" applyBorder="1" applyAlignment="1">
      <alignment vertical="center" wrapText="1"/>
    </xf>
    <xf numFmtId="9" fontId="4" fillId="0" borderId="14" xfId="3" applyNumberFormat="1" applyFont="1" applyFill="1" applyBorder="1" applyAlignment="1">
      <alignment horizontal="center" vertical="center" wrapText="1"/>
    </xf>
    <xf numFmtId="166" fontId="11" fillId="0" borderId="14" xfId="3" applyFont="1" applyFill="1" applyBorder="1" applyAlignment="1">
      <alignment vertical="center" wrapText="1"/>
    </xf>
    <xf numFmtId="166" fontId="3" fillId="0" borderId="0" xfId="2" applyNumberFormat="1" applyFont="1" applyAlignment="1">
      <alignment vertical="top" wrapText="1"/>
    </xf>
    <xf numFmtId="0" fontId="3" fillId="0" borderId="15" xfId="2" applyFont="1" applyBorder="1" applyAlignment="1">
      <alignment vertical="center"/>
    </xf>
    <xf numFmtId="0" fontId="3" fillId="0" borderId="15" xfId="2" applyFont="1" applyBorder="1" applyAlignment="1">
      <alignment horizontal="right" vertical="center"/>
    </xf>
    <xf numFmtId="4" fontId="3" fillId="0" borderId="15" xfId="2" applyNumberFormat="1" applyFont="1" applyBorder="1" applyAlignment="1">
      <alignment vertical="center"/>
    </xf>
    <xf numFmtId="166" fontId="3" fillId="0" borderId="15" xfId="3" applyFont="1" applyFill="1" applyBorder="1" applyAlignment="1">
      <alignment vertical="center"/>
    </xf>
    <xf numFmtId="166" fontId="3" fillId="0" borderId="0" xfId="5" applyFont="1" applyFill="1" applyAlignment="1">
      <alignment horizontal="center"/>
    </xf>
    <xf numFmtId="166" fontId="4" fillId="0" borderId="0" xfId="3" applyFont="1" applyFill="1" applyAlignment="1">
      <alignment vertical="top" wrapText="1"/>
    </xf>
    <xf numFmtId="166" fontId="14" fillId="0" borderId="0" xfId="3" applyFont="1" applyFill="1" applyAlignment="1">
      <alignment vertical="top" wrapText="1"/>
    </xf>
    <xf numFmtId="166" fontId="15" fillId="0" borderId="0" xfId="3" applyFont="1" applyFill="1" applyAlignment="1">
      <alignment vertical="top" wrapText="1"/>
    </xf>
    <xf numFmtId="166" fontId="10" fillId="0" borderId="0" xfId="3" applyFont="1" applyFill="1" applyAlignment="1">
      <alignment vertical="top" wrapText="1"/>
    </xf>
    <xf numFmtId="0" fontId="4" fillId="0" borderId="0" xfId="6" applyFont="1"/>
    <xf numFmtId="0" fontId="4" fillId="0" borderId="0" xfId="6" applyFont="1" applyAlignment="1">
      <alignment horizontal="left"/>
    </xf>
    <xf numFmtId="0" fontId="16" fillId="0" borderId="0" xfId="6" applyFont="1" applyAlignment="1">
      <alignment horizontal="left" vertical="center"/>
    </xf>
    <xf numFmtId="0" fontId="16" fillId="0" borderId="0" xfId="6" applyFont="1"/>
    <xf numFmtId="0" fontId="16" fillId="0" borderId="0" xfId="6" applyFont="1" applyAlignment="1">
      <alignment horizontal="left"/>
    </xf>
    <xf numFmtId="0" fontId="7" fillId="0" borderId="0" xfId="6" applyFont="1" applyAlignment="1">
      <alignment horizontal="left"/>
    </xf>
    <xf numFmtId="0" fontId="7" fillId="0" borderId="0" xfId="6" applyFont="1"/>
    <xf numFmtId="166" fontId="4" fillId="0" borderId="0" xfId="3" applyFont="1" applyFill="1" applyAlignment="1">
      <alignment wrapText="1"/>
    </xf>
    <xf numFmtId="166" fontId="3" fillId="0" borderId="3" xfId="3" applyFont="1" applyFill="1" applyBorder="1" applyAlignment="1">
      <alignment horizontal="center" vertical="center" wrapText="1"/>
    </xf>
    <xf numFmtId="166" fontId="3" fillId="0" borderId="4" xfId="3" applyFont="1" applyFill="1" applyBorder="1" applyAlignment="1">
      <alignment horizontal="center" vertical="center" wrapText="1"/>
    </xf>
    <xf numFmtId="166" fontId="3" fillId="0" borderId="8" xfId="3" applyFont="1" applyFill="1" applyBorder="1" applyAlignment="1">
      <alignment horizontal="center" vertical="center" wrapText="1"/>
    </xf>
    <xf numFmtId="166" fontId="3" fillId="0" borderId="1" xfId="3" applyFont="1" applyFill="1" applyBorder="1" applyAlignment="1">
      <alignment horizontal="center" vertical="center" wrapText="1"/>
    </xf>
    <xf numFmtId="166" fontId="3" fillId="0" borderId="5" xfId="3" applyFont="1" applyFill="1" applyBorder="1" applyAlignment="1">
      <alignment horizontal="center" vertical="center" wrapText="1"/>
    </xf>
    <xf numFmtId="166" fontId="3" fillId="0" borderId="9" xfId="3" applyFont="1" applyFill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3" fillId="0" borderId="7" xfId="2" applyFont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center" wrapText="1"/>
    </xf>
    <xf numFmtId="166" fontId="3" fillId="0" borderId="2" xfId="3" applyFont="1" applyFill="1" applyBorder="1" applyAlignment="1">
      <alignment horizontal="center" vertical="center" wrapText="1"/>
    </xf>
    <xf numFmtId="166" fontId="3" fillId="0" borderId="7" xfId="3" applyFont="1" applyFill="1" applyBorder="1" applyAlignment="1">
      <alignment horizontal="center" vertical="center" wrapText="1"/>
    </xf>
    <xf numFmtId="166" fontId="3" fillId="0" borderId="10" xfId="3" applyFont="1" applyFill="1" applyBorder="1" applyAlignment="1">
      <alignment horizontal="center" vertical="center" wrapText="1"/>
    </xf>
    <xf numFmtId="9" fontId="3" fillId="0" borderId="2" xfId="4" applyFont="1" applyFill="1" applyBorder="1" applyAlignment="1">
      <alignment horizontal="center" vertical="center" wrapText="1"/>
    </xf>
    <xf numFmtId="9" fontId="3" fillId="0" borderId="10" xfId="4" applyFont="1" applyFill="1" applyBorder="1" applyAlignment="1">
      <alignment horizontal="center" vertical="center" wrapText="1"/>
    </xf>
    <xf numFmtId="1" fontId="4" fillId="0" borderId="2" xfId="1" quotePrefix="1" applyNumberFormat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16" fillId="0" borderId="0" xfId="6" applyFont="1" applyAlignment="1">
      <alignment horizontal="center"/>
    </xf>
    <xf numFmtId="0" fontId="7" fillId="0" borderId="0" xfId="6" applyFont="1" applyAlignment="1">
      <alignment horizontal="center"/>
    </xf>
  </cellXfs>
  <cellStyles count="7">
    <cellStyle name="Comma 2" xfId="5"/>
    <cellStyle name="Comma 2 10 2" xfId="3"/>
    <cellStyle name="Normal" xfId="0" builtinId="0"/>
    <cellStyle name="Normal 10 3" xfId="6"/>
    <cellStyle name="Normal 2 10" xfId="1"/>
    <cellStyle name="Normal 3 4" xfId="2"/>
    <cellStyle name="Percent 8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externalLink" Target="externalLinks/externalLink77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82" Type="http://schemas.openxmlformats.org/officeDocument/2006/relationships/sharedStrings" Target="sharedStrings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8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638C09\BALANGON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RIDGE/2011%20%20JBA%20FILES/2011%20BRIDGES%20FILES/BALANGONA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11-pdd-008\2014%20pamana\Users\DPWH%20DCDEO\Desktop\rlc\BRIDGE\2010%20JBA%20FILES\BRIDGES\KALAW%20BRIDGE\KALAW%20REVISED%20%20POW%20FINAL%20100%20M%20FEB%2012%202010%20NO%20APPROACHES%20WITH%203%20COFFERDA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RIDGE/2010%20JBA%20FILES/BRIDGES/KALAW%20BRIDGE/KALAW%20REVISED%20%20POW%20FINAL%20100%20M%20FEB%2012%202010%20NO%20APPROACHES%20WITH%203%20COFFERDA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old\GEM_Cagayan\gem3%20revision%2001-JULY26\CamiguinProjects\UCDB\UCDBase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quipment\Plant%20and%20Equipment%20Rates%20Hire%20ACE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O-PPD14\ENGR.%20DEIB%20XU\P.E.O.%20ESTIMATES\DRAWINGS\2017\KALSADA%20PROGRAM\MAYAON%20PHASE%20II%20FINAL%2003.28.2017\for%20print%20set-up%2007.04.2017\ROAD%20QUANTITY%20WITH%20WINGWAL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pgrading%20of%20Alegria%20-%20Panag%20-%20Camanlangan%20Provincial%20Roa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11-pdd-008\2014%20pamana\Users\DPWH%20DCDEO\Desktop\rlc\BRIDGE\Baganga\POW(COMPLETE%20BR.PERMANENT%20HALFLANE%20CONCRETE)OPERATED%20HOUR%20%20293M%20%20FINAL%20FEB%2017%202009(additional%20craneway)1.6M%20PER%20LINEAR%20POW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RIDGE/Baganga/POW(COMPLETE%20BR.PERMANENT%20HALFLANE%20CONCRETE)OPERATED%20HOUR%20%20293M%20%20FINAL%20FEB%2017%202009(additional%20craneway)1.6M%20PER%20LINEAR%20POW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lma\$g3$\1%20-%20JON%20DISPO%20FILES\PACKAGING%20-%20GEM%203\10%20-%20July%202009%20Packaging\2%20-%20Pob.%20Tabina%20TC\Jay\GEM%202\Cost%20Packaging\UCDB%20New\UCDBase4New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quipment/Plant%20and%20Equipment%20Rates%20Hire%20ACE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blu\Bridges&amp;Flood%20Control\Gabuyan(frm%20program%20source)10%25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11-pdd-008\2014%20pamana\Users\DPWH%20DCDEO\Desktop\rlc\BRIDGE\2011%20%20JBA%20FILES\2012%20PROJECT%20FOR%20FUNDING\REGION%20XI%20POW\LASANG\lasang%20flood%20contrl\lasang%20river%20flood%20control%20section%20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RIDGE/2011%20%20JBA%20FILES/2012%20PROJECT%20FOR%20FUNDING/REGION%20XI%20POW/LASANG/lasang%20flood%20contrl/lasang%20river%20flood%20control%20section%20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EO\Favorites\Downloads\Equipment\Plant%20and%20Equipment%20Rates%20Hire%20ACE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blu\Bridges&amp;Flood%20Control\SUMLOG%20(%20REPLACEMENT%20OF%20DECK%20SLAB,GIRDER)%2002220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lma\$g3$\1%20-%20JON%20DISPO%20FILES\PACKAGING%20-%20GEM%203\10%20-%20July%202009%20Packaging\2%20-%20Pob.%20Tabina%20TC\UCDB\UCDBase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Desktop\GEM%203%20BIP%20Projects\Aleosan\Sitio%207%20GSD\Kapinpilan%20GSD\UCDB\UCDBase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0E122\DAVAO-BUKIDNON%20ROAD(CALINAN)%20PREVENTIVE%20MAINTENANCE_%20REV%2012271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Windows7\Desktop\NCDDP%20Proj\Compostela\Users\Windows7\Desktop\NCDDP%20Proj\Maragusan\BRIDGE\2011%20%20JBA%20FILES\2011%20BRIDGES%20FILES\BALANGONA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Windows7/Desktop/NCDDP%20Proj/Compostela/Users/Windows7/Desktop/NCDDP%20Proj/Maragusan/BRIDGE/2011%20%20JBA%20FILES/2011%20BRIDGES%20FILES/BALANGONA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NGR.%20APRIL\APYANG\APYANG\1.)%20ESTIMATES%20SECTION%20-%20references\DUKYO\summary%20kapalong%20talaingod.xls%20CHANGE%20FACTOR%20CEMEN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Desktop\GEM%203%20BIP%20Projects\Aleosan\Sitio%207%20GSD\Kapinpilan%20GSD\DOCUME~1\Xtreme.net\LOCALS~1\Temp\UCDB%20new\UCDBase4New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Desktop\GEM%203%20BIP%20Projects\Aleosan\Sitio%207%20GSD\Kapinpilan%20GSD\DOCUME~1\Xtreme.net\LOCALS~1\Temp\jbc\GEM%202\Cost%20Packaging\UCDB%20New\UCDBase4New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BLU08\Bridges&amp;Flood%20Control\Bridges&amp;Flood%20Control\2019\POW2_HB\PANIBASAN\PANIBASA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CDB\UCDBase5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typical%20joint%20detai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Desktop\GEM%203%20BIP%20Projects\Aleosan\Sitio%207%20GSD\Kapinpilan%20GSD\UCDB%20new\UCDBase4New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Desktop\GEM%203%20BIP%20Projects\Aleosan\Sitio%207%20GSD\Kapinpilan%20GSD\DOCUME~1\Xtreme.net\LOCALS~1\Temp\Jay\GEM%202\Cost%20Packaging\UCDB%20New\UCDBase4New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lma\$g3$\1%20-%20JON%20DISPO%20FILES\PACKAGING%20-%20GEM%203\10%20-%20July%202009%20Packaging\2%20-%20Pob.%20Tabina%20TC\UCDB%20new\UCDBase4New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Desktop\GEM%203%20BIP%20Projects\Aleosan\Sitio%207%20GSD\Kapinpilan%20GSD\personal\Andrew3\Data%20Base\UCDBase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11-pdd-008\2014%20pamana\ALBERT%20FILES\PEO%20FILES%20AND%20PROJECTS\Roads\DISTRIC%201\Monkayo\Banlag%20to%20Casoon%20FMR\CASOON%20BARE\BACKUP\ROAD%20QUANTITY%20CASOON%204+0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old\GEM_Cagayan\gem3%20revision%2001-JULY26\CamiguinProjects\COST-CIPs\CamiguinProjects\910mm&#216;RCPCConst(1-Barrel)K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lma\$g3$\1%20-%20JON%20DISPO%20FILES\PACKAGING%20-%20GEM%203\10%20-%20July%202009%20Packaging\2%20-%20Pob.%20Tabina%20TC\Documents%20and%20Settings\rod\Projects\Documents%20and%20Settings\rod\StanComp\Unit%20Cost%20Data%20Base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9389EF\Unit%20Cost%20Data%20Base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st\File%20from%20Bebot\Projects%20on%20DCS-Rod\Community%20Center%20&amp;%20Multi%20Purpose%20Bldg\Documents%20and%20Settings\rod\StanComp\Unit%20Cost%20Data%20Base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Desktop\GEM%203%20BIP%20Projects\Aleosan\Sitio%207%20GSD\Kapinpilan%20GSD\Projects%20on%20DCS-Rod\Documents%20and%20Settings\rod\StanComp\Unit%20Cost%20Data%20Base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RIDGE\2011%20%20JBA%20FILES\2012%20PROJECT%20FOR%20FUNDING\REGION%20XI%20POW\LASANG\lasang%20flood%20contrl\lasang%20river%20flood%20control%20section%20A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s-rod\$UCDB$\UCDBase4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old\GEM_Cagayan\gem3%20revision%2001-JULY26\CamiguinProjects\Jay\GEM%202\Cost%20Packaging\UCDB%20New\UCDBase4New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Dcs-Unit\Local%20Settings\Temporary%20Internet%20Files\Content.IE5\KVYZQHQ1\UCDB%20New\UCDBase4New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11-pdd-008\2014%20pamana\Users\DPWH%20DCDEO\Desktop\rlc\BRIDGE\2011%20%20JBA%20FILES\2011%20BRIDGES%20FILES\PADADA%20BRIDGE,REVETMENT\part%203(%20july%2013,2011%205%20option)\MANAT-MATILO%20COMVAL%20PROVINCE\MAA-BANGKAL\MAA-BANGKAL%20NEW%20POW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RIDGE/2011%20%20JBA%20FILES/2011%20BRIDGES%20FILES/PADADA%20BRIDGE,REVETMENT/part%203(%20july%2013,2011%205%20option)/MANAT-MATILO%20COMVAL%20PROVINCE/MAA-BANGKAL/MAA-BANGKAL%20NEW%20PO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lma\$g3$\1%20-%20JON%20DISPO%20FILES\PACKAGING%20-%20GEM%203\10%20-%20July%202009%20Packaging\2%20-%20Pob.%20Tabina%20TC\Documents%20and%20Settings\rod\Projects\UCDB\UCDBase5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s-rod\$ucdb%20new$\Andrew\CIP%20Projects\Documents%20and%20Settings\rod\Projects\UCDB\UCDBase5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Desktop\GEM%203%20BIP%20Projects\Aleosan\Sitio%207%20GSD\Kapinpilan%20GSD\DOCUME~1\Xtreme.net\LOCALS~1\Temp\UCDB%20New\Documents%20and%20Settings\rod\Projects\UCDB\UCDBase5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O-PPD14\ENGR.%20DEIB%20XU\P.E.O.%20ESTIMATES\DRAWINGS\2017\KALSADA%20PROGRAM\MAYAON%20PHASE%20II%20FINAL%2003.28.2017\for%20print%20set-up%2007.04.2017\Users\Echus%20Files\NCDDP%20Projects\Compostela\UCDB%20New\UCDBase4New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CDB%20New/UCDBase4New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Windows7/Desktop/NCDDP%20Proj/Compostela/BRIDGE/2011%20%20JBA%20FILES/2011%20BRIDGES%20FILES/BALANGONA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ash\ucdb\szopad\electrical%20supply%20-%203c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lma\$g3$\1%20-%20JON%20DISPO%20FILES\PACKAGING%20-%20GEM%203\10%20-%20July%202009%20Packaging\2%20-%20Pob.%20Tabina%20TC\UCDBase4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d\$ucdb%20new$\UCDB\UCDBase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tine%20Files\__WORK%20FILES\_POW%20Files\_uncategorized\POW-ABC%20MOTHER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s-edwin\EDWIN\LEAD-SATELLITE%20SCHL%20FILE-manila%20sept2001\TRUE%20DISK%201\hpfonts\CECAP\VICTOR\pow\AMT%20trialHCABB%20CIS%205%2095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lma\$g3$\1%20-%20JON%20DISPO%20FILES\PACKAGING%20-%20GEM%203\10%20-%20July%202009%20Packaging\2%20-%20Pob.%20Tabina%20TC\ESTIMATES\DRAINAGE%20CANAL\Alicia\UCDB%20new\UCDBase4New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Desktop\GEM%203%20BIP%20Projects\Aleosan\Sitio%207%20GSD\Kapinpilan%20GSD\ESTIMATES\DRAINAGE%20CANAL\Alicia\UCDB%20new\UCDBase4New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lma\$g3$\1%20-%20JON%20DISPO%20FILES\PACKAGING%20-%20GEM%203\10%20-%20July%202009%20Packaging\2%20-%20Pob.%20Tabina%20TC\Documents%20and%20Settings\G%20E%20M\My%20Documents\ESTIMATES\QUANTIFICATIONS\ALICIA%20BOAT%20LANDING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Desktop\GEM%203%20BIP%20Projects\Aleosan\Sitio%207%20GSD\Kapinpilan%20GSD\May%2016\QUANTIFICATIONS\ALICIA%20BOAT%20LANDING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3A9438\MAA-BANGKAL%20NEW%20POW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RIDGE/2011%20%20JBA%20FILES/2011%20BRIDGES%20FILES/MAA-BANGKAL/MAA-BANGKAL%20NEW%20POW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MON\Public\9.%20Approach%20Slab%20Design\Design%20of%20Approach%20Slab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quipment\Plant%20and%20Equipment%20Rates%20Hire%20ACEL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YAN\Projects\br&#181;n\Excel%20files\megkawayan\megkawayan%2035-40-35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s-edwin\EDWIN\LEAD-SATELLITE%20SCHL%20FILE-manila%20sept2001\TRUE%20DISK%201\Engrs_Reservoir\Samo\FILES\Revised%20Piwong%20-%20Kayapa%20Road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O-PPD14\ENGR.%20DEIB%20XU\P.E.O.%20ESTIMATES\DRAWINGS\2017\KALSADA%20PROGRAM\MAYAON%20PHASE%20II%20FINAL%2003.28.2017\for%20print%20set-up%2007.04.2017\Users\Users\Windows7\Desktop\NCDDP%20Proj\Maragusan\UCDB%20New\UCDBase4New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Windows7/Desktop/NCDDP%20Proj/Compostela/Users/Windows7/Desktop/NCDDP%20Proj/Maragusan/UCDB%20New/UCDBase4New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old\GEM_Cagayan\UCDBase4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lma\$bip%203$\UCDB\UCDBase5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blu\Bridges&amp;Flood%20Control\Ktine%20Files\_WORK%20FILES\_POW%20Files\2014%20NEP\2014%20Cogon-Kapatagan%20(202.352M)\BRIDGE\2011%20%20JBA%20FILES\2011%20BRIDGES%20FILES\DAVAO-COTABATO%20POW\DAV-COT%20POW%20FINAL%201(base%20on%20DO%2012%20series%202011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11-pdd-008\2014%20pamana\Users\DPWH%20DCDEO\Desktop\rlc\BRIDGE\2011%20%20JBA%20FILES\2011%20BRIDGES%20FILES\2011%20POW%20MIRAL%20BRIDGES\MIRAL%20BRIDGE%20(bridge,abut%20protection%20and%20RW%20partial)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RIDGE/2011%20%20JBA%20FILES/2011%20BRIDGES%20FILES/2011%20POW%20MIRAL%20BRIDGES/MIRAL%20BRIDGE%20(bridge,abut%20protection%20and%20RW%20partial)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390DED1\CALINAN%20TORIL%20100M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RIDGE/2011%20%20JBA%20FILES/2012%20PROJECT%20FOR%20FUNDING/REGION%20XI%20POW/CALINAN%20TORIL%20100M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d\$ucdb%20new$\UCDB%20New\UCDBase4New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POW-MAGSAYSAY-1-STOREY-3-CLASSROO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A"/>
      <sheetName val="list B"/>
      <sheetName val="NEW SOURCE"/>
      <sheetName val="Source"/>
      <sheetName val="Sheet2"/>
      <sheetName val="FRONT PAGE"/>
      <sheetName val="2ND PAGE"/>
      <sheetName val="Sheet4"/>
      <sheetName val="103"/>
      <sheetName val="401"/>
      <sheetName val="404(a)"/>
      <sheetName val="404(b)"/>
      <sheetName val="405(1)"/>
      <sheetName val="405(2)"/>
      <sheetName val="400(5)"/>
      <sheetName val="400(16)"/>
      <sheetName val="400(15)"/>
      <sheetName val="406"/>
      <sheetName val="412"/>
      <sheetName val="410"/>
      <sheetName val="411"/>
      <sheetName val="100"/>
      <sheetName val="101(3)"/>
      <sheetName val="103(1)"/>
      <sheetName val="104(1)r"/>
      <sheetName val="104(2)"/>
      <sheetName val="105(1)"/>
      <sheetName val="200"/>
      <sheetName val="301"/>
      <sheetName val="310"/>
      <sheetName val="311(1)"/>
      <sheetName val="311(2)"/>
      <sheetName val="505"/>
      <sheetName val="612(1)"/>
      <sheetName val="612(2)"/>
      <sheetName val="603(3)a"/>
      <sheetName val="Sheet3"/>
      <sheetName val="101"/>
      <sheetName val="103(1) FC"/>
      <sheetName val="404"/>
      <sheetName val="405"/>
      <sheetName val="507"/>
      <sheetName val="1"/>
      <sheetName val="509"/>
      <sheetName val="safety 2"/>
      <sheetName val="safety"/>
      <sheetName val="tma rd"/>
      <sheetName val="TRAFFIC"/>
      <sheetName val="tma FC"/>
      <sheetName val="temfacil 6 x 8"/>
      <sheetName val="temfacil 6x 6"/>
      <sheetName val="BILLBOARD2"/>
      <sheetName val="BB"/>
      <sheetName val="vehicle b"/>
      <sheetName val="veh comp"/>
      <sheetName val="VEHICLE A"/>
      <sheetName val="TMA 1"/>
      <sheetName val="TMA"/>
      <sheetName val="bare month equip"/>
      <sheetName val="SUMMARY 2"/>
      <sheetName val="railing sidewalk rebars qty"/>
      <sheetName val="Sheet1"/>
      <sheetName val="mob"/>
    </sheetNames>
    <sheetDataSet>
      <sheetData sheetId="0" refreshError="1"/>
      <sheetData sheetId="1" refreshError="1"/>
      <sheetData sheetId="2" refreshError="1"/>
      <sheetData sheetId="3">
        <row r="13">
          <cell r="B13">
            <v>14</v>
          </cell>
        </row>
        <row r="14">
          <cell r="B14">
            <v>5</v>
          </cell>
        </row>
        <row r="16">
          <cell r="B16">
            <v>1135</v>
          </cell>
        </row>
        <row r="17">
          <cell r="B17">
            <v>75</v>
          </cell>
        </row>
        <row r="26">
          <cell r="B26">
            <v>2296</v>
          </cell>
        </row>
        <row r="32">
          <cell r="J32">
            <v>420</v>
          </cell>
        </row>
        <row r="41">
          <cell r="J41">
            <v>36</v>
          </cell>
        </row>
        <row r="68">
          <cell r="J68">
            <v>16483.5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A"/>
      <sheetName val="list B"/>
      <sheetName val="NEW SOURCE"/>
      <sheetName val="Source"/>
      <sheetName val="Sheet2"/>
      <sheetName val="FRONT PAGE"/>
      <sheetName val="2ND PAGE"/>
      <sheetName val="Sheet4"/>
      <sheetName val="103"/>
      <sheetName val="401"/>
      <sheetName val="404(a)"/>
      <sheetName val="404(b)"/>
      <sheetName val="405(1)"/>
      <sheetName val="405(2)"/>
      <sheetName val="400(5)"/>
      <sheetName val="400(16)"/>
      <sheetName val="400(15)"/>
      <sheetName val="406"/>
      <sheetName val="412"/>
      <sheetName val="410"/>
      <sheetName val="411"/>
      <sheetName val="100"/>
      <sheetName val="101(3)"/>
      <sheetName val="103(1)"/>
      <sheetName val="104(1)r"/>
      <sheetName val="104(2)"/>
      <sheetName val="105(1)"/>
      <sheetName val="200"/>
      <sheetName val="301"/>
      <sheetName val="310"/>
      <sheetName val="311(1)"/>
      <sheetName val="311(2)"/>
      <sheetName val="505"/>
      <sheetName val="612(1)"/>
      <sheetName val="612(2)"/>
      <sheetName val="603(3)a"/>
      <sheetName val="Sheet3"/>
      <sheetName val="101"/>
      <sheetName val="103(1) FC"/>
      <sheetName val="404"/>
      <sheetName val="405"/>
      <sheetName val="507"/>
      <sheetName val="1"/>
      <sheetName val="509"/>
      <sheetName val="safety 2"/>
      <sheetName val="safety"/>
      <sheetName val="tma rd"/>
      <sheetName val="TRAFFIC"/>
      <sheetName val="tma FC"/>
      <sheetName val="temfacil 6 x 8"/>
      <sheetName val="temfacil 6x 6"/>
      <sheetName val="BILLBOARD2"/>
      <sheetName val="BB"/>
      <sheetName val="vehicle b"/>
      <sheetName val="veh comp"/>
      <sheetName val="VEHICLE A"/>
      <sheetName val="TMA 1"/>
      <sheetName val="TMA"/>
      <sheetName val="bare month equip"/>
      <sheetName val="SUMMARY 2"/>
      <sheetName val="railing sidewalk rebars qty"/>
      <sheetName val="Sheet1"/>
      <sheetName val="mob"/>
    </sheetNames>
    <sheetDataSet>
      <sheetData sheetId="0" refreshError="1"/>
      <sheetData sheetId="1" refreshError="1"/>
      <sheetData sheetId="2" refreshError="1"/>
      <sheetData sheetId="3">
        <row r="13">
          <cell r="B13">
            <v>14</v>
          </cell>
        </row>
        <row r="14">
          <cell r="B14">
            <v>5</v>
          </cell>
        </row>
        <row r="16">
          <cell r="B16">
            <v>1135</v>
          </cell>
        </row>
        <row r="17">
          <cell r="B17">
            <v>75</v>
          </cell>
        </row>
        <row r="26">
          <cell r="B26">
            <v>2296</v>
          </cell>
        </row>
        <row r="32">
          <cell r="J32">
            <v>420</v>
          </cell>
        </row>
        <row r="41">
          <cell r="J41">
            <v>36</v>
          </cell>
        </row>
        <row r="68">
          <cell r="J68">
            <v>16483.5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"/>
      <sheetName val="FRONT PAGE"/>
      <sheetName val="2ND PAGE"/>
      <sheetName val="BRIDGE"/>
      <sheetName val="101(1)"/>
      <sheetName val="103(1)bridge"/>
      <sheetName val="104 bridge"/>
      <sheetName val="401"/>
      <sheetName val="404(a)"/>
      <sheetName val="404(b)"/>
      <sheetName val="405(1)"/>
      <sheetName val="405(2)"/>
      <sheetName val="400(4)"/>
      <sheetName val="400(5)"/>
      <sheetName val="400(14)"/>
      <sheetName val="400(16a"/>
      <sheetName val="400(15)"/>
      <sheetName val="400(16)"/>
      <sheetName val="ROADWAY"/>
      <sheetName val="100(1)"/>
      <sheetName val="101(3)a"/>
      <sheetName val="101(3)b"/>
      <sheetName val="101(3)c"/>
      <sheetName val="103(1)"/>
      <sheetName val="103(1) FC"/>
      <sheetName val="103(3)FC"/>
      <sheetName val="103(6) FC"/>
      <sheetName val="500(1)a"/>
      <sheetName val="500(1)b"/>
      <sheetName val="506"/>
      <sheetName val="104(1)"/>
      <sheetName val="104(2)"/>
      <sheetName val="105(1)"/>
      <sheetName val="105(2)a"/>
      <sheetName val="105(2)b"/>
      <sheetName val="200"/>
      <sheetName val="311(1)"/>
      <sheetName val="311(2)"/>
      <sheetName val="505"/>
      <sheetName val="603(3A)1"/>
      <sheetName val="612(1)"/>
      <sheetName val="612(2)"/>
      <sheetName val="FLOOD CONTROL"/>
      <sheetName val="safety 2"/>
      <sheetName val="safety"/>
      <sheetName val="cofferdam"/>
      <sheetName val="cofferdam final"/>
      <sheetName val="craneway"/>
      <sheetName val="craneway final"/>
      <sheetName val="tma rd"/>
      <sheetName val="TRAFFIC"/>
      <sheetName val="tma FC"/>
      <sheetName val="temfacil 6 x 8"/>
      <sheetName val="temfacil"/>
      <sheetName val="BILLBOARD2"/>
      <sheetName val="BB"/>
      <sheetName val="vehicle b"/>
      <sheetName val="veh comp"/>
      <sheetName val="VEHICLE A"/>
      <sheetName val="TMA 1"/>
      <sheetName val="TMA"/>
      <sheetName val="bare month equip"/>
      <sheetName val="SUMMARY 2"/>
      <sheetName val="summary"/>
    </sheetNames>
    <sheetDataSet>
      <sheetData sheetId="0" refreshError="1">
        <row r="4">
          <cell r="J4">
            <v>300</v>
          </cell>
        </row>
        <row r="5">
          <cell r="J5">
            <v>432</v>
          </cell>
        </row>
        <row r="6">
          <cell r="J6">
            <v>482</v>
          </cell>
        </row>
        <row r="7">
          <cell r="B7">
            <v>968</v>
          </cell>
        </row>
        <row r="8">
          <cell r="J8">
            <v>1200</v>
          </cell>
        </row>
        <row r="9">
          <cell r="B9">
            <v>562.32000000000005</v>
          </cell>
          <cell r="J9">
            <v>18</v>
          </cell>
        </row>
        <row r="10">
          <cell r="B10">
            <v>1229</v>
          </cell>
          <cell r="J10">
            <v>18</v>
          </cell>
        </row>
        <row r="11">
          <cell r="B11">
            <v>15</v>
          </cell>
          <cell r="J11">
            <v>319</v>
          </cell>
        </row>
        <row r="12">
          <cell r="B12">
            <v>95</v>
          </cell>
          <cell r="J12">
            <v>72</v>
          </cell>
        </row>
        <row r="13">
          <cell r="J13">
            <v>78</v>
          </cell>
        </row>
        <row r="18">
          <cell r="B18">
            <v>173</v>
          </cell>
        </row>
        <row r="20">
          <cell r="B20">
            <v>292.64</v>
          </cell>
        </row>
        <row r="21">
          <cell r="B21">
            <v>1583</v>
          </cell>
        </row>
        <row r="23">
          <cell r="B23">
            <v>1280</v>
          </cell>
        </row>
        <row r="30">
          <cell r="B30">
            <v>565</v>
          </cell>
        </row>
        <row r="35">
          <cell r="J35">
            <v>5223</v>
          </cell>
        </row>
        <row r="36">
          <cell r="J36">
            <v>4620</v>
          </cell>
        </row>
        <row r="41">
          <cell r="J41">
            <v>44</v>
          </cell>
        </row>
        <row r="42">
          <cell r="J42">
            <v>45</v>
          </cell>
        </row>
        <row r="52">
          <cell r="J52">
            <v>606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"/>
      <sheetName val="FRONT PAGE"/>
      <sheetName val="2ND PAGE"/>
      <sheetName val="BRIDGE"/>
      <sheetName val="101(1)"/>
      <sheetName val="103(1)bridge"/>
      <sheetName val="104 bridge"/>
      <sheetName val="401"/>
      <sheetName val="404(a)"/>
      <sheetName val="404(b)"/>
      <sheetName val="405(1)"/>
      <sheetName val="405(2)"/>
      <sheetName val="400(4)"/>
      <sheetName val="400(5)"/>
      <sheetName val="400(14)"/>
      <sheetName val="400(16a"/>
      <sheetName val="400(15)"/>
      <sheetName val="400(16)"/>
      <sheetName val="ROADWAY"/>
      <sheetName val="100(1)"/>
      <sheetName val="101(3)a"/>
      <sheetName val="101(3)b"/>
      <sheetName val="101(3)c"/>
      <sheetName val="103(1)"/>
      <sheetName val="103(1) FC"/>
      <sheetName val="103(3)FC"/>
      <sheetName val="103(6) FC"/>
      <sheetName val="500(1)a"/>
      <sheetName val="500(1)b"/>
      <sheetName val="506"/>
      <sheetName val="104(1)"/>
      <sheetName val="104(2)"/>
      <sheetName val="105(1)"/>
      <sheetName val="105(2)a"/>
      <sheetName val="105(2)b"/>
      <sheetName val="200"/>
      <sheetName val="311(1)"/>
      <sheetName val="311(2)"/>
      <sheetName val="505"/>
      <sheetName val="603(3A)1"/>
      <sheetName val="612(1)"/>
      <sheetName val="612(2)"/>
      <sheetName val="FLOOD CONTROL"/>
      <sheetName val="safety 2"/>
      <sheetName val="safety"/>
      <sheetName val="cofferdam"/>
      <sheetName val="cofferdam final"/>
      <sheetName val="craneway"/>
      <sheetName val="craneway final"/>
      <sheetName val="tma rd"/>
      <sheetName val="TRAFFIC"/>
      <sheetName val="tma FC"/>
      <sheetName val="temfacil 6 x 8"/>
      <sheetName val="temfacil"/>
      <sheetName val="BILLBOARD2"/>
      <sheetName val="BB"/>
      <sheetName val="vehicle b"/>
      <sheetName val="veh comp"/>
      <sheetName val="VEHICLE A"/>
      <sheetName val="TMA 1"/>
      <sheetName val="TMA"/>
      <sheetName val="bare month equip"/>
      <sheetName val="SUMMARY 2"/>
      <sheetName val="summary"/>
    </sheetNames>
    <sheetDataSet>
      <sheetData sheetId="0" refreshError="1">
        <row r="4">
          <cell r="J4">
            <v>300</v>
          </cell>
        </row>
        <row r="5">
          <cell r="J5">
            <v>432</v>
          </cell>
        </row>
        <row r="6">
          <cell r="J6">
            <v>482</v>
          </cell>
        </row>
        <row r="7">
          <cell r="B7">
            <v>968</v>
          </cell>
        </row>
        <row r="8">
          <cell r="J8">
            <v>1200</v>
          </cell>
        </row>
        <row r="9">
          <cell r="B9">
            <v>562.32000000000005</v>
          </cell>
          <cell r="J9">
            <v>18</v>
          </cell>
        </row>
        <row r="10">
          <cell r="B10">
            <v>1229</v>
          </cell>
          <cell r="J10">
            <v>18</v>
          </cell>
        </row>
        <row r="11">
          <cell r="B11">
            <v>15</v>
          </cell>
          <cell r="J11">
            <v>319</v>
          </cell>
        </row>
        <row r="12">
          <cell r="B12">
            <v>95</v>
          </cell>
          <cell r="J12">
            <v>72</v>
          </cell>
        </row>
        <row r="13">
          <cell r="J13">
            <v>78</v>
          </cell>
        </row>
        <row r="18">
          <cell r="B18">
            <v>173</v>
          </cell>
        </row>
        <row r="20">
          <cell r="B20">
            <v>292.64</v>
          </cell>
        </row>
        <row r="21">
          <cell r="B21">
            <v>1583</v>
          </cell>
        </row>
        <row r="23">
          <cell r="B23">
            <v>1280</v>
          </cell>
        </row>
        <row r="30">
          <cell r="B30">
            <v>565</v>
          </cell>
        </row>
        <row r="35">
          <cell r="J35">
            <v>5223</v>
          </cell>
        </row>
        <row r="36">
          <cell r="J36">
            <v>4620</v>
          </cell>
        </row>
        <row r="41">
          <cell r="J41">
            <v>44</v>
          </cell>
        </row>
        <row r="42">
          <cell r="J42">
            <v>45</v>
          </cell>
        </row>
        <row r="52">
          <cell r="J52">
            <v>606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Center"/>
      <sheetName val="Project List"/>
      <sheetName val="Extracted Information"/>
      <sheetName val="Data"/>
      <sheetName val="Numbers"/>
      <sheetName val="Materials"/>
      <sheetName val="Manpower"/>
      <sheetName val="Transport"/>
      <sheetName val="Equipment"/>
      <sheetName val="Scope of Works"/>
      <sheetName val="Others"/>
      <sheetName val="Compo Bill "/>
      <sheetName val="Detailed "/>
      <sheetName val="Intake Box Type (Expansion) (2)"/>
      <sheetName val="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OLOD RENTAL RATES"/>
      <sheetName val="Equipment Rental ACEL"/>
      <sheetName val="ACEL"/>
      <sheetName val="Sourc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OF QUANTITY"/>
      <sheetName val="Unit Cost"/>
      <sheetName val="Raw Data"/>
      <sheetName val="Quantity Sheet &amp; Summary "/>
      <sheetName val="GIARDRAIL"/>
      <sheetName val="Summary"/>
      <sheetName val="Drainage Schedule"/>
      <sheetName val="TREES"/>
      <sheetName val="pavement markings"/>
      <sheetName val="CANAL LINING"/>
      <sheetName val="COCONET COCOLOG"/>
      <sheetName val="Overflow"/>
      <sheetName val="canal"/>
      <sheetName val="Source"/>
    </sheetNames>
    <sheetDataSet>
      <sheetData sheetId="0"/>
      <sheetData sheetId="1">
        <row r="8">
          <cell r="E8">
            <v>31273.94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t Cost"/>
      <sheetName val="b'chart.bak'up"/>
      <sheetName val="104(2)"/>
      <sheetName val="505"/>
      <sheetName val="back-up.masonry"/>
      <sheetName val="chb.bak'up"/>
      <sheetName val="SPL-4"/>
      <sheetName val="SPL-5"/>
      <sheetName val="Matrix"/>
      <sheetName val="abc"/>
      <sheetName val="for pert cpm"/>
      <sheetName val="Barchart"/>
      <sheetName val="Barchart - back.up"/>
      <sheetName val="SUMMARY SHEETS"/>
      <sheetName val="POW DILG"/>
      <sheetName val="ABC."/>
      <sheetName val="A.1.1(3)Office"/>
      <sheetName val="A.1.1(3)OfficeMat'ls"/>
      <sheetName val="B.4(1)Staking"/>
      <sheetName val="B.5.billboard"/>
      <sheetName val="B.7.S&amp;H"/>
      <sheetName val="B.9.MobiDemob"/>
      <sheetName val="101(1)"/>
      <sheetName val="102(2)"/>
      <sheetName val="TMA.Disposal.102"/>
      <sheetName val="103(1)"/>
      <sheetName val="103(3)"/>
      <sheetName val="103(6)"/>
      <sheetName val="104(1)"/>
      <sheetName val="backup.104(1)"/>
      <sheetName val="104(2)."/>
      <sheetName val="backup.104(2)"/>
      <sheetName val="TMA.104(2)."/>
      <sheetName val="105(1)"/>
      <sheetName val="200"/>
      <sheetName val="backup.200"/>
      <sheetName val="TMA.200"/>
      <sheetName val="311"/>
      <sheetName val="311(1).bak'up"/>
      <sheetName val="311(1).TMA.mixer"/>
      <sheetName val="311(2)"/>
      <sheetName val="311(2).Backup"/>
      <sheetName val="TMA.Mixer 311(2)"/>
      <sheetName val="404"/>
      <sheetName val="405(1)"/>
      <sheetName val="500(1)b."/>
      <sheetName val="500(1)c"/>
      <sheetName val="500(1)d"/>
      <sheetName val="505(5)"/>
      <sheetName val="505(5).Back up"/>
      <sheetName val="506"/>
      <sheetName val="506.Back up"/>
      <sheetName val="508"/>
      <sheetName val="TMA.Boulders"/>
      <sheetName val="603(3a)"/>
      <sheetName val="603(3a) Bak'up"/>
      <sheetName val="GUARDRAIL - Sched"/>
      <sheetName val="605(1)"/>
      <sheetName val="606(1)"/>
      <sheetName val="POW"/>
      <sheetName val="TMA.104(2)"/>
      <sheetName val="620(a)"/>
      <sheetName val="TMA.Washed Sand &amp; Gravel"/>
      <sheetName val="Summary"/>
      <sheetName val="Raw Data(0-10100)"/>
      <sheetName val="Quantity Sheet &amp; Summary (1) "/>
      <sheetName val="Raw Data (2)"/>
      <sheetName val="Quantity Sheet &amp; Summary  (2)"/>
      <sheetName val="CANAL LINING"/>
      <sheetName val="Bak'up.Canal404&amp;405"/>
      <sheetName val="GUARDRAILdaan"/>
      <sheetName val="TREES"/>
      <sheetName val="pavement markings"/>
      <sheetName val="COCONET COCOLOG"/>
      <sheetName val="LINED CANAL-bak-up"/>
      <sheetName val="GUARDRAIL"/>
      <sheetName val="Drainage Schedule "/>
      <sheetName val="back- up Slope Protection"/>
      <sheetName val="canal L-S"/>
      <sheetName val="canal R-S"/>
      <sheetName val="Reminder"/>
      <sheetName val="CCenter"/>
    </sheetNames>
    <sheetDataSet>
      <sheetData sheetId="0">
        <row r="8">
          <cell r="E8">
            <v>31273.94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5">
          <cell r="H5">
            <v>479</v>
          </cell>
        </row>
      </sheetData>
      <sheetData sheetId="14">
        <row r="12">
          <cell r="A12" t="str">
            <v>UPGRADING/IMPROVEMENT OF ALEGRIA - PANAG - CAMANLANGAN PROVINCIAL ROAD</v>
          </cell>
        </row>
      </sheetData>
      <sheetData sheetId="15">
        <row r="14">
          <cell r="R14">
            <v>0.08</v>
          </cell>
        </row>
      </sheetData>
      <sheetData sheetId="16"/>
      <sheetData sheetId="17"/>
      <sheetData sheetId="18" refreshError="1"/>
      <sheetData sheetId="19" refreshError="1"/>
      <sheetData sheetId="20" refreshError="1"/>
      <sheetData sheetId="21">
        <row r="57">
          <cell r="K57" t="str">
            <v>OCM ( 12 % of Direct Cost )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Source"/>
      <sheetName val="FRONT PAGE"/>
      <sheetName val="2ND PAGE"/>
      <sheetName val="Sheet7"/>
      <sheetName val="BRIDGE"/>
      <sheetName val="rev road"/>
      <sheetName val="detour"/>
      <sheetName val="FLOOD CONTROL"/>
      <sheetName val="Sheet1"/>
      <sheetName val="detour half lane"/>
      <sheetName val="safety 2"/>
      <sheetName val="cofferdam"/>
      <sheetName val="Sheet3"/>
      <sheetName val="craneway"/>
      <sheetName val="CRANEWAY@ DETOUR"/>
      <sheetName val="disposal"/>
      <sheetName val="AQUA GEL"/>
      <sheetName val="tma detour"/>
      <sheetName val="ROAD"/>
      <sheetName val="tma rd"/>
      <sheetName val="TRAFFIC"/>
      <sheetName val="tma FC"/>
      <sheetName val="temfacil 6 x 8"/>
      <sheetName val="temfacil"/>
      <sheetName val="BILLBOARD2"/>
      <sheetName val="BB"/>
      <sheetName val="VEHICLE"/>
      <sheetName val="Sheet6"/>
      <sheetName val="Sheet5"/>
      <sheetName val="safety"/>
      <sheetName val="TMA"/>
      <sheetName val="detour summary"/>
      <sheetName val="bare month equip"/>
      <sheetName val="Street lighting"/>
      <sheetName val="summary"/>
      <sheetName val="sum to complte vs 293"/>
      <sheetName val="Sheet2"/>
      <sheetName val="Unit Cost"/>
    </sheetNames>
    <sheetDataSet>
      <sheetData sheetId="0" refreshError="1"/>
      <sheetData sheetId="1" refreshError="1">
        <row r="19">
          <cell r="B19">
            <v>578</v>
          </cell>
        </row>
        <row r="31">
          <cell r="B31">
            <v>86.04</v>
          </cell>
        </row>
        <row r="32">
          <cell r="B32">
            <v>368.3</v>
          </cell>
        </row>
        <row r="33">
          <cell r="B33">
            <v>86.04</v>
          </cell>
        </row>
        <row r="35">
          <cell r="B35">
            <v>614</v>
          </cell>
        </row>
        <row r="36">
          <cell r="B36">
            <v>966.6</v>
          </cell>
        </row>
        <row r="40">
          <cell r="B40">
            <v>12</v>
          </cell>
        </row>
        <row r="56">
          <cell r="L56">
            <v>720</v>
          </cell>
        </row>
        <row r="57">
          <cell r="L57">
            <v>1800</v>
          </cell>
        </row>
        <row r="58">
          <cell r="L58">
            <v>176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Source"/>
      <sheetName val="FRONT PAGE"/>
      <sheetName val="2ND PAGE"/>
      <sheetName val="Sheet7"/>
      <sheetName val="BRIDGE"/>
      <sheetName val="rev road"/>
      <sheetName val="detour"/>
      <sheetName val="FLOOD CONTROL"/>
      <sheetName val="Sheet1"/>
      <sheetName val="detour half lane"/>
      <sheetName val="safety 2"/>
      <sheetName val="cofferdam"/>
      <sheetName val="Sheet3"/>
      <sheetName val="craneway"/>
      <sheetName val="CRANEWAY@ DETOUR"/>
      <sheetName val="disposal"/>
      <sheetName val="AQUA GEL"/>
      <sheetName val="tma detour"/>
      <sheetName val="ROAD"/>
      <sheetName val="tma rd"/>
      <sheetName val="TRAFFIC"/>
      <sheetName val="tma FC"/>
      <sheetName val="temfacil 6 x 8"/>
      <sheetName val="temfacil"/>
      <sheetName val="BILLBOARD2"/>
      <sheetName val="BB"/>
      <sheetName val="VEHICLE"/>
      <sheetName val="Sheet6"/>
      <sheetName val="Sheet5"/>
      <sheetName val="safety"/>
      <sheetName val="TMA"/>
      <sheetName val="detour summary"/>
      <sheetName val="bare month equip"/>
      <sheetName val="Street lighting"/>
      <sheetName val="summary"/>
      <sheetName val="sum to complte vs 293"/>
      <sheetName val="Sheet2"/>
    </sheetNames>
    <sheetDataSet>
      <sheetData sheetId="0" refreshError="1"/>
      <sheetData sheetId="1" refreshError="1">
        <row r="19">
          <cell r="B19">
            <v>578</v>
          </cell>
        </row>
        <row r="31">
          <cell r="B31">
            <v>86.04</v>
          </cell>
        </row>
        <row r="32">
          <cell r="B32">
            <v>368.3</v>
          </cell>
        </row>
        <row r="33">
          <cell r="B33">
            <v>86.04</v>
          </cell>
        </row>
        <row r="35">
          <cell r="B35">
            <v>614</v>
          </cell>
        </row>
        <row r="36">
          <cell r="B36">
            <v>966.6</v>
          </cell>
        </row>
        <row r="40">
          <cell r="B40">
            <v>12</v>
          </cell>
        </row>
        <row r="56">
          <cell r="L56">
            <v>720</v>
          </cell>
        </row>
        <row r="57">
          <cell r="L57">
            <v>1800</v>
          </cell>
        </row>
        <row r="58">
          <cell r="L58">
            <v>176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BA_UsageExample"/>
      <sheetName val="VBA_Wrapper"/>
      <sheetName val="VBA_32bit"/>
      <sheetName val="VBA_16bit"/>
      <sheetName val="Menu"/>
      <sheetName val="CCenter"/>
      <sheetName val="Update"/>
      <sheetName val="Materials"/>
      <sheetName val="Manpower"/>
      <sheetName val="Transport"/>
      <sheetName val="Equipment"/>
      <sheetName val="Transport Result"/>
      <sheetName val="Aggregates"/>
      <sheetName val="Scope of Works"/>
      <sheetName val="Project List"/>
      <sheetName val="Rod"/>
      <sheetName val="Andrew"/>
      <sheetName val="Bebot"/>
      <sheetName val="Anna"/>
      <sheetName val="Elmer"/>
      <sheetName val="Ruben"/>
      <sheetName val="Rod (7)"/>
      <sheetName val="Rod (8)"/>
      <sheetName val="Sheet1"/>
      <sheetName val="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04">
          <cell r="E104" t="str">
            <v>MATERIAL :</v>
          </cell>
        </row>
        <row r="105">
          <cell r="E105" t="str">
            <v>EQUIP'T RENTAL :</v>
          </cell>
        </row>
        <row r="106">
          <cell r="E106" t="str">
            <v>LABOR :</v>
          </cell>
        </row>
        <row r="107">
          <cell r="E107" t="str">
            <v>LICENSES &amp; PERMITS:</v>
          </cell>
        </row>
        <row r="108">
          <cell r="E108" t="str">
            <v>EQUIPMENTS</v>
          </cell>
        </row>
        <row r="110">
          <cell r="E110" t="str">
            <v>A.)</v>
          </cell>
          <cell r="F110" t="str">
            <v>Direct Cost:</v>
          </cell>
        </row>
        <row r="111">
          <cell r="F111" t="str">
            <v>Total Materials, Labor &amp; Eqpt.Rental Cost =</v>
          </cell>
        </row>
        <row r="112">
          <cell r="F112" t="str">
            <v>Total Materials &amp; Labor Cost =</v>
          </cell>
        </row>
        <row r="113">
          <cell r="F113" t="str">
            <v>Total Materials Cost =</v>
          </cell>
        </row>
        <row r="114">
          <cell r="F114" t="str">
            <v>Total Labor Cost =</v>
          </cell>
        </row>
        <row r="115">
          <cell r="F115" t="str">
            <v>Total Equipment Cost =</v>
          </cell>
        </row>
        <row r="116">
          <cell r="F116" t="str">
            <v>Direct Unit Cost =</v>
          </cell>
        </row>
        <row r="118">
          <cell r="F118" t="str">
            <v>Indirect Cost:</v>
          </cell>
        </row>
        <row r="119">
          <cell r="F119" t="str">
            <v>OCM - (7.5% of Item A-1)</v>
          </cell>
        </row>
        <row r="120">
          <cell r="F120" t="str">
            <v>OCM - (14% of Item A-1)</v>
          </cell>
        </row>
        <row r="121">
          <cell r="F121" t="str">
            <v>Contractors Profit (10% of Item A-1)</v>
          </cell>
        </row>
        <row r="122">
          <cell r="F122" t="str">
            <v>Mobilization / Demobilization (5% of Item A-1)</v>
          </cell>
        </row>
        <row r="126">
          <cell r="F126" t="str">
            <v>MAT</v>
          </cell>
        </row>
        <row r="127">
          <cell r="F127" t="str">
            <v>MATT</v>
          </cell>
        </row>
        <row r="128">
          <cell r="F128" t="str">
            <v>EQ</v>
          </cell>
        </row>
        <row r="129">
          <cell r="F129" t="str">
            <v>EQT</v>
          </cell>
        </row>
        <row r="130">
          <cell r="F130" t="str">
            <v>LA</v>
          </cell>
        </row>
        <row r="131">
          <cell r="F131" t="str">
            <v>LAT</v>
          </cell>
        </row>
        <row r="132">
          <cell r="F132" t="str">
            <v>DC</v>
          </cell>
        </row>
        <row r="133">
          <cell r="F133" t="str">
            <v>IC</v>
          </cell>
        </row>
        <row r="134">
          <cell r="F134" t="str">
            <v>TC</v>
          </cell>
        </row>
        <row r="135">
          <cell r="F135" t="str">
            <v>OT</v>
          </cell>
        </row>
        <row r="136">
          <cell r="F136" t="str">
            <v>OTT</v>
          </cell>
        </row>
      </sheetData>
      <sheetData sheetId="6" refreshError="1"/>
      <sheetData sheetId="7" refreshError="1">
        <row r="11">
          <cell r="D11" t="str">
            <v>[C - ??? ] - Punta Polloc Seaweed Solar Dryer Construction</v>
          </cell>
        </row>
        <row r="13">
          <cell r="D13" t="str">
            <v>( AGGREGATES )</v>
          </cell>
        </row>
        <row r="14">
          <cell r="D14" t="str">
            <v>Sand</v>
          </cell>
        </row>
        <row r="15">
          <cell r="D15" t="str">
            <v>Fine Sand</v>
          </cell>
        </row>
        <row r="16">
          <cell r="D16" t="str">
            <v>Gravel</v>
          </cell>
        </row>
        <row r="17">
          <cell r="D17" t="str">
            <v>Gravel Bedding</v>
          </cell>
        </row>
        <row r="18">
          <cell r="D18" t="str">
            <v>Stone</v>
          </cell>
        </row>
        <row r="19">
          <cell r="D19" t="str">
            <v>Boulders / Stone</v>
          </cell>
        </row>
        <row r="20">
          <cell r="D20" t="str">
            <v>Boulders (20-30 cm dia.)</v>
          </cell>
        </row>
        <row r="21">
          <cell r="D21" t="str">
            <v>Filling Materials</v>
          </cell>
        </row>
        <row r="22">
          <cell r="D22" t="str">
            <v>Aggregate Surface Course (Item 300)</v>
          </cell>
        </row>
        <row r="23">
          <cell r="D23" t="str">
            <v>Aggregate Sub Base Course (Item 200)</v>
          </cell>
        </row>
        <row r="24">
          <cell r="D24" t="str">
            <v>Aggregate Base Course (Item 201)</v>
          </cell>
        </row>
        <row r="25">
          <cell r="D25" t="str">
            <v>Crushed Aggregate Base Course (Item 202)</v>
          </cell>
        </row>
        <row r="26">
          <cell r="D26" t="str">
            <v>Surface Base Course</v>
          </cell>
        </row>
        <row r="27">
          <cell r="D27" t="str">
            <v>Common Borrow</v>
          </cell>
        </row>
        <row r="28">
          <cell r="D28" t="str">
            <v>Gravelfill</v>
          </cell>
        </row>
        <row r="29">
          <cell r="D29" t="str">
            <v>Sand Fill</v>
          </cell>
        </row>
        <row r="30">
          <cell r="D30" t="str">
            <v>Granular Fill</v>
          </cell>
        </row>
        <row r="31">
          <cell r="D31" t="str">
            <v>Rock / Boulder (50-200 kg)</v>
          </cell>
        </row>
        <row r="32">
          <cell r="D32" t="str">
            <v>Rock / Boulder (100-200 kg)</v>
          </cell>
        </row>
        <row r="33">
          <cell r="D33" t="str">
            <v>2" Mixed Gravel</v>
          </cell>
        </row>
        <row r="34">
          <cell r="D34" t="str">
            <v>1" Mixed Gravel</v>
          </cell>
        </row>
        <row r="35">
          <cell r="D35" t="str">
            <v>1" Mixed Gravel</v>
          </cell>
        </row>
        <row r="36">
          <cell r="D36" t="str">
            <v>1" Mixed Gravel</v>
          </cell>
        </row>
        <row r="37">
          <cell r="D37" t="str">
            <v>( WATER )</v>
          </cell>
        </row>
        <row r="38">
          <cell r="D38" t="str">
            <v>Water</v>
          </cell>
        </row>
        <row r="39">
          <cell r="D39" t="str">
            <v>Water</v>
          </cell>
        </row>
        <row r="40">
          <cell r="D40" t="str">
            <v>( CEMENT )</v>
          </cell>
        </row>
        <row r="41">
          <cell r="D41" t="str">
            <v>Portland Cement 40kg</v>
          </cell>
        </row>
        <row r="42">
          <cell r="D42" t="str">
            <v>Pozzoland Cement 40 kg</v>
          </cell>
        </row>
        <row r="43">
          <cell r="D43" t="str">
            <v>Cement Accelerator (Plasticizer 1000P)</v>
          </cell>
        </row>
        <row r="44">
          <cell r="D44" t="str">
            <v>Waterproofing Cement (Flexcon)</v>
          </cell>
        </row>
        <row r="45">
          <cell r="D45" t="str">
            <v>Red cement</v>
          </cell>
        </row>
        <row r="46">
          <cell r="D46" t="str">
            <v>White Cement</v>
          </cell>
        </row>
        <row r="47">
          <cell r="D47" t="str">
            <v>Water Sealant Cement</v>
          </cell>
        </row>
        <row r="48">
          <cell r="D48" t="str">
            <v>Bentonite</v>
          </cell>
        </row>
        <row r="49">
          <cell r="D49" t="str">
            <v>Epoxy Grout</v>
          </cell>
        </row>
        <row r="50">
          <cell r="D50" t="str">
            <v>Epoxy Resin</v>
          </cell>
        </row>
        <row r="51">
          <cell r="D51" t="str">
            <v>Non-Shrink Grout</v>
          </cell>
        </row>
        <row r="52">
          <cell r="D52" t="str">
            <v>Emulsified Asphalt</v>
          </cell>
        </row>
        <row r="53">
          <cell r="D53" t="str">
            <v>Bituminous Asphalt</v>
          </cell>
        </row>
        <row r="54">
          <cell r="D54" t="str">
            <v>Curing Compound</v>
          </cell>
        </row>
        <row r="55">
          <cell r="D55" t="str">
            <v>Concrete class A</v>
          </cell>
        </row>
        <row r="56">
          <cell r="D56" t="str">
            <v>Concrete class A</v>
          </cell>
        </row>
        <row r="57">
          <cell r="D57" t="str">
            <v>( CEMENT PRODUCTS )</v>
          </cell>
        </row>
        <row r="58">
          <cell r="D58" t="str">
            <v>100mm Conc. Hollow Block</v>
          </cell>
        </row>
        <row r="59">
          <cell r="D59" t="str">
            <v>150mm Conc. Hollow Block</v>
          </cell>
        </row>
        <row r="60">
          <cell r="D60" t="str">
            <v>Decorative Concrete Block (Louver Type)</v>
          </cell>
        </row>
        <row r="61">
          <cell r="D61" t="str">
            <v>250mm x 250mm Decorative Concrete Block</v>
          </cell>
        </row>
        <row r="62">
          <cell r="D62" t="str">
            <v>300mmØ RC Pipe Culvert</v>
          </cell>
        </row>
        <row r="63">
          <cell r="D63" t="str">
            <v>460mmØ RC Pipe Culvert</v>
          </cell>
        </row>
        <row r="64">
          <cell r="D64" t="str">
            <v>610mmØ RC Pipe Culvert</v>
          </cell>
        </row>
        <row r="65">
          <cell r="D65" t="str">
            <v>760mmØ RC Pipe Culvert</v>
          </cell>
        </row>
        <row r="66">
          <cell r="D66" t="str">
            <v>910mmØ RC Pipe Culvert</v>
          </cell>
        </row>
        <row r="67">
          <cell r="D67" t="str">
            <v>1220mmØ RC Pipe Culvert</v>
          </cell>
        </row>
        <row r="68">
          <cell r="D68" t="str">
            <v>1520mmØ RC Pipe Culvert</v>
          </cell>
        </row>
        <row r="69">
          <cell r="D69" t="str">
            <v>3"dia. Conc. Baluster, 18"</v>
          </cell>
        </row>
        <row r="70">
          <cell r="D70" t="str">
            <v>3"dia. Conc. Baluster, 18"</v>
          </cell>
        </row>
        <row r="71">
          <cell r="D71" t="str">
            <v>PRESTRESSED PILES</v>
          </cell>
        </row>
        <row r="72">
          <cell r="D72" t="str">
            <v>PRESTRESSED PILES</v>
          </cell>
        </row>
        <row r="73">
          <cell r="D73" t="str">
            <v>PSC Piles, 400mm x 400mm x 10m.</v>
          </cell>
        </row>
        <row r="74">
          <cell r="D74" t="str">
            <v>PSC Piles, 400mm x 400mm x 12m.</v>
          </cell>
        </row>
        <row r="75">
          <cell r="D75" t="str">
            <v>PSC Piles, 400mm x 400mm x 14m.</v>
          </cell>
        </row>
        <row r="76">
          <cell r="D76" t="str">
            <v>PSC Piles, 400mm x 400mm x 21m.</v>
          </cell>
        </row>
        <row r="77">
          <cell r="D77" t="str">
            <v>PSC Piles, 400mm x 400mm x 22m.</v>
          </cell>
        </row>
        <row r="78">
          <cell r="D78" t="str">
            <v>PSC Piles, 400mm x 400mm x 24m.</v>
          </cell>
        </row>
        <row r="79">
          <cell r="D79" t="str">
            <v>PSC Piles, 400mm x 400mm x 24m.</v>
          </cell>
        </row>
        <row r="80">
          <cell r="D80" t="str">
            <v>PSC Test Piles, 400mm x 400mm x 10m.</v>
          </cell>
        </row>
        <row r="81">
          <cell r="D81" t="str">
            <v>PSC Test Piles, 400mm x 400mm x 12m.</v>
          </cell>
        </row>
        <row r="82">
          <cell r="D82" t="str">
            <v>PSC Test Piles, 400mm x 400mm x 14m.</v>
          </cell>
        </row>
        <row r="83">
          <cell r="D83" t="str">
            <v>PSC Test Piles, 400mm x 400mm x 21m.</v>
          </cell>
        </row>
        <row r="84">
          <cell r="D84" t="str">
            <v>PSC Test Piles, 400mm x 400mm x 22m.</v>
          </cell>
        </row>
        <row r="85">
          <cell r="D85" t="str">
            <v xml:space="preserve">PSC Test Piles, 400mm x 400mm x 24m. </v>
          </cell>
        </row>
        <row r="86">
          <cell r="D86" t="str">
            <v xml:space="preserve">PSC Test Piles, 400mm x 400mm x 24m. </v>
          </cell>
        </row>
        <row r="87">
          <cell r="D87" t="str">
            <v xml:space="preserve">PSC Test Piles, 400mm x 400mm x 24m. </v>
          </cell>
        </row>
        <row r="88">
          <cell r="D88" t="str">
            <v xml:space="preserve">PSC Test Piles, 450mm x 450mm x 35m. </v>
          </cell>
        </row>
        <row r="89">
          <cell r="D89" t="str">
            <v>PSC Piles, 450mm x 450mm x 35m.</v>
          </cell>
        </row>
        <row r="90">
          <cell r="D90" t="str">
            <v xml:space="preserve">PSC Test Piles, 450mm x 450mm x 25m. </v>
          </cell>
        </row>
        <row r="91">
          <cell r="D91" t="str">
            <v>PSC Piles, 450mm x 450mm x 25m.</v>
          </cell>
        </row>
        <row r="92">
          <cell r="D92" t="str">
            <v>PSC Piles, 450mm x 450mm x 25m.</v>
          </cell>
        </row>
        <row r="93">
          <cell r="D93" t="str">
            <v>PSC Piles, 450mm x 450mm x 25m.</v>
          </cell>
        </row>
        <row r="94">
          <cell r="D94" t="str">
            <v xml:space="preserve">PSC Test Piles, 400mm x 400mm x 40m. </v>
          </cell>
        </row>
        <row r="95">
          <cell r="D95" t="str">
            <v>PSC Piles, 400mm x 400mm x 40m.</v>
          </cell>
        </row>
        <row r="96">
          <cell r="D96" t="str">
            <v>PSC Piles, 400mm x 400mm x 40m.</v>
          </cell>
        </row>
        <row r="97">
          <cell r="D97" t="str">
            <v>PSC Piles, 400mm x 400mm x 40m.</v>
          </cell>
        </row>
        <row r="98">
          <cell r="D98" t="str">
            <v xml:space="preserve">PSC Test Piles - 400mm x 400mm x 24m. </v>
          </cell>
        </row>
        <row r="99">
          <cell r="D99" t="str">
            <v>PSC Piles - 400mm x 400mm x 24m.</v>
          </cell>
        </row>
        <row r="100">
          <cell r="D100" t="str">
            <v>PSC Piles - 400mm x 400mm x 24m.</v>
          </cell>
        </row>
        <row r="101">
          <cell r="D101" t="str">
            <v>PSC Piles - 400mm x 400mm x 24m.</v>
          </cell>
        </row>
        <row r="102">
          <cell r="D102" t="str">
            <v>PSC Piles - 400mm x 400mm x 24m.</v>
          </cell>
        </row>
        <row r="103">
          <cell r="D103" t="str">
            <v>Steel Piles</v>
          </cell>
        </row>
        <row r="104">
          <cell r="D104" t="str">
            <v>Steel Sheet Pile (PZ27)</v>
          </cell>
        </row>
        <row r="105">
          <cell r="D105" t="str">
            <v>Steel Sheet Piles (PZ27)</v>
          </cell>
        </row>
        <row r="106">
          <cell r="D106" t="str">
            <v>Steel Pipe Pile (Ø 450 x 12t x 18m. - SKK400)</v>
          </cell>
        </row>
        <row r="107">
          <cell r="D107" t="str">
            <v>Steel Pipe Pile (Ø 150 x 12t x 6m. - SKK400)</v>
          </cell>
        </row>
        <row r="108">
          <cell r="D108" t="str">
            <v>Steel Sheet Pile (for Cofferdam)</v>
          </cell>
        </row>
        <row r="109">
          <cell r="D109" t="str">
            <v>Steel Sheet Pile (for Cofferdam)</v>
          </cell>
        </row>
        <row r="110">
          <cell r="D110" t="str">
            <v>Steel Sheet Pile (for Cofferdam)</v>
          </cell>
        </row>
        <row r="111">
          <cell r="D111" t="str">
            <v>( TIMBER and INDIGENOUS MATERIALS )</v>
          </cell>
        </row>
        <row r="112">
          <cell r="D112" t="str">
            <v>Yakal Specie</v>
          </cell>
        </row>
        <row r="113">
          <cell r="D113" t="str">
            <v>1" x 6" (Yakal)</v>
          </cell>
        </row>
        <row r="114">
          <cell r="D114" t="str">
            <v>1" x 8" (Yakal)</v>
          </cell>
        </row>
        <row r="115">
          <cell r="D115" t="str">
            <v>2" x 2" (Yakal)</v>
          </cell>
        </row>
        <row r="116">
          <cell r="D116" t="str">
            <v>2" x 6" (Yakal)</v>
          </cell>
        </row>
        <row r="117">
          <cell r="D117" t="str">
            <v>2" x 4" (Yakal or equivalent)</v>
          </cell>
        </row>
        <row r="118">
          <cell r="D118" t="str">
            <v>2" x 4" (Yakal)</v>
          </cell>
        </row>
        <row r="119">
          <cell r="D119" t="str">
            <v>2" x 3" (Yakal)</v>
          </cell>
        </row>
        <row r="120">
          <cell r="D120" t="str">
            <v>2" x 3" (Yakal or equivalent)</v>
          </cell>
        </row>
        <row r="121">
          <cell r="D121" t="str">
            <v>2" x 6" (Yakal or equivalent)</v>
          </cell>
        </row>
        <row r="122">
          <cell r="D122" t="str">
            <v>2" x 6" x 6' (Yakal)</v>
          </cell>
        </row>
        <row r="123">
          <cell r="D123" t="str">
            <v>2" x 6" x 6' (Yakal or equivalent)</v>
          </cell>
        </row>
        <row r="124">
          <cell r="D124" t="str">
            <v>2" x 6" x 8' (Yakal)</v>
          </cell>
        </row>
        <row r="125">
          <cell r="D125" t="str">
            <v>2" x 6" x 10' (Yakal)</v>
          </cell>
        </row>
        <row r="126">
          <cell r="D126" t="str">
            <v>2" x 6" x 12' (Yakal)</v>
          </cell>
        </row>
        <row r="127">
          <cell r="D127" t="str">
            <v>2" x 6" x 14' (Yakal)</v>
          </cell>
        </row>
        <row r="128">
          <cell r="D128" t="str">
            <v>3" x 4" (Yakal)</v>
          </cell>
        </row>
        <row r="129">
          <cell r="D129" t="str">
            <v>4" x 4" (Yakal)</v>
          </cell>
        </row>
        <row r="130">
          <cell r="D130" t="str">
            <v>3" x 4" (Yakal or equivalent)</v>
          </cell>
        </row>
        <row r="131">
          <cell r="D131" t="str">
            <v>3" x 4" x 8' (Yakal)</v>
          </cell>
        </row>
        <row r="132">
          <cell r="D132" t="str">
            <v>3" x 4" x 10' (Yakal)</v>
          </cell>
        </row>
        <row r="133">
          <cell r="D133" t="str">
            <v>6" x 6" (Yakal)</v>
          </cell>
        </row>
        <row r="134">
          <cell r="D134" t="str">
            <v>6" x 6" (Yakal or equivalent)</v>
          </cell>
        </row>
        <row r="135">
          <cell r="D135" t="str">
            <v>Yakal</v>
          </cell>
        </row>
        <row r="136">
          <cell r="D136" t="str">
            <v>Yakal (Door Jambs)</v>
          </cell>
        </row>
        <row r="137">
          <cell r="D137" t="str">
            <v>Yakal (Window Jambs)</v>
          </cell>
        </row>
        <row r="138">
          <cell r="D138" t="str">
            <v>Yakal (Window Jambs)</v>
          </cell>
        </row>
        <row r="139">
          <cell r="D139" t="str">
            <v>Molave Specie</v>
          </cell>
        </row>
        <row r="140">
          <cell r="D140" t="str">
            <v>6" x 6" (Molave)</v>
          </cell>
        </row>
        <row r="141">
          <cell r="D141" t="str">
            <v>6" x 6" (Molave or equivalent)</v>
          </cell>
        </row>
        <row r="142">
          <cell r="D142" t="str">
            <v>6" x 6" x 10' (Yakal)</v>
          </cell>
        </row>
        <row r="143">
          <cell r="D143" t="str">
            <v>6" x 6" x 8' (Molave)</v>
          </cell>
        </row>
        <row r="144">
          <cell r="D144" t="str">
            <v>6" x 6" x 10' (Molave)</v>
          </cell>
        </row>
        <row r="145">
          <cell r="D145" t="str">
            <v>6" x 6" x 14' (Molave)</v>
          </cell>
        </row>
        <row r="146">
          <cell r="D146" t="str">
            <v>6" x 6" x 16' (Molave)</v>
          </cell>
        </row>
        <row r="147">
          <cell r="D147" t="str">
            <v>6" x 6" x 18' (Molave)</v>
          </cell>
        </row>
        <row r="148">
          <cell r="D148" t="str">
            <v>6" x 6" x 20' (Molave)</v>
          </cell>
        </row>
        <row r="149">
          <cell r="D149" t="str">
            <v>6" x 6" x 22' (Molave)</v>
          </cell>
        </row>
        <row r="150">
          <cell r="D150" t="str">
            <v>8" Ø Molave Pile</v>
          </cell>
        </row>
        <row r="151">
          <cell r="D151" t="str">
            <v>8" Ø Molave Pile</v>
          </cell>
        </row>
        <row r="152">
          <cell r="D152" t="str">
            <v>Tambulian Specie</v>
          </cell>
        </row>
        <row r="153">
          <cell r="D153" t="str">
            <v>Tambulian</v>
          </cell>
        </row>
        <row r="154">
          <cell r="D154" t="str">
            <v>Tambulian</v>
          </cell>
        </row>
        <row r="155">
          <cell r="D155" t="str">
            <v>Tambulian</v>
          </cell>
        </row>
        <row r="156">
          <cell r="D156" t="str">
            <v>Gullum Specie</v>
          </cell>
        </row>
        <row r="157">
          <cell r="D157" t="str">
            <v>Gullum</v>
          </cell>
        </row>
        <row r="158">
          <cell r="D158" t="str">
            <v>Gullum</v>
          </cell>
        </row>
        <row r="159">
          <cell r="D159" t="str">
            <v>Lauan Specie</v>
          </cell>
        </row>
        <row r="160">
          <cell r="D160" t="str">
            <v>Lauan</v>
          </cell>
        </row>
        <row r="161">
          <cell r="D161" t="str">
            <v>0.80m x 2.10m Lauan Panel Door</v>
          </cell>
        </row>
        <row r="162">
          <cell r="D162" t="str">
            <v>1.0m x 2.10m Lauan Double Panel Door</v>
          </cell>
        </row>
        <row r="163">
          <cell r="D163" t="str">
            <v>1.0m x 2.10m Lauan Double Panel Door</v>
          </cell>
        </row>
        <row r="164">
          <cell r="D164" t="str">
            <v>1.0m x 2.10m Lauan Double Panel Door</v>
          </cell>
        </row>
        <row r="165">
          <cell r="D165" t="str">
            <v>Others Specie</v>
          </cell>
        </row>
        <row r="166">
          <cell r="D166" t="str">
            <v>Guijo</v>
          </cell>
        </row>
        <row r="167">
          <cell r="D167" t="str">
            <v>Apitong</v>
          </cell>
        </row>
        <row r="168">
          <cell r="D168" t="str">
            <v>Coco Trunks</v>
          </cell>
        </row>
        <row r="169">
          <cell r="D169" t="str">
            <v>Coco Lumber</v>
          </cell>
        </row>
        <row r="170">
          <cell r="D170" t="str">
            <v>Coco Lumber (Miscut)</v>
          </cell>
        </row>
        <row r="171">
          <cell r="D171" t="str">
            <v>Falsework &amp; Scaffolds (Coco Lumber)</v>
          </cell>
        </row>
        <row r="172">
          <cell r="D172" t="str">
            <v>Falsework, Scaffolds &amp; Formworks (Coco Lumber)</v>
          </cell>
        </row>
        <row r="173">
          <cell r="D173" t="str">
            <v>Bamboo Poles</v>
          </cell>
        </row>
        <row r="174">
          <cell r="D174" t="str">
            <v>1½"   Bamboo Slats</v>
          </cell>
        </row>
        <row r="175">
          <cell r="D175" t="str">
            <v>Bamboo Slats</v>
          </cell>
        </row>
        <row r="176">
          <cell r="D176" t="str">
            <v>40mm width x 10' Bamboo Slats</v>
          </cell>
        </row>
        <row r="177">
          <cell r="D177" t="str">
            <v>Bacauan</v>
          </cell>
        </row>
        <row r="178">
          <cell r="D178" t="str">
            <v>Tambulian or Equivalent</v>
          </cell>
        </row>
        <row r="179">
          <cell r="D179" t="str">
            <v>Nipa Shingles</v>
          </cell>
        </row>
        <row r="180">
          <cell r="D180" t="str">
            <v>Gemilina</v>
          </cell>
        </row>
        <row r="181">
          <cell r="D181" t="str">
            <v>Gemilina</v>
          </cell>
        </row>
        <row r="182">
          <cell r="D182" t="str">
            <v>( TIMBER PRODUCTS )</v>
          </cell>
        </row>
        <row r="183">
          <cell r="D183" t="str">
            <v>Mouldings and Slats</v>
          </cell>
        </row>
        <row r="184">
          <cell r="D184" t="str">
            <v>S-Type Mouldings/Cornice</v>
          </cell>
        </row>
        <row r="185">
          <cell r="D185" t="str">
            <v>0.70 x 1.00 fixed Louvers</v>
          </cell>
        </row>
        <row r="186">
          <cell r="D186" t="str">
            <v>Wall Boards, T&amp;G, stone-cut, etc.</v>
          </cell>
        </row>
        <row r="187">
          <cell r="D187" t="str">
            <v>1/4" thk. Ordinary Plywood</v>
          </cell>
        </row>
        <row r="188">
          <cell r="D188" t="str">
            <v>3/8" thk, Ordinary Plywood</v>
          </cell>
        </row>
        <row r="189">
          <cell r="D189" t="str">
            <v>½" thk, Ordinary Plywood</v>
          </cell>
        </row>
        <row r="190">
          <cell r="D190" t="str">
            <v>1/2" thk. Hardiflex</v>
          </cell>
        </row>
        <row r="191">
          <cell r="D191" t="str">
            <v>3/4" thk,  Ordinary Plywood</v>
          </cell>
        </row>
        <row r="192">
          <cell r="D192" t="str">
            <v>¼" thk,  Marine Plywood</v>
          </cell>
        </row>
        <row r="193">
          <cell r="D193" t="str">
            <v>½" thk,  Marine Plywood</v>
          </cell>
        </row>
        <row r="194">
          <cell r="D194" t="str">
            <v>3/8" thk,  Form Plywood</v>
          </cell>
        </row>
        <row r="195">
          <cell r="D195" t="str">
            <v>4" x 8' Stone-Cut T&amp;G</v>
          </cell>
        </row>
        <row r="196">
          <cell r="D196" t="str">
            <v>20mm thk. Marine Plywood</v>
          </cell>
        </row>
        <row r="197">
          <cell r="D197" t="str">
            <v>Hardiflex   Fascia Board 12 mm thickx250 mm</v>
          </cell>
        </row>
        <row r="198">
          <cell r="D198" t="str">
            <v>Hardiflex   Fascia Board 12 mm thickx250 mm</v>
          </cell>
        </row>
        <row r="199">
          <cell r="D199" t="str">
            <v>Wooden Door Set</v>
          </cell>
        </row>
        <row r="200">
          <cell r="D200" t="str">
            <v>Wooden Window Set w/ Steel Grilles</v>
          </cell>
        </row>
        <row r="201">
          <cell r="D201" t="str">
            <v>Wooden Window-1 Set w/ Steel Grilles</v>
          </cell>
        </row>
        <row r="202">
          <cell r="D202" t="str">
            <v>Wooden Window-2 Set w/ Steel Grilles</v>
          </cell>
        </row>
        <row r="203">
          <cell r="D203" t="str">
            <v>Wooden Window-2 Set w/ Steel Grilles</v>
          </cell>
        </row>
        <row r="204">
          <cell r="D204" t="str">
            <v>Wooden Door-1 Set</v>
          </cell>
        </row>
        <row r="205">
          <cell r="D205" t="str">
            <v>Wooden Door-2 Set</v>
          </cell>
        </row>
        <row r="206">
          <cell r="D206" t="str">
            <v>Wooden Door-3 Set</v>
          </cell>
        </row>
        <row r="207">
          <cell r="D207" t="str">
            <v>Wooden Window Set</v>
          </cell>
        </row>
        <row r="208">
          <cell r="D208" t="str">
            <v>Wooden Window Set</v>
          </cell>
        </row>
        <row r="209">
          <cell r="D209" t="str">
            <v>Wooden Door-2 Set</v>
          </cell>
        </row>
        <row r="210">
          <cell r="D210" t="str">
            <v>Wooden Window Set w/ Steel Grilles</v>
          </cell>
        </row>
        <row r="211">
          <cell r="D211" t="str">
            <v>Wooden Window-1 Set w/ Steel Grilles</v>
          </cell>
        </row>
        <row r="212">
          <cell r="D212" t="str">
            <v>Wooden Window-2 Set w/ Steel Grilles</v>
          </cell>
        </row>
        <row r="213">
          <cell r="D213" t="str">
            <v>13 Bladers Aluminum frame single shutter</v>
          </cell>
        </row>
        <row r="214">
          <cell r="D214" t="str">
            <v>6mm thk. x 0.10m x 0.60m Glass Jalousie</v>
          </cell>
        </row>
        <row r="215">
          <cell r="D215" t="str">
            <v>10mm Sq. Bar welded on 4mm x 25mm thk. Flat Bar Grille Frame</v>
          </cell>
        </row>
        <row r="216">
          <cell r="D216" t="str">
            <v>10mm Sq. Bar welded on 4mm x 25mm thk. Flat Bar Grille Frame</v>
          </cell>
        </row>
        <row r="217">
          <cell r="D217" t="str">
            <v>13 Bladers Aluminum frame single shutter</v>
          </cell>
        </row>
        <row r="218">
          <cell r="D218" t="str">
            <v>( FLAT &amp; ROUND STEEL BARS )</v>
          </cell>
        </row>
        <row r="219">
          <cell r="D219" t="str">
            <v>Deformed Bars, Grade 60</v>
          </cell>
        </row>
        <row r="220">
          <cell r="D220" t="str">
            <v>Deformed Bars, Grade 40</v>
          </cell>
        </row>
        <row r="221">
          <cell r="D221" t="str">
            <v>Deformed Bars, Grade 33</v>
          </cell>
        </row>
        <row r="222">
          <cell r="D222" t="str">
            <v xml:space="preserve">6mmØ x 6m. RSB </v>
          </cell>
        </row>
        <row r="223">
          <cell r="D223" t="str">
            <v xml:space="preserve">8mmØ x 6m. RSB </v>
          </cell>
        </row>
        <row r="224">
          <cell r="D224" t="str">
            <v xml:space="preserve">10mmØ x 6m. RSB </v>
          </cell>
        </row>
        <row r="225">
          <cell r="D225" t="str">
            <v xml:space="preserve">12mmØ x 6m. RSB </v>
          </cell>
        </row>
        <row r="226">
          <cell r="D226" t="str">
            <v>Deformed Bars, (414 Mpa)</v>
          </cell>
        </row>
        <row r="227">
          <cell r="D227" t="str">
            <v>Deformed Bars, (276 Mpa)</v>
          </cell>
        </row>
        <row r="228">
          <cell r="D228" t="str">
            <v>Deformed Bars, (230 Mpa)</v>
          </cell>
        </row>
        <row r="229">
          <cell r="D229" t="str">
            <v>Plain Round Bars, Grade 33</v>
          </cell>
        </row>
        <row r="230">
          <cell r="D230" t="str">
            <v>12mm  Suction Rod with Threaded Coupling</v>
          </cell>
        </row>
        <row r="231">
          <cell r="D231" t="str">
            <v>Square Bar</v>
          </cell>
        </row>
        <row r="232">
          <cell r="D232" t="str">
            <v>¼" X 2½" Flat Bar</v>
          </cell>
        </row>
        <row r="233">
          <cell r="D233" t="str">
            <v>3mm x 40mm Flat Bar</v>
          </cell>
        </row>
        <row r="234">
          <cell r="D234" t="str">
            <v>63mm x 4.5mm Flat Bar</v>
          </cell>
        </row>
        <row r="235">
          <cell r="D235" t="str">
            <v>36mmØ Splicing Bar</v>
          </cell>
        </row>
        <row r="236">
          <cell r="D236" t="str">
            <v>36mmØ Splicing Bar</v>
          </cell>
        </row>
        <row r="237">
          <cell r="D237" t="str">
            <v>10mmØ x 6m. RSB Grade 33</v>
          </cell>
        </row>
        <row r="238">
          <cell r="D238" t="str">
            <v>10mmØ x 6m. RSB Grade 33</v>
          </cell>
        </row>
        <row r="239">
          <cell r="D239" t="str">
            <v>10mmØ x 9m. RSB Grade 33</v>
          </cell>
        </row>
        <row r="240">
          <cell r="D240" t="str">
            <v>12mmØ x 6m. RSB Grade 33</v>
          </cell>
        </row>
        <row r="241">
          <cell r="D241" t="str">
            <v>12mmØ x 7.5m. RSB Grade 33</v>
          </cell>
        </row>
        <row r="242">
          <cell r="D242" t="str">
            <v>12mmØ x 9m. RSB Grade 33</v>
          </cell>
        </row>
        <row r="243">
          <cell r="D243" t="str">
            <v>16mmØ x 6m. RSB Grade 33</v>
          </cell>
        </row>
        <row r="244">
          <cell r="D244" t="str">
            <v>16mmØ x 7.5m. RSB Grade 33</v>
          </cell>
        </row>
        <row r="245">
          <cell r="D245" t="str">
            <v>16mmØ x 9m. RSB Grade 33</v>
          </cell>
        </row>
        <row r="246">
          <cell r="D246" t="str">
            <v>20mmØ x 6m. RSB Grade 33</v>
          </cell>
        </row>
        <row r="247">
          <cell r="D247" t="str">
            <v>20mmØ x 7.5m. RSB Grade 33</v>
          </cell>
        </row>
        <row r="248">
          <cell r="D248" t="str">
            <v>20mmØ x 9m. RSB Grade 33</v>
          </cell>
        </row>
        <row r="249">
          <cell r="D249" t="str">
            <v>25mmØ x 6m. RSB Grade 33</v>
          </cell>
        </row>
        <row r="250">
          <cell r="D250" t="str">
            <v>25mmØ x 7.5m. RSB Grade 33</v>
          </cell>
        </row>
        <row r="251">
          <cell r="D251" t="str">
            <v>25mmØ x 9m. RSB Grade 33</v>
          </cell>
        </row>
        <row r="252">
          <cell r="D252" t="str">
            <v>25mmØ x 9m. RSB Grade 33</v>
          </cell>
        </row>
        <row r="253">
          <cell r="D253" t="str">
            <v>6mmØ - Grade 33</v>
          </cell>
        </row>
        <row r="254">
          <cell r="D254" t="str">
            <v>8mmØ - Grade 33</v>
          </cell>
        </row>
        <row r="255">
          <cell r="D255" t="str">
            <v>10mmØ - Grade 33</v>
          </cell>
        </row>
        <row r="256">
          <cell r="D256" t="str">
            <v>12mmØ - Grade 33</v>
          </cell>
        </row>
        <row r="257">
          <cell r="D257" t="str">
            <v>16mmØ - Grade 33</v>
          </cell>
        </row>
        <row r="258">
          <cell r="D258" t="str">
            <v>20mmØ - Grade 33</v>
          </cell>
        </row>
        <row r="259">
          <cell r="D259" t="str">
            <v>25mmØ - Grade 33</v>
          </cell>
        </row>
        <row r="260">
          <cell r="D260" t="str">
            <v>Reinforcing Bars - Grade 33</v>
          </cell>
        </row>
        <row r="261">
          <cell r="D261" t="str">
            <v>Reinforcing Bars - Grade 33</v>
          </cell>
        </row>
        <row r="262">
          <cell r="D262" t="str">
            <v>6mmØ - Grade 40</v>
          </cell>
        </row>
        <row r="263">
          <cell r="D263" t="str">
            <v>8mmØ - Grade 40</v>
          </cell>
        </row>
        <row r="264">
          <cell r="D264" t="str">
            <v>10mmØ - Grade 40</v>
          </cell>
        </row>
        <row r="265">
          <cell r="D265" t="str">
            <v>12mmØ - Grade 40</v>
          </cell>
        </row>
        <row r="266">
          <cell r="D266" t="str">
            <v>16mmØ - Grade 40</v>
          </cell>
        </row>
        <row r="267">
          <cell r="D267" t="str">
            <v>20mmØ - Grade 40</v>
          </cell>
        </row>
        <row r="268">
          <cell r="D268" t="str">
            <v>25mmØ - Grade 40</v>
          </cell>
        </row>
        <row r="269">
          <cell r="D269" t="str">
            <v>25mmØ - Grade 40</v>
          </cell>
        </row>
        <row r="270">
          <cell r="D270" t="str">
            <v>10mmØ - Stainless Steel Rod Grade 30</v>
          </cell>
        </row>
        <row r="271">
          <cell r="D271" t="str">
            <v>10mmØ - Stainless Steel Turn Buckle Grade 30</v>
          </cell>
        </row>
        <row r="272">
          <cell r="D272" t="str">
            <v>10mmØ - Stainless Steel Hook Bar Grade 30</v>
          </cell>
        </row>
        <row r="273">
          <cell r="D273" t="str">
            <v>10mmØ - Stainless Steel Hook Bar Grade 30</v>
          </cell>
        </row>
        <row r="274">
          <cell r="D274" t="str">
            <v>( STRUCTURAL STEEL )</v>
          </cell>
        </row>
        <row r="275">
          <cell r="D275" t="str">
            <v>3/16"x1½"x1½" Angle Bar</v>
          </cell>
        </row>
        <row r="276">
          <cell r="D276" t="str">
            <v>1/8" x 3/4" x 3/4" Angle Bar</v>
          </cell>
        </row>
        <row r="277">
          <cell r="D277" t="str">
            <v>1/8" x 2" x 2" Angle Bar</v>
          </cell>
        </row>
        <row r="278">
          <cell r="D278" t="str">
            <v>3/16" x 2" x 2" Angle Bar</v>
          </cell>
        </row>
        <row r="279">
          <cell r="D279" t="str">
            <v>3/16" x 1" x1" Angle Bar</v>
          </cell>
        </row>
        <row r="280">
          <cell r="D280" t="str">
            <v>3/16" x 1" x1" Angle Bar</v>
          </cell>
        </row>
        <row r="281">
          <cell r="D281" t="str">
            <v>12mmØ - Stainless Steel Turn Buckle Grade 30</v>
          </cell>
        </row>
        <row r="282">
          <cell r="D282" t="str">
            <v>50mm x 50mm x 6mm Angle Bar</v>
          </cell>
        </row>
        <row r="283">
          <cell r="D283" t="str">
            <v>Steel Plate/Bar</v>
          </cell>
        </row>
        <row r="284">
          <cell r="D284" t="str">
            <v>12mm BI plate 160mm x 160mm</v>
          </cell>
        </row>
        <row r="285">
          <cell r="D285" t="str">
            <v>12mm BI plate 160mm x 160mm</v>
          </cell>
        </row>
        <row r="286">
          <cell r="D286" t="str">
            <v>1" x 1/4" Flat Bar</v>
          </cell>
        </row>
        <row r="287">
          <cell r="D287" t="str">
            <v>6mm x 50mm Flat Bar</v>
          </cell>
        </row>
        <row r="288">
          <cell r="D288" t="str">
            <v>38mm x 38mmx 5mm Angle Bar</v>
          </cell>
        </row>
        <row r="289">
          <cell r="D289" t="str">
            <v>38mm x 38mmx 6mm Angle Bar</v>
          </cell>
        </row>
        <row r="290">
          <cell r="D290" t="str">
            <v>40mm x 40mmx 6mm Angle Bar</v>
          </cell>
        </row>
        <row r="291">
          <cell r="D291" t="str">
            <v>40mm x 40mmx 5.5mm Angle Bar</v>
          </cell>
        </row>
        <row r="292">
          <cell r="D292" t="str">
            <v>25mm x 25mm x 3mm Angle Bar</v>
          </cell>
        </row>
        <row r="293">
          <cell r="D293" t="str">
            <v>25mm x 25mm x 6mm Angle Bar</v>
          </cell>
        </row>
        <row r="294">
          <cell r="D294" t="str">
            <v>50mm x 50mm x 4.5mm Angle Bar</v>
          </cell>
        </row>
        <row r="295">
          <cell r="D295" t="str">
            <v>50mm x 50mm x 5.5mm Angle Bar</v>
          </cell>
        </row>
        <row r="296">
          <cell r="D296" t="str">
            <v>63mm x 63mm x 4.5mm Angle Bar</v>
          </cell>
        </row>
        <row r="297">
          <cell r="D297" t="str">
            <v>3/16" x 2½" x2½" Angle Bar</v>
          </cell>
        </row>
        <row r="298">
          <cell r="D298" t="str">
            <v>100mm x 100mm x 8mm Angle Bar</v>
          </cell>
        </row>
        <row r="299">
          <cell r="D299" t="str">
            <v>100mm x 100mm x 10mm Angle Bar</v>
          </cell>
        </row>
        <row r="300">
          <cell r="D300" t="str">
            <v>100mm x 100mm x 12mm Angle Bar</v>
          </cell>
        </row>
        <row r="301">
          <cell r="D301" t="str">
            <v>Structural Steel, ASTM A36</v>
          </cell>
        </row>
        <row r="302">
          <cell r="D302" t="str">
            <v>Structural Steel Plate 9mm thk., ASTM A36</v>
          </cell>
        </row>
        <row r="303">
          <cell r="D303" t="str">
            <v>Structural Steel Plate 12mm thk., ASTM A36</v>
          </cell>
        </row>
        <row r="304">
          <cell r="D304" t="str">
            <v>Structural Steel Plate 16mm thk., ASTM A36</v>
          </cell>
        </row>
        <row r="305">
          <cell r="D305" t="str">
            <v>Structural Steel Plate 25mm thk., ASTM A36</v>
          </cell>
        </row>
        <row r="306">
          <cell r="D306" t="str">
            <v>Structural Steel 50mm x 50mm x 6m., ASTM A36</v>
          </cell>
        </row>
        <row r="307">
          <cell r="D307" t="str">
            <v>Steel Channel, 4 x 7.25</v>
          </cell>
        </row>
        <row r="308">
          <cell r="D308" t="str">
            <v>Steel Channel, 6 x 13</v>
          </cell>
        </row>
        <row r="309">
          <cell r="D309" t="str">
            <v>Steel Channel, C10 x 30</v>
          </cell>
        </row>
        <row r="310">
          <cell r="D310" t="str">
            <v>2" x 4" C-Purlin, Ga.16</v>
          </cell>
        </row>
        <row r="311">
          <cell r="D311" t="str">
            <v>LC 100x50x15x2.0 Purlins</v>
          </cell>
        </row>
        <row r="312">
          <cell r="D312" t="str">
            <v>12mmØ x 210mm A325 Bolts</v>
          </cell>
        </row>
        <row r="313">
          <cell r="D313" t="str">
            <v>20mmØ x 210mm A325 Bolts</v>
          </cell>
        </row>
        <row r="314">
          <cell r="D314" t="str">
            <v>25mmØ x 300mm A325 Bolts</v>
          </cell>
        </row>
        <row r="315">
          <cell r="D315" t="str">
            <v>32mmØ Standard Turn Buckle</v>
          </cell>
        </row>
        <row r="316">
          <cell r="D316" t="str">
            <v>32mmØ Standard Ring Joint</v>
          </cell>
        </row>
        <row r="317">
          <cell r="D317" t="str">
            <v>32mmØ Tie Rod</v>
          </cell>
        </row>
        <row r="318">
          <cell r="D318" t="str">
            <v>25mmØ x 500mm A325 Bolts</v>
          </cell>
        </row>
        <row r="319">
          <cell r="D319" t="str">
            <v>16mmØ x 250mm A325 Bolts</v>
          </cell>
        </row>
        <row r="320">
          <cell r="D320" t="str">
            <v>16mmØ x 50mm A325 Bolts</v>
          </cell>
        </row>
        <row r="321">
          <cell r="D321" t="str">
            <v>12mmØ x 75mm A325 Bolts</v>
          </cell>
        </row>
        <row r="322">
          <cell r="D322" t="str">
            <v>16mmØ x 50mm A325 Bolts</v>
          </cell>
        </row>
        <row r="323">
          <cell r="D323" t="str">
            <v>Steel Plate</v>
          </cell>
        </row>
        <row r="324">
          <cell r="D324" t="str">
            <v>Consumables</v>
          </cell>
        </row>
        <row r="325">
          <cell r="D325" t="str">
            <v>Joint Sealer</v>
          </cell>
        </row>
        <row r="326">
          <cell r="D326" t="str">
            <v>Joint Filler, hot poured</v>
          </cell>
        </row>
        <row r="327">
          <cell r="D327" t="str">
            <v>Filler Board</v>
          </cell>
        </row>
        <row r="328">
          <cell r="D328" t="str">
            <v>Filter Cloth</v>
          </cell>
        </row>
        <row r="329">
          <cell r="D329" t="str">
            <v>Filler Board</v>
          </cell>
        </row>
        <row r="330">
          <cell r="D330" t="str">
            <v>( NAILS, BOLTS and FASTENERS )</v>
          </cell>
        </row>
        <row r="331">
          <cell r="D331" t="str">
            <v>Common Wire Nails</v>
          </cell>
        </row>
        <row r="332">
          <cell r="D332" t="str">
            <v>Common Wire Nails (Keg)</v>
          </cell>
        </row>
        <row r="333">
          <cell r="D333" t="str">
            <v>Finishing Nails</v>
          </cell>
        </row>
        <row r="334">
          <cell r="D334" t="str">
            <v>Roofing Nails umbrella type</v>
          </cell>
        </row>
        <row r="335">
          <cell r="D335" t="str">
            <v>Concrete Nail</v>
          </cell>
        </row>
        <row r="336">
          <cell r="D336" t="str">
            <v>13mm, High-Strength Bolt, 4"</v>
          </cell>
        </row>
        <row r="337">
          <cell r="D337" t="str">
            <v>Machine Bolt w/ nut &amp; washer</v>
          </cell>
        </row>
        <row r="338">
          <cell r="D338" t="str">
            <v>16mmØ x 300mm Stainless Machine Bolt w/ nut &amp; washer</v>
          </cell>
        </row>
        <row r="339">
          <cell r="D339" t="str">
            <v>16mmØ x 250mm Stainless Machine Bolt w/ nut &amp; washer</v>
          </cell>
        </row>
        <row r="340">
          <cell r="D340" t="str">
            <v>16mmØ x 150mm Stainless Machine Bolt w/ nut &amp; washer</v>
          </cell>
        </row>
        <row r="341">
          <cell r="D341" t="str">
            <v>16mmØ x 200mm Stainless Machine Bolt w/ nut &amp; washer</v>
          </cell>
        </row>
        <row r="342">
          <cell r="D342" t="str">
            <v>12mmØ x 150mm Stainless Machine Bolt w/ nut &amp; washer</v>
          </cell>
        </row>
        <row r="343">
          <cell r="D343" t="str">
            <v>12mmØ x 200mm Stainless Machine Bolt w/ nut &amp; washer</v>
          </cell>
        </row>
        <row r="344">
          <cell r="D344" t="str">
            <v>12mmØ x 250mm Stainless Machine Bolt w/ nut &amp; washer</v>
          </cell>
        </row>
        <row r="345">
          <cell r="D345" t="str">
            <v>12mmØ x 200mm Stainless Machine Bolt w/ nut &amp; washer</v>
          </cell>
        </row>
        <row r="346">
          <cell r="D346" t="str">
            <v>16mmØ x 229 Machine Bolt w/ nut &amp; washer</v>
          </cell>
        </row>
        <row r="347">
          <cell r="D347" t="str">
            <v>20mmØ GI Machine Bolt w/ nut &amp; washer</v>
          </cell>
        </row>
        <row r="348">
          <cell r="D348" t="str">
            <v>16mmØ GI Machine Bolt w/ nut &amp; washer</v>
          </cell>
        </row>
        <row r="349">
          <cell r="D349" t="str">
            <v>12mmØ GI Machine Bolt w/ nut &amp; washer</v>
          </cell>
        </row>
        <row r="350">
          <cell r="D350" t="str">
            <v>16mmØ x 250mm GI Machine Bolt w/ nut &amp; washer</v>
          </cell>
        </row>
        <row r="351">
          <cell r="D351" t="str">
            <v>16mmØ x 300mm GI Machine Bolt w/ nut &amp; washer</v>
          </cell>
        </row>
        <row r="352">
          <cell r="D352" t="str">
            <v>12mmØ x 300mm GI Machine Bolt w/ nut &amp; washer</v>
          </cell>
        </row>
        <row r="353">
          <cell r="D353" t="str">
            <v>12mmØ x 400mm GI Machine Bolt w/ nut &amp; washer</v>
          </cell>
        </row>
        <row r="354">
          <cell r="D354" t="str">
            <v>12mmØ x 150mm GI Machine Bolt w/ nut &amp; washer</v>
          </cell>
        </row>
        <row r="355">
          <cell r="D355" t="str">
            <v>12mmØ x 75mm GI Machine Bolt w/ nut &amp; washer</v>
          </cell>
        </row>
        <row r="356">
          <cell r="D356" t="str">
            <v>12mmØ GI Machine Bolt w/ nut &amp; washers</v>
          </cell>
        </row>
        <row r="357">
          <cell r="D357" t="str">
            <v>12mmØ GI Bolt w/ nut &amp; washers</v>
          </cell>
        </row>
        <row r="358">
          <cell r="D358" t="str">
            <v>10mmØ GI Machine Bolt w/ nut &amp; washers</v>
          </cell>
        </row>
        <row r="359">
          <cell r="D359" t="str">
            <v>12mmØ GI Bolt w/ nut &amp; washers</v>
          </cell>
        </row>
        <row r="360">
          <cell r="D360" t="str">
            <v>Boat Spike (Nail)</v>
          </cell>
        </row>
        <row r="361">
          <cell r="D361" t="str">
            <v>7/8" Anchor Bolt, 10"</v>
          </cell>
        </row>
        <row r="362">
          <cell r="D362" t="str">
            <v>16mmØ x 250mm Anchor Bolt</v>
          </cell>
        </row>
        <row r="363">
          <cell r="D363" t="str">
            <v>16mmØ x 300mm Anchor Bolt</v>
          </cell>
        </row>
        <row r="364">
          <cell r="D364" t="str">
            <v>20mmØ x 300mm Anchor Bolt</v>
          </cell>
        </row>
        <row r="365">
          <cell r="D365" t="str">
            <v>12mmØ x 38mm Anchor Bolt</v>
          </cell>
        </row>
        <row r="366">
          <cell r="D366" t="str">
            <v>20mm, Turn Buckle</v>
          </cell>
        </row>
        <row r="367">
          <cell r="D367" t="str">
            <v>16mm, Turn Buckle</v>
          </cell>
        </row>
        <row r="368">
          <cell r="D368" t="str">
            <v>12mm  Turnbuckle</v>
          </cell>
        </row>
        <row r="369">
          <cell r="D369" t="str">
            <v>13mm, U-Bolt</v>
          </cell>
        </row>
        <row r="370">
          <cell r="D370" t="str">
            <v>16mm, U-Bolt w/ nuts and washers</v>
          </cell>
        </row>
        <row r="371">
          <cell r="D371" t="str">
            <v>13mm, Cable Clip</v>
          </cell>
        </row>
        <row r="372">
          <cell r="D372" t="str">
            <v>32mm, Cable Clip</v>
          </cell>
        </row>
        <row r="373">
          <cell r="D373" t="str">
            <v>13mm,  Thimble</v>
          </cell>
        </row>
        <row r="374">
          <cell r="D374" t="str">
            <v>12mm  Stainless Screw, 1/2"</v>
          </cell>
        </row>
        <row r="375">
          <cell r="D375" t="str">
            <v>Tekscrew</v>
          </cell>
        </row>
        <row r="376">
          <cell r="D376" t="str">
            <v>Steel Tekscrew 12 x 45mm</v>
          </cell>
        </row>
        <row r="377">
          <cell r="D377" t="str">
            <v>Post Strap Flat Bar</v>
          </cell>
        </row>
        <row r="378">
          <cell r="D378" t="str">
            <v>GI Post Strap 1/4" x 2"</v>
          </cell>
        </row>
        <row r="379">
          <cell r="D379" t="str">
            <v>24x45 mm Hex w/ Neo</v>
          </cell>
        </row>
        <row r="380">
          <cell r="D380" t="str">
            <v>Post Strap Flat Bar</v>
          </cell>
        </row>
        <row r="381">
          <cell r="D381" t="str">
            <v>( GI WIRES )</v>
          </cell>
        </row>
        <row r="382">
          <cell r="D382" t="str">
            <v>Ga.16 GI Tie Wire</v>
          </cell>
        </row>
        <row r="383">
          <cell r="D383" t="str">
            <v>G.I. Rivets</v>
          </cell>
        </row>
        <row r="384">
          <cell r="D384" t="str">
            <v>20mmØ G.I. Chain</v>
          </cell>
        </row>
        <row r="385">
          <cell r="D385" t="str">
            <v>Ga.16 GI Tie Wire</v>
          </cell>
        </row>
        <row r="386">
          <cell r="D386" t="str">
            <v>( ROOFING SHEET )</v>
          </cell>
        </row>
        <row r="387">
          <cell r="D387" t="str">
            <v>GI Sheet Roofing</v>
          </cell>
        </row>
        <row r="388">
          <cell r="D388" t="str">
            <v>CORR. G.I.sheets, Ga.26</v>
          </cell>
        </row>
        <row r="389">
          <cell r="D389" t="str">
            <v>CORR. G.I.sheets, Ga.31</v>
          </cell>
        </row>
        <row r="390">
          <cell r="D390" t="str">
            <v>CORR. G.I.sheets x 6' , Ga.26</v>
          </cell>
        </row>
        <row r="391">
          <cell r="D391" t="str">
            <v>CORR. G.I.sheets x 8' , Ga.26</v>
          </cell>
        </row>
        <row r="392">
          <cell r="D392" t="str">
            <v>3' x 8' Plain G.I. Sheet, Ga.26</v>
          </cell>
        </row>
        <row r="393">
          <cell r="D393" t="str">
            <v>3' x 8' Plain G.I. Sheet, Ga.31</v>
          </cell>
        </row>
        <row r="394">
          <cell r="D394" t="str">
            <v>Plain G.I. Sheet, Ga.26</v>
          </cell>
        </row>
        <row r="395">
          <cell r="D395" t="str">
            <v>Pre-Painted Corr. GI Sht, Ga.26</v>
          </cell>
        </row>
        <row r="396">
          <cell r="D396" t="str">
            <v>24" Prefab GI Gutter</v>
          </cell>
        </row>
        <row r="397">
          <cell r="D397" t="str">
            <v>12" Prefab GI Ridge Roll</v>
          </cell>
        </row>
        <row r="398">
          <cell r="D398" t="str">
            <v>18" Prefab GI Flashing</v>
          </cell>
        </row>
        <row r="399">
          <cell r="D399" t="str">
            <v>3' x 8' Plain G.I. Sheet, Ga.24</v>
          </cell>
        </row>
        <row r="400">
          <cell r="D400" t="str">
            <v>0.40mm x 0.830m Durawide Rib Type Roofing Sheet (Phil Metal)</v>
          </cell>
        </row>
        <row r="401">
          <cell r="D401" t="str">
            <v>0.40mm x 0.45m x 3.66m) Pre-painted ridge roll (Phil Metal)</v>
          </cell>
        </row>
        <row r="402">
          <cell r="D402" t="str">
            <v>0.40mm x 0.915 x 3.66m) Spanish End Flashing (Phil Metal)</v>
          </cell>
        </row>
        <row r="403">
          <cell r="D403" t="str">
            <v>0.40mm x 0.915 x 3.66m) Spanish Gutter (Phil Metal)</v>
          </cell>
        </row>
        <row r="404">
          <cell r="D404" t="str">
            <v>Teks 4 #12-24 x 45mm Hex w/ Neo</v>
          </cell>
        </row>
        <row r="405">
          <cell r="D405" t="str">
            <v>Prepainted Galvallum Corr..sheets , 0.35mm thk.</v>
          </cell>
        </row>
        <row r="406">
          <cell r="D406" t="str">
            <v>Prepainted Galvalume 55 Corr..sheets , 4.0ft wide x 0.35mm thk.</v>
          </cell>
        </row>
        <row r="407">
          <cell r="D407" t="str">
            <v>Prepainted Galvalume 55 Corr..sheets , 3.0ft wide x 0.35mm thk.</v>
          </cell>
        </row>
        <row r="408">
          <cell r="D408" t="str">
            <v>Prepainted Galvalume 55 Plain..sheets , 3.0ft wide x 0.35mm thk.</v>
          </cell>
        </row>
        <row r="409">
          <cell r="D409" t="str">
            <v>Prepainted Galvallum Plain sheets, 0.35mm thk.</v>
          </cell>
        </row>
        <row r="410">
          <cell r="D410" t="str">
            <v>Prepainted Galvallum Corr..sheets x 6' , 0.35mm thk.</v>
          </cell>
        </row>
        <row r="411">
          <cell r="D411" t="str">
            <v>Prepainted Galvallum Corr..sheets x 8' , 0.35mm thk.</v>
          </cell>
        </row>
        <row r="412">
          <cell r="D412" t="str">
            <v>Prepainted Galvallum Plain sheets x 10' , 0.35mm thk.</v>
          </cell>
        </row>
        <row r="413">
          <cell r="D413" t="str">
            <v>Galvalume 55 Plain sheets x 10' , 0.35mm thk.</v>
          </cell>
        </row>
        <row r="414">
          <cell r="D414" t="str">
            <v>Galvalume 55 Corr. sheets x 12' , 0.35mm thk.</v>
          </cell>
        </row>
        <row r="415">
          <cell r="D415" t="str">
            <v>Galvalume 55 Corr. sheets x 10' , 0.35mm thk.</v>
          </cell>
        </row>
        <row r="416">
          <cell r="D416" t="str">
            <v>Galvalume 55 Corr. sheets x 9' , 0.35mm thk.</v>
          </cell>
        </row>
        <row r="417">
          <cell r="D417" t="str">
            <v>Galvalume 55 Corr. sheets x 8' , 0.35mm thk.</v>
          </cell>
        </row>
        <row r="418">
          <cell r="D418" t="str">
            <v>Galvalume 55 Corr. sheets x 7' , 0.35mm thk.</v>
          </cell>
        </row>
        <row r="419">
          <cell r="D419" t="str">
            <v>Galvalume 55 Corr. sheets x 6' , 0.35mm thk.</v>
          </cell>
        </row>
        <row r="420">
          <cell r="D420" t="str">
            <v>Galvalume 55 Corr. sheets x 6' , 0.35mm thk.</v>
          </cell>
        </row>
        <row r="421">
          <cell r="D421" t="str">
            <v>0.35mm thk x 4.0ft. wide Unpainted Galvallum 55</v>
          </cell>
        </row>
        <row r="422">
          <cell r="D422" t="str">
            <v>0.35mmthk x 0.610m x 2.44m Ridge Roll Unpainted Galvallum 55 (4ft x 8ft)</v>
          </cell>
        </row>
        <row r="423">
          <cell r="D423" t="str">
            <v>Galvalume 55 Corr. sheets x 6' , 0.35mm thk.</v>
          </cell>
        </row>
        <row r="424">
          <cell r="D424" t="str">
            <v>Metalplas Corrugated Roofing (1.5mm thk. x 8 ft.)</v>
          </cell>
        </row>
        <row r="425">
          <cell r="D425" t="str">
            <v>Metalplas Corrugated Roofing (1.5mm thk. x 10 ft.)</v>
          </cell>
        </row>
        <row r="426">
          <cell r="D426" t="str">
            <v>Metalplas Corrugated Roofing</v>
          </cell>
        </row>
        <row r="427">
          <cell r="D427" t="str">
            <v>Metalplas Bended Panels (1.5mm thk. X 810mm)</v>
          </cell>
        </row>
        <row r="428">
          <cell r="D428" t="str">
            <v>Metalplas Ridge Roll</v>
          </cell>
        </row>
        <row r="429">
          <cell r="D429" t="str">
            <v>Metalplas End Flashing</v>
          </cell>
        </row>
        <row r="430">
          <cell r="D430" t="str">
            <v>1.3mm thk. Metalplas Wall Sidings</v>
          </cell>
        </row>
        <row r="431">
          <cell r="D431" t="str">
            <v>Metalplas Ridge Roll</v>
          </cell>
        </row>
        <row r="432">
          <cell r="D432" t="str">
            <v>Blind Rivets</v>
          </cell>
        </row>
        <row r="433">
          <cell r="D433" t="str">
            <v>Silicon Rubber Sealant</v>
          </cell>
        </row>
        <row r="434">
          <cell r="D434" t="str">
            <v>Touch-up Acrylic Paint</v>
          </cell>
        </row>
        <row r="435">
          <cell r="D435" t="str">
            <v>Blind Rivets</v>
          </cell>
        </row>
        <row r="436">
          <cell r="D436" t="str">
            <v>( HARDWARES )</v>
          </cell>
        </row>
        <row r="437">
          <cell r="D437" t="str">
            <v>Gutter seal</v>
          </cell>
        </row>
        <row r="438">
          <cell r="D438" t="str">
            <v>4'-wide Cyclone  Wire</v>
          </cell>
        </row>
        <row r="439">
          <cell r="D439" t="str">
            <v>1¼ "dia. X 6" Double Type Pulley Level</v>
          </cell>
        </row>
        <row r="440">
          <cell r="D440" t="str">
            <v>1¼ "dia. X 6" Steel Ring Bolt Adaptor</v>
          </cell>
        </row>
        <row r="441">
          <cell r="D441" t="str">
            <v>1¼ "dia. X 1¼" Steel Ring Bolt Adaptor</v>
          </cell>
        </row>
        <row r="442">
          <cell r="D442" t="str">
            <v>1" Cylindrical Ejector Assembly, 32"</v>
          </cell>
        </row>
        <row r="443">
          <cell r="D443" t="str">
            <v>1½" " Cylindrical Ejector Assembly, 32"</v>
          </cell>
        </row>
        <row r="444">
          <cell r="D444" t="str">
            <v>Cylindrical Door Knob</v>
          </cell>
        </row>
        <row r="445">
          <cell r="D445" t="str">
            <v>Kwikset Door Knob</v>
          </cell>
        </row>
        <row r="446">
          <cell r="D446" t="str">
            <v>4" Barrel Bolts</v>
          </cell>
        </row>
        <row r="447">
          <cell r="D447" t="str">
            <v>4" x 4" Loose Pin Butt Hinges</v>
          </cell>
        </row>
        <row r="448">
          <cell r="D448" t="str">
            <v>3" x 3" Loose Pin Butt Hinges</v>
          </cell>
        </row>
        <row r="449">
          <cell r="D449" t="str">
            <v>Loose Pin Hinges</v>
          </cell>
        </row>
        <row r="450">
          <cell r="D450" t="str">
            <v>4" Hasp Lock Hinges</v>
          </cell>
        </row>
        <row r="451">
          <cell r="D451" t="str">
            <v>Alum. Mesh Wire, 1/8" eye x 3'</v>
          </cell>
        </row>
        <row r="452">
          <cell r="D452" t="str">
            <v>Alum. Mesh Wire, 1/2" eye x 3'</v>
          </cell>
        </row>
        <row r="453">
          <cell r="D453" t="str">
            <v>Alum. Mesh Wire, 1" eye x 3'</v>
          </cell>
        </row>
        <row r="454">
          <cell r="D454" t="str">
            <v>Aluminum Mosquito Screen, 3ft-wide</v>
          </cell>
        </row>
        <row r="455">
          <cell r="D455" t="str">
            <v>Aukom Rug</v>
          </cell>
        </row>
        <row r="456">
          <cell r="D456" t="str">
            <v>Welding Rods 1/8"ø E60</v>
          </cell>
        </row>
        <row r="457">
          <cell r="D457" t="str">
            <v>Welding Rods 1/8"ø E70XX</v>
          </cell>
        </row>
        <row r="458">
          <cell r="D458" t="str">
            <v>Welwood Glue</v>
          </cell>
        </row>
        <row r="459">
          <cell r="D459" t="str">
            <v>Solvent Cement</v>
          </cell>
        </row>
        <row r="460">
          <cell r="D460" t="str">
            <v xml:space="preserve">1½"   Cylindrical Ejector Assmbly, CLAYTON USA </v>
          </cell>
        </row>
        <row r="461">
          <cell r="D461" t="str">
            <v xml:space="preserve">1¼" Cylindrical Ejector Assmbly, CLAYTON USA </v>
          </cell>
        </row>
        <row r="462">
          <cell r="D462" t="str">
            <v>½" Teflon Tape</v>
          </cell>
        </row>
        <row r="463">
          <cell r="D463" t="str">
            <v>¾" Teflon Tape</v>
          </cell>
        </row>
        <row r="464">
          <cell r="D464" t="str">
            <v>1"  Teflon Tape</v>
          </cell>
        </row>
        <row r="465">
          <cell r="D465" t="str">
            <v>Cabinet Door Handle</v>
          </cell>
        </row>
        <row r="466">
          <cell r="D466" t="str">
            <v>½" dia. x 3/4"  Pillow Block</v>
          </cell>
        </row>
        <row r="467">
          <cell r="D467" t="str">
            <v>#6203  Bearing</v>
          </cell>
        </row>
        <row r="468">
          <cell r="D468" t="str">
            <v>3/4"dia. x 4"  Steel Spring</v>
          </cell>
        </row>
        <row r="469">
          <cell r="D469" t="str">
            <v>1¼" Foot Valve, Brass</v>
          </cell>
        </row>
        <row r="470">
          <cell r="D470" t="str">
            <v>1" x 2" Cabinet Hinges</v>
          </cell>
        </row>
        <row r="471">
          <cell r="D471" t="str">
            <v>Gabion Mattress</v>
          </cell>
        </row>
        <row r="472">
          <cell r="D472" t="str">
            <v>20mmØ Chain and Other Accessories</v>
          </cell>
        </row>
        <row r="473">
          <cell r="D473" t="str">
            <v>1" x 2" Cabinet Hinges</v>
          </cell>
        </row>
        <row r="474">
          <cell r="D474" t="str">
            <v>( STRUCTURAL STEEL WIRES AND CABLES )</v>
          </cell>
        </row>
        <row r="475">
          <cell r="D475" t="str">
            <v>6mm,  IWRC (6 x  25)</v>
          </cell>
        </row>
        <row r="476">
          <cell r="D476" t="str">
            <v>8mm,  IWRC (6 x  25)</v>
          </cell>
        </row>
        <row r="477">
          <cell r="D477" t="str">
            <v>10mm,  IWRC (6 x  25)</v>
          </cell>
        </row>
        <row r="478">
          <cell r="D478" t="str">
            <v>11mm,  IWRC (6 x  25)</v>
          </cell>
        </row>
        <row r="479">
          <cell r="D479" t="str">
            <v>13mm,  IWRC (6 x  25)</v>
          </cell>
        </row>
        <row r="480">
          <cell r="D480" t="str">
            <v>14mm,  IWRC (6 x  25)</v>
          </cell>
        </row>
        <row r="481">
          <cell r="D481" t="str">
            <v>16mm,  IWRC (6 x  25)</v>
          </cell>
        </row>
        <row r="482">
          <cell r="D482" t="str">
            <v>20mm,  IWRC (6 x  25)</v>
          </cell>
        </row>
        <row r="483">
          <cell r="D483" t="str">
            <v>22mm,  IWRC (6 x  25)</v>
          </cell>
        </row>
        <row r="484">
          <cell r="D484" t="str">
            <v>25mm,  IWRC (6 x  25)</v>
          </cell>
        </row>
        <row r="485">
          <cell r="D485" t="str">
            <v>29mm,  IWRC (6 x  25)</v>
          </cell>
        </row>
        <row r="486">
          <cell r="D486" t="str">
            <v>32mm,  IWRC (6 x  25)</v>
          </cell>
        </row>
        <row r="487">
          <cell r="D487" t="str">
            <v>35mm, ,  IWRC (6 x  25)</v>
          </cell>
        </row>
        <row r="488">
          <cell r="D488" t="str">
            <v>38mm,  IWRC (6 x  25)</v>
          </cell>
        </row>
        <row r="489">
          <cell r="D489" t="str">
            <v>41mm,  IWRC (6 x  25)</v>
          </cell>
        </row>
        <row r="490">
          <cell r="D490" t="str">
            <v>44mm,  IWRC (6 x  25)</v>
          </cell>
        </row>
        <row r="491">
          <cell r="D491" t="str">
            <v>48mm,  IWRC (6 x  25)</v>
          </cell>
        </row>
        <row r="492">
          <cell r="D492" t="str">
            <v>51mm,  IWRC (6 x  25)</v>
          </cell>
        </row>
        <row r="493">
          <cell r="D493" t="str">
            <v>54mm,  IWRC (6 x  25)</v>
          </cell>
        </row>
        <row r="494">
          <cell r="D494" t="str">
            <v>57mm,  IWRC (6 x  25)</v>
          </cell>
        </row>
        <row r="495">
          <cell r="D495" t="str">
            <v>5mm, Wire Rope Fiber Core (6 x 25)</v>
          </cell>
        </row>
        <row r="496">
          <cell r="D496" t="str">
            <v>6mm, Wire Rope Fiber Core (6 x 25)</v>
          </cell>
        </row>
        <row r="497">
          <cell r="D497" t="str">
            <v>8mm, Wire Rope Fiber Core (6 x 25)</v>
          </cell>
        </row>
        <row r="498">
          <cell r="D498" t="str">
            <v>10mm, Wire Rope Fiber Core (6 x 25)</v>
          </cell>
        </row>
        <row r="499">
          <cell r="D499" t="str">
            <v>11mm, Wire Rope Fiber Core (6 x 25)</v>
          </cell>
        </row>
        <row r="500">
          <cell r="D500" t="str">
            <v>13mm, Wire Rope Fiber Core (6 x 25)</v>
          </cell>
        </row>
        <row r="501">
          <cell r="D501" t="str">
            <v>14mm, Wire Rope Fiber Core (6 x 25)</v>
          </cell>
        </row>
        <row r="502">
          <cell r="D502" t="str">
            <v>16mm, Wire Rope Fiber Core (6 x 25)</v>
          </cell>
        </row>
        <row r="503">
          <cell r="D503" t="str">
            <v>20mm, Wire Rope Fiber Core (6 x 25)</v>
          </cell>
        </row>
        <row r="504">
          <cell r="D504" t="str">
            <v>22mm, Wire Rope Fiber Core (6 x 25)</v>
          </cell>
        </row>
        <row r="505">
          <cell r="D505" t="str">
            <v>25mm, Wire Rope Fiber Core (6 x 25)</v>
          </cell>
        </row>
        <row r="506">
          <cell r="D506" t="str">
            <v>29mm, Wire Rope Fiber Core (6 x 25)</v>
          </cell>
        </row>
        <row r="507">
          <cell r="D507" t="str">
            <v>32mm, Wire Rope Fiber Core (6 x 25)</v>
          </cell>
        </row>
        <row r="508">
          <cell r="D508" t="str">
            <v>35mm, , Wire Rope Fiber Core (6 x 25)</v>
          </cell>
        </row>
        <row r="509">
          <cell r="D509" t="str">
            <v>38mm, Wire Rope Fiber Core (6 x 25)</v>
          </cell>
        </row>
        <row r="510">
          <cell r="D510" t="str">
            <v>41mm, Wire Rope Fiber Core (6 x 25)</v>
          </cell>
        </row>
        <row r="511">
          <cell r="D511" t="str">
            <v>44mm, Wire Rope Fiber Core (6 x 25)</v>
          </cell>
        </row>
        <row r="512">
          <cell r="D512" t="str">
            <v>48mm, Wire Rope Fiber Core (6 x 25)</v>
          </cell>
        </row>
        <row r="513">
          <cell r="D513" t="str">
            <v>51mm, Wire Rope Fiber Core (6 x 25)</v>
          </cell>
        </row>
        <row r="514">
          <cell r="D514" t="str">
            <v>54mm, Wire Rope Fiber Core (6 x 25)</v>
          </cell>
        </row>
        <row r="515">
          <cell r="D515" t="str">
            <v>57mm, Wire Rope Fiber Core (6 x 25)</v>
          </cell>
        </row>
        <row r="516">
          <cell r="D516" t="str">
            <v>10mm, High Grade Steel Cable</v>
          </cell>
        </row>
        <row r="517">
          <cell r="D517" t="str">
            <v>6mmØ Cable Clips</v>
          </cell>
        </row>
        <row r="518">
          <cell r="D518" t="str">
            <v>10mmØ Cable Clips</v>
          </cell>
        </row>
        <row r="519">
          <cell r="D519" t="str">
            <v>20mmØ Cable Clips</v>
          </cell>
        </row>
        <row r="520">
          <cell r="D520" t="str">
            <v>6mmØ Cable Clips</v>
          </cell>
        </row>
        <row r="521">
          <cell r="D521" t="str">
            <v>( STEEL PLATES )</v>
          </cell>
        </row>
        <row r="522">
          <cell r="D522" t="str">
            <v>6mm, Expanded Metal Mesh</v>
          </cell>
        </row>
        <row r="523">
          <cell r="D523" t="str">
            <v>10mm, Steel Plate</v>
          </cell>
        </row>
        <row r="524">
          <cell r="D524" t="str">
            <v>8mm, Steel Plate</v>
          </cell>
        </row>
        <row r="525">
          <cell r="D525" t="str">
            <v>6mm, Steel Plate</v>
          </cell>
        </row>
        <row r="526">
          <cell r="D526" t="str">
            <v>200mm x 200mm x 6mm, Steel Plate</v>
          </cell>
        </row>
        <row r="527">
          <cell r="D527" t="str">
            <v>300mm x 300mm x 6mm, Steel Plate</v>
          </cell>
        </row>
        <row r="528">
          <cell r="D528" t="str">
            <v>180mm x 180mm x 16mm, Steel Plate</v>
          </cell>
        </row>
        <row r="529">
          <cell r="D529" t="str">
            <v>180mm x 180mm x 16mm, Steel Plate</v>
          </cell>
        </row>
        <row r="530">
          <cell r="D530" t="str">
            <v>Steel Plate'</v>
          </cell>
        </row>
        <row r="531">
          <cell r="D531" t="str">
            <v>Steel Block</v>
          </cell>
        </row>
        <row r="532">
          <cell r="D532" t="str">
            <v>300mm x 300mm x 6mm, Steel Plate</v>
          </cell>
        </row>
        <row r="533">
          <cell r="D533" t="str">
            <v>( STAINLESS STEEL CYLINDRICAL TANK )</v>
          </cell>
        </row>
        <row r="534">
          <cell r="D534" t="str">
            <v>600L Ga. 18 Cylindrical H2O Tank</v>
          </cell>
        </row>
        <row r="535">
          <cell r="D535" t="str">
            <v>800L Ga. 18 Cylindrical H2O Tank</v>
          </cell>
        </row>
        <row r="536">
          <cell r="D536" t="str">
            <v>1000L Ga. 18 Cylindrical H2O Tank</v>
          </cell>
        </row>
        <row r="537">
          <cell r="D537" t="str">
            <v>180mm x 180mm x 16mm, Steel Plate</v>
          </cell>
        </row>
        <row r="538">
          <cell r="D538" t="str">
            <v>( ALUMINUM AND GLASS )</v>
          </cell>
        </row>
        <row r="539">
          <cell r="D539" t="str">
            <v>Jalousie Glass Blade w/ Alum. Frame</v>
          </cell>
        </row>
        <row r="540">
          <cell r="D540" t="str">
            <v>Clear Glass</v>
          </cell>
        </row>
        <row r="541">
          <cell r="D541" t="str">
            <v>Smoke Glass</v>
          </cell>
        </row>
        <row r="542">
          <cell r="D542" t="str">
            <v>16 blades 4" Alum. Jal. Frame</v>
          </cell>
        </row>
        <row r="543">
          <cell r="D543" t="str">
            <v>14 blades 4" Alum. Jal. Frame</v>
          </cell>
        </row>
        <row r="544">
          <cell r="D544" t="str">
            <v>7 blades 4" Alum. Jal. Frame</v>
          </cell>
        </row>
        <row r="545">
          <cell r="D545" t="str">
            <v>Clear Glass</v>
          </cell>
        </row>
        <row r="546">
          <cell r="D546" t="str">
            <v>( PLASTIC PRODUCTS )</v>
          </cell>
        </row>
        <row r="547">
          <cell r="D547" t="str">
            <v>25mm  Plastic Stranded Rope</v>
          </cell>
        </row>
        <row r="548">
          <cell r="D548" t="str">
            <v>14 blades 4" Alum. Jal. Frame</v>
          </cell>
        </row>
        <row r="549">
          <cell r="D549" t="str">
            <v>PIPING &amp; EQUIPMENTS</v>
          </cell>
        </row>
        <row r="550">
          <cell r="D550" t="str">
            <v>Submersible Pumps &amp; its accessories</v>
          </cell>
        </row>
        <row r="551">
          <cell r="D551" t="str">
            <v>Submersible Pumps &amp; its accessories (3HP - 186S3.412)</v>
          </cell>
        </row>
        <row r="552">
          <cell r="D552" t="str">
            <v>Submersible Pumps &amp; its accessories (1HP - 136S10412)</v>
          </cell>
        </row>
        <row r="553">
          <cell r="D553" t="str">
            <v>600L Ga. 18 Cylindrical H2O Tank</v>
          </cell>
        </row>
        <row r="554">
          <cell r="D554" t="str">
            <v>GI PIPES AND FITTINGS</v>
          </cell>
        </row>
        <row r="555">
          <cell r="D555" t="str">
            <v>ø12mm sch 40 GI Pipe</v>
          </cell>
        </row>
        <row r="556">
          <cell r="D556" t="str">
            <v>ø25mm sch 40 GI Pipe</v>
          </cell>
        </row>
        <row r="557">
          <cell r="D557" t="str">
            <v>ø38mm sch 40 GI Pipe</v>
          </cell>
        </row>
        <row r="558">
          <cell r="D558" t="str">
            <v>ø50mm SCH 40 GI Pipe</v>
          </cell>
        </row>
        <row r="559">
          <cell r="D559" t="str">
            <v>ø63mm SCH 40 GI Pipe</v>
          </cell>
        </row>
        <row r="560">
          <cell r="D560" t="str">
            <v>ø65mm SCH 40 GI Pipe</v>
          </cell>
        </row>
        <row r="561">
          <cell r="D561" t="str">
            <v>ø75mm SCH 40 GI Pipe</v>
          </cell>
        </row>
        <row r="562">
          <cell r="D562" t="str">
            <v>ø38mm sch 40 GI Pipe</v>
          </cell>
        </row>
        <row r="563">
          <cell r="D563" t="str">
            <v>½" G.I. Pipe, sch. 40</v>
          </cell>
        </row>
        <row r="564">
          <cell r="D564" t="str">
            <v>3/4" G.I. Pipe, sch. 40</v>
          </cell>
        </row>
        <row r="565">
          <cell r="D565" t="str">
            <v>1" G.I. Pipe, sch. 40</v>
          </cell>
        </row>
        <row r="566">
          <cell r="D566" t="str">
            <v>1¼" G.I. Pipe, sch. 40</v>
          </cell>
        </row>
        <row r="567">
          <cell r="D567" t="str">
            <v>1½" G.I. Pipe, sch. 40</v>
          </cell>
        </row>
        <row r="568">
          <cell r="D568" t="str">
            <v>2" G.I. Pipe, sch. 40</v>
          </cell>
        </row>
        <row r="569">
          <cell r="D569" t="str">
            <v>2¼" G.I. Pipe, sch. 40</v>
          </cell>
        </row>
        <row r="570">
          <cell r="D570" t="str">
            <v>3" G.I. Pipe, sch. 40</v>
          </cell>
        </row>
        <row r="571">
          <cell r="D571" t="str">
            <v>4" G.I. Pipe, sch. 40</v>
          </cell>
        </row>
        <row r="572">
          <cell r="D572" t="str">
            <v>2½" G.I. Pipe, sch. 40</v>
          </cell>
        </row>
        <row r="573">
          <cell r="D573" t="str">
            <v>4" G.I. Pipe ,sch. 20</v>
          </cell>
        </row>
        <row r="574">
          <cell r="D574" t="str">
            <v>1½" G.I. Pipe ,sch. 20</v>
          </cell>
        </row>
        <row r="575">
          <cell r="D575" t="str">
            <v>2" B.I. Pipe, sch. 40</v>
          </cell>
        </row>
        <row r="576">
          <cell r="D576" t="str">
            <v>1" B.I. Pipe, sch. 40</v>
          </cell>
        </row>
        <row r="577">
          <cell r="D577" t="str">
            <v>½" G.I. Coupling, sch. 40</v>
          </cell>
        </row>
        <row r="578">
          <cell r="D578" t="str">
            <v>1" G.I. Coupling, sch. 40</v>
          </cell>
        </row>
        <row r="579">
          <cell r="D579" t="str">
            <v>1¼" G.I. Coupling, sch. 40</v>
          </cell>
        </row>
        <row r="580">
          <cell r="D580" t="str">
            <v>1½" G.I. Coupling, sch. 40</v>
          </cell>
        </row>
        <row r="581">
          <cell r="D581" t="str">
            <v>2"  G.I. Coupling, sch. 40</v>
          </cell>
        </row>
        <row r="582">
          <cell r="D582" t="str">
            <v>2¼" G.I. Coupling, sch. 40</v>
          </cell>
        </row>
        <row r="583">
          <cell r="D583" t="str">
            <v>3" G.I. Coupling, sch. 40</v>
          </cell>
        </row>
        <row r="584">
          <cell r="D584" t="str">
            <v>4"  G.I. Coupling, sch. 40</v>
          </cell>
        </row>
        <row r="585">
          <cell r="D585" t="str">
            <v>2½" G.I. Coupling, sch. 40</v>
          </cell>
        </row>
        <row r="586">
          <cell r="D586" t="str">
            <v>½" G.I. Elbow 45°, sch. 40</v>
          </cell>
        </row>
        <row r="587">
          <cell r="D587" t="str">
            <v>1"G.I. Elbow 45°, sch. 40</v>
          </cell>
        </row>
        <row r="588">
          <cell r="D588" t="str">
            <v>1¼"G.I. Elbow 45°, sch. 40</v>
          </cell>
        </row>
        <row r="589">
          <cell r="D589" t="str">
            <v>1½"G.I. Elbow 45°, sch. 40</v>
          </cell>
        </row>
        <row r="590">
          <cell r="D590" t="str">
            <v>2"G.I. Elbow 45°, sch. 40</v>
          </cell>
        </row>
        <row r="591">
          <cell r="D591" t="str">
            <v>2½" G.I. Elbow 45°, sch. 40</v>
          </cell>
        </row>
        <row r="592">
          <cell r="D592" t="str">
            <v>3" G.I. Elbow 45°, sch. 40</v>
          </cell>
        </row>
        <row r="593">
          <cell r="D593" t="str">
            <v>4" G.I. Elbow 45°, sch. 40</v>
          </cell>
        </row>
        <row r="594">
          <cell r="D594" t="str">
            <v>½" G.I. Elbow 90°, sch 40</v>
          </cell>
        </row>
        <row r="595">
          <cell r="D595" t="str">
            <v>1" G.I. Elbow 90°, sch 40</v>
          </cell>
        </row>
        <row r="596">
          <cell r="D596" t="str">
            <v>1¼" G.I. Elbow 90°, sch 40</v>
          </cell>
        </row>
        <row r="597">
          <cell r="D597" t="str">
            <v>1½"  G.I. Elbow 90°, sch 40</v>
          </cell>
        </row>
        <row r="598">
          <cell r="D598" t="str">
            <v>2" G.I. Elbow 90°, sch 40</v>
          </cell>
        </row>
        <row r="599">
          <cell r="D599" t="str">
            <v>2½" G.I. Elbow 90°, sch 40</v>
          </cell>
        </row>
        <row r="600">
          <cell r="D600" t="str">
            <v>3" G.I. Elbow 90°, sch 40</v>
          </cell>
        </row>
        <row r="601">
          <cell r="D601" t="str">
            <v>4" G.I. Elbow 90°, sch 40</v>
          </cell>
        </row>
        <row r="602">
          <cell r="D602" t="str">
            <v>2" G.I. Street Elbow, sch 40</v>
          </cell>
        </row>
        <row r="603">
          <cell r="D603" t="str">
            <v>3/4"  G.I. Elbow 90°, sch 40</v>
          </cell>
        </row>
        <row r="604">
          <cell r="D604" t="str">
            <v>½" G.I. TEE, sch 40</v>
          </cell>
        </row>
        <row r="605">
          <cell r="D605" t="str">
            <v>1" G.I. TEE, sch 40</v>
          </cell>
        </row>
        <row r="606">
          <cell r="D606" t="str">
            <v>1¼" G.I. TEE, sch 40</v>
          </cell>
        </row>
        <row r="607">
          <cell r="D607" t="str">
            <v>1½" G.I. TEE, sch 40</v>
          </cell>
        </row>
        <row r="608">
          <cell r="D608" t="str">
            <v>2"  G.I. TEE, sch 40</v>
          </cell>
        </row>
        <row r="609">
          <cell r="D609" t="str">
            <v>2½" G.I. TEE, sch 40</v>
          </cell>
        </row>
        <row r="610">
          <cell r="D610" t="str">
            <v>3" G.I. TEE, sch 40</v>
          </cell>
        </row>
        <row r="611">
          <cell r="D611" t="str">
            <v>4" G.I. TEE, sch 40</v>
          </cell>
        </row>
        <row r="612">
          <cell r="D612" t="str">
            <v>½" G.I. Nipples, 12"</v>
          </cell>
        </row>
        <row r="613">
          <cell r="D613" t="str">
            <v>1" G.I. Nipples, 12"</v>
          </cell>
        </row>
        <row r="614">
          <cell r="D614" t="str">
            <v>1" G.I. Nipple, 10"</v>
          </cell>
        </row>
        <row r="615">
          <cell r="D615" t="str">
            <v>1¼" G.I. Nipples, 4"</v>
          </cell>
        </row>
        <row r="616">
          <cell r="D616" t="str">
            <v>1¼" G.I. Nipples, 12"</v>
          </cell>
        </row>
        <row r="617">
          <cell r="D617" t="str">
            <v>½" G.I. Nipples, 4"</v>
          </cell>
        </row>
        <row r="618">
          <cell r="D618" t="str">
            <v>½" G.I. Nipples, 8"</v>
          </cell>
        </row>
        <row r="619">
          <cell r="D619" t="str">
            <v>3/4"  G.I. Nipples, 4"</v>
          </cell>
        </row>
        <row r="620">
          <cell r="D620" t="str">
            <v>63mmØ Gate Valve</v>
          </cell>
        </row>
        <row r="621">
          <cell r="D621" t="str">
            <v>63mmØ x 90° G.I. Elbow</v>
          </cell>
        </row>
        <row r="622">
          <cell r="D622" t="str">
            <v>63mmØ x 63mmØ Female Adaptor</v>
          </cell>
        </row>
        <row r="623">
          <cell r="D623" t="str">
            <v>63mmØ GI Union Patente</v>
          </cell>
        </row>
        <row r="624">
          <cell r="D624" t="str">
            <v>63mmØ GI Pipe</v>
          </cell>
        </row>
        <row r="625">
          <cell r="D625" t="str">
            <v>50mmØ GI Pipe</v>
          </cell>
        </row>
        <row r="626">
          <cell r="D626" t="str">
            <v>50mmØ GI Union Patente</v>
          </cell>
        </row>
        <row r="627">
          <cell r="D627" t="str">
            <v>50mmØ x 90° G.I. Elbow</v>
          </cell>
        </row>
        <row r="628">
          <cell r="D628" t="str">
            <v>50mmØ G.I. Nipples x 600mm</v>
          </cell>
        </row>
        <row r="629">
          <cell r="D629" t="str">
            <v>50mmØ G.I. Nipples x 500mm</v>
          </cell>
        </row>
        <row r="630">
          <cell r="D630" t="str">
            <v>50mmØ G.I. Nipples x 300mm</v>
          </cell>
        </row>
        <row r="631">
          <cell r="D631" t="str">
            <v>50mmØ G.I. Nipples x 200mm</v>
          </cell>
        </row>
        <row r="632">
          <cell r="D632" t="str">
            <v>50mmØ G.I. Gate Valve</v>
          </cell>
        </row>
        <row r="633">
          <cell r="D633" t="str">
            <v>50mmØ G.I. End Cap</v>
          </cell>
        </row>
        <row r="634">
          <cell r="D634" t="str">
            <v>50mmØ G.I. Perforated w/ Strainer</v>
          </cell>
        </row>
        <row r="635">
          <cell r="D635" t="str">
            <v>40mmØ x 50mmØ Female Adaptor</v>
          </cell>
        </row>
        <row r="636">
          <cell r="D636" t="str">
            <v>40mmØ x 90° G.I. Elbow</v>
          </cell>
        </row>
        <row r="637">
          <cell r="D637" t="str">
            <v>40mmØ G.I. Gate Valve</v>
          </cell>
        </row>
        <row r="638">
          <cell r="D638" t="str">
            <v>40mmØ G.I. Tee</v>
          </cell>
        </row>
        <row r="639">
          <cell r="D639" t="str">
            <v>40mmØ G.I. Coupling</v>
          </cell>
        </row>
        <row r="640">
          <cell r="D640" t="str">
            <v>38mmØ G.I. Nipples x 400mm</v>
          </cell>
        </row>
        <row r="641">
          <cell r="D641" t="str">
            <v>38mmØ G.I. Nipples x 100mm</v>
          </cell>
        </row>
        <row r="642">
          <cell r="D642" t="str">
            <v>38mmØ x 90° G.I. Elbow</v>
          </cell>
        </row>
        <row r="643">
          <cell r="D643" t="str">
            <v>12mmØ Brass Faucet</v>
          </cell>
        </row>
        <row r="644">
          <cell r="D644" t="str">
            <v>12mmØ Globe Valve</v>
          </cell>
        </row>
        <row r="645">
          <cell r="D645" t="str">
            <v>12mmØ Gate Valve</v>
          </cell>
        </row>
        <row r="646">
          <cell r="D646" t="str">
            <v>12mmØ Saddle Clamp</v>
          </cell>
        </row>
        <row r="647">
          <cell r="D647" t="str">
            <v>12mmØ PE Pipe</v>
          </cell>
        </row>
        <row r="648">
          <cell r="D648" t="str">
            <v>12mmØ GI Pipe</v>
          </cell>
        </row>
        <row r="649">
          <cell r="D649" t="str">
            <v>12mmØ x 90° GI Elbow</v>
          </cell>
        </row>
        <row r="650">
          <cell r="D650" t="str">
            <v>100mmØ PVC Pipe</v>
          </cell>
        </row>
        <row r="651">
          <cell r="D651" t="str">
            <v>12mmØ Saddle Clamp</v>
          </cell>
        </row>
        <row r="652">
          <cell r="D652" t="str">
            <v>½" G.I. Cap</v>
          </cell>
        </row>
        <row r="653">
          <cell r="D653" t="str">
            <v>1¼" G.I. Cap</v>
          </cell>
        </row>
        <row r="654">
          <cell r="D654" t="str">
            <v>2" G.I. Cap</v>
          </cell>
        </row>
        <row r="655">
          <cell r="D655" t="str">
            <v>2"x3/4", Saddle Clamp</v>
          </cell>
        </row>
        <row r="656">
          <cell r="D656" t="str">
            <v>½" Gate Valve</v>
          </cell>
        </row>
        <row r="657">
          <cell r="D657" t="str">
            <v>2" Gate Valve</v>
          </cell>
        </row>
        <row r="658">
          <cell r="D658" t="str">
            <v>3/4"  Gate Valve</v>
          </cell>
        </row>
        <row r="659">
          <cell r="D659" t="str">
            <v>½" Check Valve</v>
          </cell>
        </row>
        <row r="660">
          <cell r="D660" t="str">
            <v xml:space="preserve">½"  G.I. Union Patent </v>
          </cell>
        </row>
        <row r="661">
          <cell r="D661" t="str">
            <v xml:space="preserve">2" G.I. Union Patent </v>
          </cell>
        </row>
        <row r="662">
          <cell r="D662" t="str">
            <v xml:space="preserve">2½" G.I. Union Patent </v>
          </cell>
        </row>
        <row r="663">
          <cell r="D663" t="str">
            <v xml:space="preserve">1¼" x 3/4"  G.I. Bushing </v>
          </cell>
        </row>
        <row r="664">
          <cell r="D664" t="str">
            <v xml:space="preserve">1"x2", G.I. Bushing </v>
          </cell>
        </row>
        <row r="665">
          <cell r="D665" t="str">
            <v>1½" GI Male Adapter</v>
          </cell>
        </row>
        <row r="666">
          <cell r="D666" t="str">
            <v xml:space="preserve">2" x ½"  G.I. Bushing </v>
          </cell>
        </row>
        <row r="667">
          <cell r="D667" t="str">
            <v>2" x 1½" Reducer, Bell Cap</v>
          </cell>
        </row>
        <row r="668">
          <cell r="D668" t="str">
            <v xml:space="preserve">1¼" x 3/4"  G.I. Bushing </v>
          </cell>
        </row>
        <row r="669">
          <cell r="D669" t="str">
            <v xml:space="preserve">1"x2", G.I. Bushing </v>
          </cell>
        </row>
        <row r="670">
          <cell r="D670" t="str">
            <v>PVC AND UPVC PIPES AND FITTINGS - Blue Pipes (WaterPipes)</v>
          </cell>
        </row>
        <row r="671">
          <cell r="D671" t="str">
            <v>1/2" PVC Blue Pipe</v>
          </cell>
        </row>
        <row r="672">
          <cell r="D672" t="str">
            <v>2" x 1½" Reducer, Bell Cap</v>
          </cell>
        </row>
        <row r="673">
          <cell r="D673" t="str">
            <v>( PVC AND UPVC PIPES AND FITTINGS )</v>
          </cell>
        </row>
        <row r="674">
          <cell r="D674" t="str">
            <v>2" PVC Pipe</v>
          </cell>
        </row>
        <row r="675">
          <cell r="D675" t="str">
            <v>3" PVC Pipe</v>
          </cell>
        </row>
        <row r="676">
          <cell r="D676" t="str">
            <v>4" PVC Pipe</v>
          </cell>
        </row>
        <row r="677">
          <cell r="D677" t="str">
            <v>4" PVC Pipe (S-40)</v>
          </cell>
        </row>
        <row r="678">
          <cell r="D678" t="str">
            <v>2" PVC TEE</v>
          </cell>
        </row>
        <row r="679">
          <cell r="D679" t="str">
            <v>3" PVC TEE</v>
          </cell>
        </row>
        <row r="680">
          <cell r="D680" t="str">
            <v>4" PVC TEE</v>
          </cell>
        </row>
        <row r="681">
          <cell r="D681" t="str">
            <v>2" PVC Elbow 45°</v>
          </cell>
        </row>
        <row r="682">
          <cell r="D682" t="str">
            <v>3" PVC Elbow 45°</v>
          </cell>
        </row>
        <row r="683">
          <cell r="D683" t="str">
            <v>4" PVC Elbow 45°</v>
          </cell>
        </row>
        <row r="684">
          <cell r="D684" t="str">
            <v>2" PVC Elbow 90°</v>
          </cell>
        </row>
        <row r="685">
          <cell r="D685" t="str">
            <v>3" PVC Elbow 90°</v>
          </cell>
        </row>
        <row r="686">
          <cell r="D686" t="str">
            <v>4" PVC Elbow 90°</v>
          </cell>
        </row>
        <row r="687">
          <cell r="D687" t="str">
            <v>2" PVC WYE</v>
          </cell>
        </row>
        <row r="688">
          <cell r="D688" t="str">
            <v>3" PVC WYE</v>
          </cell>
        </row>
        <row r="689">
          <cell r="D689" t="str">
            <v>4"  PVC WYE</v>
          </cell>
        </row>
        <row r="690">
          <cell r="D690" t="str">
            <v>2" PVC 1/8" bend</v>
          </cell>
        </row>
        <row r="691">
          <cell r="D691" t="str">
            <v>3"  PVC 1/8" bend</v>
          </cell>
        </row>
        <row r="692">
          <cell r="D692" t="str">
            <v>4"  PVC 1/8" bend</v>
          </cell>
        </row>
        <row r="693">
          <cell r="D693" t="str">
            <v>2" PVC clean-out</v>
          </cell>
        </row>
        <row r="694">
          <cell r="D694" t="str">
            <v>3" PVC clean-out</v>
          </cell>
        </row>
        <row r="695">
          <cell r="D695" t="str">
            <v>4" PVC clean-out</v>
          </cell>
        </row>
        <row r="696">
          <cell r="D696" t="str">
            <v>4" PVC end cap</v>
          </cell>
        </row>
        <row r="697">
          <cell r="D697" t="str">
            <v>2" PVC P-Trap</v>
          </cell>
        </row>
        <row r="698">
          <cell r="D698" t="str">
            <v>3"  PVC P-Trap</v>
          </cell>
        </row>
        <row r="699">
          <cell r="D699" t="str">
            <v>4" PVC P-Trap</v>
          </cell>
        </row>
        <row r="700">
          <cell r="D700" t="str">
            <v>2"x3", PVC Reducer</v>
          </cell>
        </row>
        <row r="701">
          <cell r="D701" t="str">
            <v>3"x4", PVC Reducer</v>
          </cell>
        </row>
        <row r="702">
          <cell r="D702" t="str">
            <v>2"x4", PVC Reducer</v>
          </cell>
        </row>
        <row r="703">
          <cell r="D703" t="str">
            <v>4"x2", PVC TEE</v>
          </cell>
        </row>
        <row r="704">
          <cell r="D704" t="str">
            <v>4"x2", PVC  WYE</v>
          </cell>
        </row>
        <row r="705">
          <cell r="D705" t="str">
            <v>3"x4", PVC  WYE</v>
          </cell>
        </row>
        <row r="706">
          <cell r="D706" t="str">
            <v>3"x2", PVC  WYE</v>
          </cell>
        </row>
        <row r="707">
          <cell r="D707" t="str">
            <v>4" PVC Coupling</v>
          </cell>
        </row>
        <row r="708">
          <cell r="D708" t="str">
            <v>3/4" uPVC Elbow</v>
          </cell>
        </row>
        <row r="709">
          <cell r="D709" t="str">
            <v>3/4" uPVC Tee</v>
          </cell>
        </row>
        <row r="710">
          <cell r="D710" t="str">
            <v>3/4" uPVC Coupling</v>
          </cell>
        </row>
        <row r="711">
          <cell r="D711" t="str">
            <v>3" uPVC Coupling</v>
          </cell>
        </row>
        <row r="712">
          <cell r="D712" t="str">
            <v>4" uPVC Coupling</v>
          </cell>
        </row>
        <row r="713">
          <cell r="D713" t="str">
            <v>3/4" uPVC Nipple</v>
          </cell>
        </row>
        <row r="714">
          <cell r="D714" t="str">
            <v>½"x3/4", uPVC Reducer</v>
          </cell>
        </row>
        <row r="715">
          <cell r="D715" t="str">
            <v xml:space="preserve">½" uPVC Water Pipe </v>
          </cell>
        </row>
        <row r="716">
          <cell r="D716" t="str">
            <v xml:space="preserve">3/4" uPVC Water Pipe </v>
          </cell>
        </row>
        <row r="717">
          <cell r="D717" t="str">
            <v xml:space="preserve">4" uPVC Water Pipe </v>
          </cell>
        </row>
        <row r="718">
          <cell r="D718" t="str">
            <v xml:space="preserve">3" uPVC Water Pipe </v>
          </cell>
        </row>
        <row r="719">
          <cell r="D719" t="str">
            <v xml:space="preserve">2" uPVC Water Pipe </v>
          </cell>
        </row>
        <row r="720">
          <cell r="D720" t="str">
            <v xml:space="preserve">1-1/2" uPVC Water Pipe </v>
          </cell>
        </row>
        <row r="721">
          <cell r="D721" t="str">
            <v xml:space="preserve">1" uPVC Water Pipe </v>
          </cell>
        </row>
        <row r="722">
          <cell r="D722" t="str">
            <v xml:space="preserve">2-1/2" uPVC Water Pipe </v>
          </cell>
        </row>
        <row r="723">
          <cell r="D723" t="str">
            <v xml:space="preserve">3/4" uPVC Water Pipe </v>
          </cell>
        </row>
        <row r="724">
          <cell r="D724" t="str">
            <v>( PE PIPES AND FITTINGS )</v>
          </cell>
        </row>
        <row r="725">
          <cell r="D725" t="str">
            <v>PE Pipe, SDR 9  3/8"</v>
          </cell>
        </row>
        <row r="726">
          <cell r="D726" t="str">
            <v>PE Pipe, SDR 9  1/2"</v>
          </cell>
        </row>
        <row r="727">
          <cell r="D727" t="str">
            <v>PE Pipe, SDR 9  3/4"</v>
          </cell>
        </row>
        <row r="728">
          <cell r="D728" t="str">
            <v>PE Pipe, SDR 9  1"</v>
          </cell>
        </row>
        <row r="729">
          <cell r="D729" t="str">
            <v>PE Pipe, SDR 9  1-1/4"</v>
          </cell>
        </row>
        <row r="730">
          <cell r="D730" t="str">
            <v>PE Pipe, SDR 9  1-1/2"</v>
          </cell>
        </row>
        <row r="731">
          <cell r="D731" t="str">
            <v>PE Pipe, SDR 9  2"</v>
          </cell>
        </row>
        <row r="732">
          <cell r="D732" t="str">
            <v>PE Pipe, SDR 9  2-1/2"</v>
          </cell>
        </row>
        <row r="733">
          <cell r="D733" t="str">
            <v>PE Pipe, SDR 9  3"</v>
          </cell>
        </row>
        <row r="734">
          <cell r="D734" t="str">
            <v>PE Pipe, SDR 9  4"</v>
          </cell>
        </row>
        <row r="735">
          <cell r="D735" t="str">
            <v>PE Pipe, SDR 9  6"</v>
          </cell>
        </row>
        <row r="736">
          <cell r="D736" t="str">
            <v>PE Pipe, SDR 11  3/8"</v>
          </cell>
        </row>
        <row r="737">
          <cell r="D737" t="str">
            <v>PE Pipe, SDR 11  1/2"</v>
          </cell>
        </row>
        <row r="738">
          <cell r="D738" t="str">
            <v>PE Pipe, SDR 11  3/4"</v>
          </cell>
        </row>
        <row r="739">
          <cell r="D739" t="str">
            <v>PE Pipe, SDR 11  1"</v>
          </cell>
        </row>
        <row r="740">
          <cell r="D740" t="str">
            <v>PE Pipe, SDR 11  1-1/4"</v>
          </cell>
        </row>
        <row r="741">
          <cell r="D741" t="str">
            <v>PE Pipe, SDR 11  1-1/2"</v>
          </cell>
        </row>
        <row r="742">
          <cell r="D742" t="str">
            <v>PE Pipe, SDR 11  2"</v>
          </cell>
        </row>
        <row r="743">
          <cell r="D743" t="str">
            <v>PE Pipe, SDR 11  2-1/2"</v>
          </cell>
        </row>
        <row r="744">
          <cell r="D744" t="str">
            <v>PE Pipe, SDR 11  3"</v>
          </cell>
        </row>
        <row r="745">
          <cell r="D745" t="str">
            <v>PE Pipe, SDR 11  4"</v>
          </cell>
        </row>
        <row r="746">
          <cell r="D746" t="str">
            <v>PE Pipe, SDR 11  6"</v>
          </cell>
        </row>
        <row r="747">
          <cell r="D747" t="str">
            <v>PE Pipe, SDR 13.5   3/8"</v>
          </cell>
        </row>
        <row r="748">
          <cell r="D748" t="str">
            <v>PE Pipe, SDR 13.5   1/2"</v>
          </cell>
        </row>
        <row r="749">
          <cell r="D749" t="str">
            <v>PE Pipe, SDR 13.5   3/4"</v>
          </cell>
        </row>
        <row r="750">
          <cell r="D750" t="str">
            <v>PE Pipe, SDR 13.5   1"</v>
          </cell>
        </row>
        <row r="751">
          <cell r="D751" t="str">
            <v>PE Pipe, SDR 13.5   1-1/4"</v>
          </cell>
        </row>
        <row r="752">
          <cell r="D752" t="str">
            <v>PE Pipe, SDR 13.5   1-1/2"</v>
          </cell>
        </row>
        <row r="753">
          <cell r="D753" t="str">
            <v>PE Pipe, SDR 13.5   2"</v>
          </cell>
        </row>
        <row r="754">
          <cell r="D754" t="str">
            <v>PE Pipe, SDR 13.5   2-1/2"</v>
          </cell>
        </row>
        <row r="755">
          <cell r="D755" t="str">
            <v>PE Pipe, SDR 13.5   3"</v>
          </cell>
        </row>
        <row r="756">
          <cell r="D756" t="str">
            <v>PE Pipe, SDR 13.5   4"</v>
          </cell>
        </row>
        <row r="757">
          <cell r="D757" t="str">
            <v>PE Pipe, SDR 13.5   6"</v>
          </cell>
        </row>
        <row r="758">
          <cell r="D758" t="str">
            <v>PE Pipe, SDR 17   3/8"</v>
          </cell>
        </row>
        <row r="759">
          <cell r="D759" t="str">
            <v>PE Pipe, SDR 17   1/2"</v>
          </cell>
        </row>
        <row r="760">
          <cell r="D760" t="str">
            <v>PE Pipe, SDR 17   3/4"</v>
          </cell>
        </row>
        <row r="761">
          <cell r="D761" t="str">
            <v>PE Pipe, SDR 17   1"</v>
          </cell>
        </row>
        <row r="762">
          <cell r="D762" t="str">
            <v>PE Pipe, SDR 17   1-1/4"</v>
          </cell>
        </row>
        <row r="763">
          <cell r="D763" t="str">
            <v>PE Pipe, SDR 17   1-1/2"</v>
          </cell>
        </row>
        <row r="764">
          <cell r="D764" t="str">
            <v>PE Pipe, SDR 17   2"</v>
          </cell>
        </row>
        <row r="765">
          <cell r="D765" t="str">
            <v>PE Pipe, SDR 17   2-1/2"</v>
          </cell>
        </row>
        <row r="766">
          <cell r="D766" t="str">
            <v>PE Pipe, SDR 17   3"</v>
          </cell>
        </row>
        <row r="767">
          <cell r="D767" t="str">
            <v>PE Pipe, SDR 17   4"</v>
          </cell>
        </row>
        <row r="768">
          <cell r="D768" t="str">
            <v>PE Pipe, SDR 17   6"</v>
          </cell>
        </row>
        <row r="769">
          <cell r="D769" t="str">
            <v>PE Pipe, SDR 17   1-1/4"</v>
          </cell>
        </row>
        <row r="770">
          <cell r="D770" t="str">
            <v>PE PIPES FITTINGS FACTOR =</v>
          </cell>
        </row>
        <row r="771">
          <cell r="D771" t="str">
            <v>PE Pipe, SDR 17   2"</v>
          </cell>
        </row>
        <row r="772">
          <cell r="D772" t="str">
            <v>PE PIPE MALE ADAPTOR</v>
          </cell>
        </row>
        <row r="773">
          <cell r="D773" t="str">
            <v>PE Pipe Male Thread Adaptor - 20mm x 1/2"</v>
          </cell>
        </row>
        <row r="774">
          <cell r="D774" t="str">
            <v>PE Pipe Male Thread Adaptor - 25mm x 3/4"</v>
          </cell>
        </row>
        <row r="775">
          <cell r="D775" t="str">
            <v>PE Pipe Male Thread Adaptor - 32mm x 1"</v>
          </cell>
        </row>
        <row r="776">
          <cell r="D776" t="str">
            <v>PE Pipe Male Thread Adaptor - 40mm x 1-1/4"</v>
          </cell>
        </row>
        <row r="777">
          <cell r="D777" t="str">
            <v>PE Pipe Male Thread Adaptor - 50mm x 1-1/2"</v>
          </cell>
        </row>
        <row r="778">
          <cell r="D778" t="str">
            <v>PE Pipe Male Thread Adaptor - 63mm x 2"</v>
          </cell>
        </row>
        <row r="779">
          <cell r="D779" t="str">
            <v>PE Pipe Male Thread Adaptor - 90mm x 3"</v>
          </cell>
        </row>
        <row r="780">
          <cell r="D780" t="str">
            <v>PE Pipe Male Thread Adaptor - 20mm x 1/2"</v>
          </cell>
        </row>
        <row r="781">
          <cell r="D781" t="str">
            <v>PE PIPE FEMALE ADAPTOR</v>
          </cell>
        </row>
        <row r="782">
          <cell r="D782" t="str">
            <v>PE Pipe Female Thread Adaptor - 20mm x 1/2"</v>
          </cell>
        </row>
        <row r="783">
          <cell r="D783" t="str">
            <v>PE Pipe Female Thread Adaptor - 25mm x 3/4"</v>
          </cell>
        </row>
        <row r="784">
          <cell r="D784" t="str">
            <v>PE Pipe Female Thread Adaptor - 32mm x 1"</v>
          </cell>
        </row>
        <row r="785">
          <cell r="D785" t="str">
            <v>PE Pipe Female Thread Adaptor - 50mm x 1-1/2"</v>
          </cell>
        </row>
        <row r="786">
          <cell r="D786" t="str">
            <v>PE Pipe Female Thread Adaptor - 63mm x 2"</v>
          </cell>
        </row>
        <row r="787">
          <cell r="D787" t="str">
            <v>PE Pipe Female Thread Adaptor - 90mm x 3"</v>
          </cell>
        </row>
        <row r="788">
          <cell r="D788" t="str">
            <v>PE PIPE FEMALE ADAPTOR</v>
          </cell>
        </row>
        <row r="789">
          <cell r="D789" t="str">
            <v>STRAIGHT COUPLER</v>
          </cell>
        </row>
        <row r="790">
          <cell r="D790" t="str">
            <v>PE Pipe Straight Coupler - 20mm x 20mm</v>
          </cell>
        </row>
        <row r="791">
          <cell r="D791" t="str">
            <v>PE Pipe Straight Coupler - 25mm x 25mm</v>
          </cell>
        </row>
        <row r="792">
          <cell r="D792" t="str">
            <v>PE Pipe Straight Coupler - 32mm x 32mm</v>
          </cell>
        </row>
        <row r="793">
          <cell r="D793" t="str">
            <v>PE Pipe Straight Coupler - 40mm x 40mm</v>
          </cell>
        </row>
        <row r="794">
          <cell r="D794" t="str">
            <v>PE Pipe Straight Coupler - 50mm x 50mm</v>
          </cell>
        </row>
        <row r="795">
          <cell r="D795" t="str">
            <v>PE Pipe Straight Coupler - 63mm x 63mm</v>
          </cell>
        </row>
        <row r="796">
          <cell r="D796" t="str">
            <v>PE Pipe Straight Coupler - 75mm x 75mm</v>
          </cell>
        </row>
        <row r="797">
          <cell r="D797" t="str">
            <v>PE Pipe Straight Coupler - 90mm x 90mm</v>
          </cell>
        </row>
        <row r="798">
          <cell r="D798" t="str">
            <v>PE Pipe Straight Coupler - 25mm x 25mm</v>
          </cell>
        </row>
        <row r="799">
          <cell r="D799" t="str">
            <v>REDUCING COUPLER</v>
          </cell>
        </row>
        <row r="800">
          <cell r="D800" t="str">
            <v>PE Pipe Reducing Coupler - 25mm x 20mm</v>
          </cell>
        </row>
        <row r="801">
          <cell r="D801" t="str">
            <v>PE Pipe Reducing Coupler - 32mm x 20mm</v>
          </cell>
        </row>
        <row r="802">
          <cell r="D802" t="str">
            <v>PE Pipe Reducing Coupler - 32mm x 25mm</v>
          </cell>
        </row>
        <row r="803">
          <cell r="D803" t="str">
            <v>PE Pipe Reducing Coupler - 40mm x 32mm</v>
          </cell>
        </row>
        <row r="804">
          <cell r="D804" t="str">
            <v>PE Pipe Reducing Coupler - 50mm x 25mm</v>
          </cell>
        </row>
        <row r="805">
          <cell r="D805" t="str">
            <v>PE Pipe Reducing Coupler - 50mm x 32mm</v>
          </cell>
        </row>
        <row r="806">
          <cell r="D806" t="str">
            <v>PE Pipe Reducing Coupler - 50mm x 40mm</v>
          </cell>
        </row>
        <row r="807">
          <cell r="D807" t="str">
            <v>PE Pipe Reducing Coupler - 63mm x 32mm</v>
          </cell>
        </row>
        <row r="808">
          <cell r="D808" t="str">
            <v>PE Pipe Reducing Coupler - 63mm x 40mm</v>
          </cell>
        </row>
        <row r="809">
          <cell r="D809" t="str">
            <v>PE Pipe Reducing Coupler - 63mm x 50mm</v>
          </cell>
        </row>
        <row r="810">
          <cell r="D810" t="str">
            <v>PE Pipe Reducing Coupler - 90mm x 63mm</v>
          </cell>
        </row>
        <row r="811">
          <cell r="D811" t="str">
            <v>PE Pipe Reducing Coupler - 50mm x 25mm</v>
          </cell>
        </row>
        <row r="812">
          <cell r="D812" t="str">
            <v>END CAP</v>
          </cell>
        </row>
        <row r="813">
          <cell r="D813" t="str">
            <v>PE Pipe End Cap - 20mm</v>
          </cell>
        </row>
        <row r="814">
          <cell r="D814" t="str">
            <v>PE Pipe End Cap - 25mm</v>
          </cell>
        </row>
        <row r="815">
          <cell r="D815" t="str">
            <v>PE Pipe End Cap - 32mm</v>
          </cell>
        </row>
        <row r="816">
          <cell r="D816" t="str">
            <v>PE Pipe End Cap - 40mm</v>
          </cell>
        </row>
        <row r="817">
          <cell r="D817" t="str">
            <v>PE Pipe End Cap - 50mm</v>
          </cell>
        </row>
        <row r="818">
          <cell r="D818" t="str">
            <v>PE Pipe End Cap - 63mm</v>
          </cell>
        </row>
        <row r="819">
          <cell r="D819" t="str">
            <v>PE Pipe End Cap - 90mm</v>
          </cell>
        </row>
        <row r="820">
          <cell r="D820" t="str">
            <v>PE Pipe End Cap - 20mm</v>
          </cell>
        </row>
        <row r="821">
          <cell r="D821" t="str">
            <v>MALE TEE</v>
          </cell>
        </row>
        <row r="822">
          <cell r="D822" t="str">
            <v>PE Pipe Male Tee - 20mm x 1/2"</v>
          </cell>
        </row>
        <row r="823">
          <cell r="D823" t="str">
            <v>PE Pipe Male Tee - 20mm x 3/4"</v>
          </cell>
        </row>
        <row r="824">
          <cell r="D824" t="str">
            <v>PE Pipe Male Tee - 25mm x 1/2"</v>
          </cell>
        </row>
        <row r="825">
          <cell r="D825" t="str">
            <v>PE Pipe Male Tee - 25mm x 3/4"</v>
          </cell>
        </row>
        <row r="826">
          <cell r="D826" t="str">
            <v>PE Pipe Male Tee - 32mm x 3/4"</v>
          </cell>
        </row>
        <row r="827">
          <cell r="D827" t="str">
            <v>PE Pipe Male Tee - 32mm x 1"</v>
          </cell>
        </row>
        <row r="828">
          <cell r="D828" t="str">
            <v>PE Pipe Male Tee - 50mm x 1-1/2"</v>
          </cell>
        </row>
        <row r="829">
          <cell r="D829" t="str">
            <v>PE Pipe Male Tee - 63mm x 2"</v>
          </cell>
        </row>
        <row r="830">
          <cell r="D830" t="str">
            <v>PE Pipe Male Tee - 90mm x 3"</v>
          </cell>
        </row>
        <row r="831">
          <cell r="D831" t="str">
            <v>PE Pipe Male Tee - 25mm x 1/2"</v>
          </cell>
        </row>
        <row r="832">
          <cell r="D832" t="str">
            <v>FEMALE TEE</v>
          </cell>
        </row>
        <row r="833">
          <cell r="D833" t="str">
            <v>PE Pipe Female Tee - 20mm x 1/2"</v>
          </cell>
        </row>
        <row r="834">
          <cell r="D834" t="str">
            <v>PE Pipe Female Tee - 20mm x 3/4"</v>
          </cell>
        </row>
        <row r="835">
          <cell r="D835" t="str">
            <v>PE Pipe Female Tee - 25mm x 1/2"</v>
          </cell>
        </row>
        <row r="836">
          <cell r="D836" t="str">
            <v>PE Pipe Female Tee - 25mm x 3/4"</v>
          </cell>
        </row>
        <row r="837">
          <cell r="D837" t="str">
            <v>PE Pipe Female Tee - 32mm x 3/4"</v>
          </cell>
        </row>
        <row r="838">
          <cell r="D838" t="str">
            <v>PE Pipe Female Tee - 32mm x 1"</v>
          </cell>
        </row>
        <row r="839">
          <cell r="D839" t="str">
            <v>PE Pipe Female Tee - 50mm x 1-1/2"</v>
          </cell>
        </row>
        <row r="840">
          <cell r="D840" t="str">
            <v>PE Pipe Female Tee - 63mm x 2"</v>
          </cell>
        </row>
        <row r="841">
          <cell r="D841" t="str">
            <v>PE Pipe Female Tee - 90mm x 3"</v>
          </cell>
        </row>
        <row r="842">
          <cell r="D842" t="str">
            <v>PE Pipe Female Tee - 25mm x 1/2"</v>
          </cell>
        </row>
        <row r="843">
          <cell r="D843" t="str">
            <v>REDUCING TEE</v>
          </cell>
        </row>
        <row r="844">
          <cell r="D844" t="str">
            <v>PE Pipe Reducing Tee - 25mm x 20mm</v>
          </cell>
        </row>
        <row r="845">
          <cell r="D845" t="str">
            <v>PE Pipe Reducing Tee - 32mm x 20mm</v>
          </cell>
        </row>
        <row r="846">
          <cell r="D846" t="str">
            <v>PE Pipe Reducing Tee - 32mm x 25mm</v>
          </cell>
        </row>
        <row r="847">
          <cell r="D847" t="str">
            <v>PE Pipe Reducing Tee - 40mm x 32mm</v>
          </cell>
        </row>
        <row r="848">
          <cell r="D848" t="str">
            <v>PE Pipe Reducing Tee - 50mm x 32mm</v>
          </cell>
        </row>
        <row r="849">
          <cell r="D849" t="str">
            <v>PE Pipe Reducing Tee - 50mm x 40mm</v>
          </cell>
        </row>
        <row r="850">
          <cell r="D850" t="str">
            <v>PE Pipe Reducing Tee - 63mm x 50mm</v>
          </cell>
        </row>
        <row r="851">
          <cell r="D851" t="str">
            <v>PE Pipe Reducing Tee - 25mm x 20mm</v>
          </cell>
        </row>
        <row r="852">
          <cell r="D852" t="str">
            <v>EQUAL TEE</v>
          </cell>
        </row>
        <row r="853">
          <cell r="D853" t="str">
            <v>PE Pipe Equal Tee - 20mm x 20mm</v>
          </cell>
        </row>
        <row r="854">
          <cell r="D854" t="str">
            <v>PE Pipe Equal Tee - 20mm x 25mm</v>
          </cell>
        </row>
        <row r="855">
          <cell r="D855" t="str">
            <v>PE Pipe Equal Tee - 32mm x 32mm</v>
          </cell>
        </row>
        <row r="856">
          <cell r="D856" t="str">
            <v>PE Pipe Equal Tee - 40mm x 40mm</v>
          </cell>
        </row>
        <row r="857">
          <cell r="D857" t="str">
            <v>PE Pipe Equal Tee - 50mm x 50mm</v>
          </cell>
        </row>
        <row r="858">
          <cell r="D858" t="str">
            <v>PE Pipe Equal Tee - 63mm x 63mm</v>
          </cell>
        </row>
        <row r="859">
          <cell r="D859" t="str">
            <v>PE Pipe Equal Tee - 90mm x 90mm</v>
          </cell>
        </row>
        <row r="860">
          <cell r="D860" t="str">
            <v>PE Pipe Equal Tee - 20mm x 20mm</v>
          </cell>
        </row>
        <row r="861">
          <cell r="D861" t="str">
            <v>EQUAL BEND 90°</v>
          </cell>
        </row>
        <row r="862">
          <cell r="D862" t="str">
            <v>PE Pipe Equal Bend 90° - 20mm x 20mm</v>
          </cell>
        </row>
        <row r="863">
          <cell r="D863" t="str">
            <v>PE Pipe Equal Bend 90° - 20mm x 25mm</v>
          </cell>
        </row>
        <row r="864">
          <cell r="D864" t="str">
            <v>PE Pipe Equal Bend 90° - 32mm x 32mm</v>
          </cell>
        </row>
        <row r="865">
          <cell r="D865" t="str">
            <v>PE Pipe Equal Bend 90° - 40mm x 40mm</v>
          </cell>
        </row>
        <row r="866">
          <cell r="D866" t="str">
            <v>PE Pipe Equal Bend 90° - 50mm x 50mm</v>
          </cell>
        </row>
        <row r="867">
          <cell r="D867" t="str">
            <v>PE Pipe Equal Bend 90° - 63mm x 63mm</v>
          </cell>
        </row>
        <row r="868">
          <cell r="D868" t="str">
            <v>PE Pipe Equal Bend 90° - 90mm x 90mm</v>
          </cell>
        </row>
        <row r="869">
          <cell r="D869" t="str">
            <v>PE Pipe Equal Bend 90° - 20mm x 20mm</v>
          </cell>
        </row>
        <row r="870">
          <cell r="D870" t="str">
            <v>FEMALE BEND 90°</v>
          </cell>
        </row>
        <row r="871">
          <cell r="D871" t="str">
            <v>PE Pipe Female Bend 90° - 20mm x 1/2"</v>
          </cell>
        </row>
        <row r="872">
          <cell r="D872" t="str">
            <v>PE Pipe Female Bend 90° - 20mm x 3/4"</v>
          </cell>
        </row>
        <row r="873">
          <cell r="D873" t="str">
            <v>PE Pipe Female Bend 90° - 25mm x 1/2"</v>
          </cell>
        </row>
        <row r="874">
          <cell r="D874" t="str">
            <v>PE Pipe Female Bend 90° - 25mm x 3/4"</v>
          </cell>
        </row>
        <row r="875">
          <cell r="D875" t="str">
            <v>PE Pipe Female Bend 90° - 25mm x 1"</v>
          </cell>
        </row>
        <row r="876">
          <cell r="D876" t="str">
            <v>PE Pipe Female Bend 90° - 32mm x 3/4"</v>
          </cell>
        </row>
        <row r="877">
          <cell r="D877" t="str">
            <v>PE Pipe Female Bend 90° - 32mm x 1"</v>
          </cell>
        </row>
        <row r="878">
          <cell r="D878" t="str">
            <v>PE Pipe Female Bend 90° - 50mm x 1-1/2"</v>
          </cell>
        </row>
        <row r="879">
          <cell r="D879" t="str">
            <v>PE Pipe Female Bend 90° - 63mm x 2"</v>
          </cell>
        </row>
        <row r="880">
          <cell r="D880" t="str">
            <v>PE Pipe Female Bend 90° - 90mm x 3"</v>
          </cell>
        </row>
        <row r="881">
          <cell r="D881" t="str">
            <v>PE Pipe Female Bend 90° - 25mm x 3/4"</v>
          </cell>
        </row>
        <row r="882">
          <cell r="D882" t="str">
            <v>MALE BEND 90°</v>
          </cell>
        </row>
        <row r="883">
          <cell r="D883" t="str">
            <v>PE Pipe Male Bend 90° - 20mm x 1/2"</v>
          </cell>
        </row>
        <row r="884">
          <cell r="D884" t="str">
            <v>PE Pipe Male Bend 90° - 20mm x 3/4"</v>
          </cell>
        </row>
        <row r="885">
          <cell r="D885" t="str">
            <v>PE Pipe Male Bend 90° - 25mm x 1/2"</v>
          </cell>
        </row>
        <row r="886">
          <cell r="D886" t="str">
            <v>PE Pipe Male Bend 90° - 25mm x 3/4"</v>
          </cell>
        </row>
        <row r="887">
          <cell r="D887" t="str">
            <v>PE Pipe Male Bend 90° - 25mm x 1"</v>
          </cell>
        </row>
        <row r="888">
          <cell r="D888" t="str">
            <v>PE Pipe Male Bend 90° - 32mm x 3/4"</v>
          </cell>
        </row>
        <row r="889">
          <cell r="D889" t="str">
            <v>PE Pipe Male Bend 90° - 32mm x 1"</v>
          </cell>
        </row>
        <row r="890">
          <cell r="D890" t="str">
            <v>PE Pipe Male Bend 90° - 50mm x 1-1/2"</v>
          </cell>
        </row>
        <row r="891">
          <cell r="D891" t="str">
            <v>PE Pipe Male Bend 90° - 63mm x 2"</v>
          </cell>
        </row>
        <row r="892">
          <cell r="D892" t="str">
            <v>PE Pipe Male Bend 90° - 90mm x 3"</v>
          </cell>
        </row>
        <row r="893">
          <cell r="D893" t="str">
            <v>PE Pipe Male Bend 90° - 25mm x 3/4"</v>
          </cell>
        </row>
        <row r="894">
          <cell r="D894" t="str">
            <v>SINGLE OUTLET SADDLE CLAMP</v>
          </cell>
        </row>
        <row r="895">
          <cell r="D895" t="str">
            <v>PE Pipe Single Outlet Saddle Clamp - 32mm x 3/4"</v>
          </cell>
        </row>
        <row r="896">
          <cell r="D896" t="str">
            <v>PE Pipe Single Outlet Saddle Clamp - 32mm x 1"</v>
          </cell>
        </row>
        <row r="897">
          <cell r="D897" t="str">
            <v>PE Pipe Single Outlet Saddle Clamp - 40mm x 1"</v>
          </cell>
        </row>
        <row r="898">
          <cell r="D898" t="str">
            <v>PE Pipe Single Outlet Saddle Clamp - 50mm x 3/4"</v>
          </cell>
        </row>
        <row r="899">
          <cell r="D899" t="str">
            <v>PE Pipe Single Outlet Saddle Clamp - 50mm x 1"</v>
          </cell>
        </row>
        <row r="900">
          <cell r="D900" t="str">
            <v>PE Pipe Single Outlet Saddle Clamp - 63mm x 3/4"</v>
          </cell>
        </row>
        <row r="901">
          <cell r="D901" t="str">
            <v>PE Pipe Single Outlet Saddle Clamp - 63mm x 1"</v>
          </cell>
        </row>
        <row r="902">
          <cell r="D902" t="str">
            <v>PE Pipe Single Outlet Saddle Clamp - 73mm x 1"</v>
          </cell>
        </row>
        <row r="903">
          <cell r="D903" t="str">
            <v>PE Pipe Single Outlet Saddle Clamp - 90mm x 3/4"</v>
          </cell>
        </row>
        <row r="904">
          <cell r="D904" t="str">
            <v>PE Pipe Single Outlet Saddle Clamp - 90mm x 1"</v>
          </cell>
        </row>
        <row r="905">
          <cell r="D905" t="str">
            <v>PE Pipe Single Outlet Saddle Clamp - 90mm x 2"</v>
          </cell>
        </row>
        <row r="906">
          <cell r="D906" t="str">
            <v>PE Pipe Single Outlet Saddle Clamp - 110mm x 3/4"</v>
          </cell>
        </row>
        <row r="907">
          <cell r="D907" t="str">
            <v>PE Pipe Single Outlet Saddle Clamp - 110mm x 1"</v>
          </cell>
        </row>
        <row r="908">
          <cell r="D908" t="str">
            <v>PE Pipe Single Outlet Saddle Clamp - 110mm x 1-1/4"</v>
          </cell>
        </row>
        <row r="909">
          <cell r="D909" t="str">
            <v>PE Pipe Single Outlet Saddle Clamp - 110mm x 2"</v>
          </cell>
        </row>
        <row r="910">
          <cell r="D910" t="str">
            <v>PE Pipe Single Outlet Saddle Clamp - 160mm x 3/4"</v>
          </cell>
        </row>
        <row r="911">
          <cell r="D911" t="str">
            <v>PE Pipe Single Outlet Saddle Clamp - 160mm x 1"</v>
          </cell>
        </row>
        <row r="912">
          <cell r="D912" t="str">
            <v>PE Pipe Single Outlet Saddle Clamp - 160mm x 2"</v>
          </cell>
        </row>
        <row r="913">
          <cell r="D913" t="str">
            <v>PE Pipe Single Outlet Saddle Clamp - 110mm x 3/4"</v>
          </cell>
        </row>
        <row r="914">
          <cell r="D914" t="str">
            <v>DOUBLE OUTLET SADDLE CLAMP</v>
          </cell>
        </row>
        <row r="915">
          <cell r="D915" t="str">
            <v>PE Pipe Double Outlet Saddle Clamp - 32mm x 3/4" x 3/4"</v>
          </cell>
        </row>
        <row r="916">
          <cell r="D916" t="str">
            <v>PE Pipe Double Outlet Saddle Clamp - 32mm x 1" x 1"</v>
          </cell>
        </row>
        <row r="917">
          <cell r="D917" t="str">
            <v>PE Pipe Double Outlet Saddle Clamp - 50mm x 3/4" x 3/4"</v>
          </cell>
        </row>
        <row r="918">
          <cell r="D918" t="str">
            <v>PE Pipe Double Outlet Saddle Clamp - 50mm x 1" x 1"</v>
          </cell>
        </row>
        <row r="919">
          <cell r="D919" t="str">
            <v>PE Pipe Double Outlet Saddle Clamp - 63mm x 3/4" x 3/4"</v>
          </cell>
        </row>
        <row r="920">
          <cell r="D920" t="str">
            <v>PE Pipe Double Outlet Saddle Clamp - 63mm x 1" x 1"</v>
          </cell>
        </row>
        <row r="921">
          <cell r="D921" t="str">
            <v>PE Pipe Double Outlet Saddle Clamp - 90mm x 3/4" x 3/4"</v>
          </cell>
        </row>
        <row r="922">
          <cell r="D922" t="str">
            <v>PE Pipe Double Outlet Saddle Clamp - 90mm x 1" x 1"</v>
          </cell>
        </row>
        <row r="923">
          <cell r="D923" t="str">
            <v>PE Pipe Double Outlet Saddle Clamp - 90mm x 2" x 2"</v>
          </cell>
        </row>
        <row r="924">
          <cell r="D924" t="str">
            <v>PE Pipe Double Outlet Saddle Clamp - 110mm x 3/4" x 3/4"</v>
          </cell>
        </row>
        <row r="925">
          <cell r="D925" t="str">
            <v>PE Pipe Double Outlet Saddle Clamp - 110mm x 1" x 1"</v>
          </cell>
        </row>
        <row r="926">
          <cell r="D926" t="str">
            <v>PE Pipe Double Outlet Saddle Clamp - 110mm x 2" x 2"</v>
          </cell>
        </row>
        <row r="927">
          <cell r="D927" t="str">
            <v>PE Pipe Double Outlet Saddle Clamp - 160mm x 3/4" x 3/4"</v>
          </cell>
        </row>
        <row r="928">
          <cell r="D928" t="str">
            <v>PE Pipe Double Outlet Saddle Clamp - 160mm x 1" x 1"</v>
          </cell>
        </row>
        <row r="929">
          <cell r="D929" t="str">
            <v>PE Pipe Double Outlet Saddle Clamp - 160mm x 2" x 2"</v>
          </cell>
        </row>
        <row r="930">
          <cell r="D930" t="str">
            <v>PE Pipe Double Outlet Saddle Clamp - 90mm x 2" x 2"</v>
          </cell>
        </row>
        <row r="931">
          <cell r="D931" t="str">
            <v>SPIGOT - Stub End</v>
          </cell>
        </row>
        <row r="932">
          <cell r="D932" t="str">
            <v>PE Pipe Stub End Long Collar - 90mm x 63mm</v>
          </cell>
        </row>
        <row r="933">
          <cell r="D933" t="str">
            <v>PE Pipe Stub End Long Collar - 110mm x 63mm</v>
          </cell>
        </row>
        <row r="934">
          <cell r="D934" t="str">
            <v>PE Pipe Stub End Long Collar - 160mm x 63mm</v>
          </cell>
        </row>
        <row r="935">
          <cell r="D935" t="str">
            <v>PE Pipe Stub End Long Collar - 160mm x 110mm</v>
          </cell>
        </row>
        <row r="936">
          <cell r="D936" t="str">
            <v>PE Pipe Double Outlet Saddle Clamp - 160mm x 2" x 2"</v>
          </cell>
        </row>
        <row r="937">
          <cell r="D937" t="str">
            <v>SPIGOT - Reducer</v>
          </cell>
        </row>
        <row r="938">
          <cell r="D938" t="str">
            <v>PE Pipe (Spigot) Reducer - 63mm</v>
          </cell>
        </row>
        <row r="939">
          <cell r="D939" t="str">
            <v>PE Pipe (Spigot) Reducer - 90mm</v>
          </cell>
        </row>
        <row r="940">
          <cell r="D940" t="str">
            <v>PE Pipe (Spigot) Reducer - 110mm</v>
          </cell>
        </row>
        <row r="941">
          <cell r="D941" t="str">
            <v>PE Pipe (Spigot) Reducer - 160mm</v>
          </cell>
        </row>
        <row r="942">
          <cell r="D942" t="str">
            <v>PE Pipe Stub End Long Collar - 160mm x 110mm</v>
          </cell>
        </row>
        <row r="943">
          <cell r="D943" t="str">
            <v>PE Pipe, SDR 17   25mmØ</v>
          </cell>
        </row>
        <row r="944">
          <cell r="D944" t="str">
            <v>PE Pipe, SDR 17   32mmØ</v>
          </cell>
        </row>
        <row r="945">
          <cell r="D945" t="str">
            <v>PE Pipe, SDR 17   40mmØ</v>
          </cell>
        </row>
        <row r="946">
          <cell r="D946" t="str">
            <v>PE Pipe, SDR 17   50mmØ</v>
          </cell>
        </row>
        <row r="947">
          <cell r="D947" t="str">
            <v>PE Pipe, SDR 17   63mmØ</v>
          </cell>
        </row>
        <row r="948">
          <cell r="D948" t="str">
            <v>PE Pipe, SDR 17  75mmØ</v>
          </cell>
        </row>
        <row r="949">
          <cell r="D949" t="str">
            <v>PE Pipe, SDR 17  90mmØ</v>
          </cell>
        </row>
        <row r="950">
          <cell r="D950" t="str">
            <v>PE Pipe, SDR 17   25mmØ</v>
          </cell>
        </row>
        <row r="951">
          <cell r="D951" t="str">
            <v>3/8" PE Pipe Coupling/Connector</v>
          </cell>
        </row>
        <row r="952">
          <cell r="D952" t="str">
            <v>½" PE Pipe Coupling/Connector</v>
          </cell>
        </row>
        <row r="953">
          <cell r="D953" t="str">
            <v>3/4" PE Pipe Coupling/Connector</v>
          </cell>
        </row>
        <row r="954">
          <cell r="D954" t="str">
            <v>1" PE Pipe Coupling/Connector</v>
          </cell>
        </row>
        <row r="955">
          <cell r="D955" t="str">
            <v>1¼" PE Pipe Coupling/Connector</v>
          </cell>
        </row>
        <row r="956">
          <cell r="D956" t="str">
            <v>1½" PE Pipe Coupling/Connector</v>
          </cell>
        </row>
        <row r="957">
          <cell r="D957" t="str">
            <v>2" PE Pipe Coupling/Connector</v>
          </cell>
        </row>
        <row r="958">
          <cell r="D958" t="str">
            <v>2½" PE Pipe Coupling/Connector</v>
          </cell>
        </row>
        <row r="959">
          <cell r="D959" t="str">
            <v>3" PE Pipe Coupling/Connector</v>
          </cell>
        </row>
        <row r="960">
          <cell r="D960" t="str">
            <v>63mm X 2"dia. Male Adaptor, PLASSON</v>
          </cell>
        </row>
        <row r="961">
          <cell r="D961" t="str">
            <v>75mm X 2½"dia. Male Adaptor, PLASSON</v>
          </cell>
        </row>
        <row r="962">
          <cell r="D962" t="str">
            <v>1¼" PE Pipe Coupling/Connector</v>
          </cell>
        </row>
        <row r="963">
          <cell r="D963" t="str">
            <v>Butt Fusion</v>
          </cell>
        </row>
        <row r="964">
          <cell r="D964" t="str">
            <v>PE Pipe Butt Fussion - 25mmØ</v>
          </cell>
        </row>
        <row r="965">
          <cell r="D965" t="str">
            <v>PE Pipe Butt Fussion - 32mmØ</v>
          </cell>
        </row>
        <row r="966">
          <cell r="D966" t="str">
            <v>PE Pipe Butt Fussion - 40mmØ</v>
          </cell>
        </row>
        <row r="967">
          <cell r="D967" t="str">
            <v>PE Pipe Butt Fussion - 50mmØ</v>
          </cell>
        </row>
        <row r="968">
          <cell r="D968" t="str">
            <v>PE Pipe Butt Fussion - 63mmØ</v>
          </cell>
        </row>
        <row r="969">
          <cell r="D969" t="str">
            <v>PE Pipe Butt Fussion - 75mmØ</v>
          </cell>
        </row>
        <row r="970">
          <cell r="D970" t="str">
            <v>PE Pipe Butt Fussion - 90mmØ</v>
          </cell>
        </row>
        <row r="971">
          <cell r="D971" t="str">
            <v>PE Pipe Butt Fussion - 25mmØ</v>
          </cell>
        </row>
        <row r="972">
          <cell r="D972" t="str">
            <v>PE Pipe Butt Fussion - 25mm x 20mm</v>
          </cell>
        </row>
        <row r="973">
          <cell r="D973" t="str">
            <v>PE Pipe Butt Fussion - 32mm x 20mm</v>
          </cell>
        </row>
        <row r="974">
          <cell r="D974" t="str">
            <v>PE Pipe Butt Fussion - 32mm x 25mm</v>
          </cell>
        </row>
        <row r="975">
          <cell r="D975" t="str">
            <v>PE Pipe Butt Fussion - 50mm x 25mm</v>
          </cell>
        </row>
        <row r="976">
          <cell r="D976" t="str">
            <v>PE Pipe Butt Fussion - 50mm x 32mm</v>
          </cell>
        </row>
        <row r="977">
          <cell r="D977" t="str">
            <v>PE Pipe Butt Fussion - 50mm x 40mm</v>
          </cell>
        </row>
        <row r="978">
          <cell r="D978" t="str">
            <v>PE Pipe Butt Fussion - 63mm x 32mm</v>
          </cell>
        </row>
        <row r="979">
          <cell r="D979" t="str">
            <v>PE Pipe Butt Fussion - 63mm x 40mm</v>
          </cell>
        </row>
        <row r="980">
          <cell r="D980" t="str">
            <v>PE Pipe Butt Fussion - 63mm x 50mm</v>
          </cell>
        </row>
        <row r="981">
          <cell r="D981" t="str">
            <v>PE Pipe Butt Fussion - 90mm x 63mm</v>
          </cell>
        </row>
        <row r="982">
          <cell r="D982" t="str">
            <v>PE Pipe Butt Fussion - 50mm x 25mm</v>
          </cell>
        </row>
        <row r="983">
          <cell r="D983" t="str">
            <v>PE Pipe Butt Fussion - 50mm x 32mm</v>
          </cell>
        </row>
        <row r="984">
          <cell r="D984" t="str">
            <v>( SANITARY FIXTURES )</v>
          </cell>
        </row>
        <row r="985">
          <cell r="D985" t="str">
            <v>½" Brass Faucet, Plain Bibb</v>
          </cell>
        </row>
        <row r="986">
          <cell r="D986" t="str">
            <v>Water closet (ordinary)</v>
          </cell>
        </row>
        <row r="987">
          <cell r="D987" t="str">
            <v>Water closet</v>
          </cell>
        </row>
        <row r="988">
          <cell r="D988" t="str">
            <v>Water seal bowl (Pail Flush)</v>
          </cell>
        </row>
        <row r="989">
          <cell r="D989" t="str">
            <v>Lavatory, porcelain</v>
          </cell>
        </row>
        <row r="990">
          <cell r="D990" t="str">
            <v>Kitchen sink ( Aluminum)</v>
          </cell>
        </row>
        <row r="991">
          <cell r="D991" t="str">
            <v>Soap Holder (ceramic)</v>
          </cell>
        </row>
        <row r="992">
          <cell r="D992" t="str">
            <v>Paper Holder (ceramic)</v>
          </cell>
        </row>
        <row r="993">
          <cell r="D993" t="str">
            <v>4x4 Floor drain plate</v>
          </cell>
        </row>
        <row r="994">
          <cell r="D994" t="str">
            <v>6x6 Floor drain plate</v>
          </cell>
        </row>
        <row r="995">
          <cell r="D995" t="str">
            <v>1¼" Jetmatic Pump, Heavy Duty</v>
          </cell>
        </row>
        <row r="996">
          <cell r="D996" t="str">
            <v>Sink Strainer</v>
          </cell>
        </row>
        <row r="997">
          <cell r="D997" t="str">
            <v>Dome Type Roof Drain</v>
          </cell>
        </row>
        <row r="998">
          <cell r="D998" t="str">
            <v>Kitchen sink (Stainless)</v>
          </cell>
        </row>
        <row r="999">
          <cell r="D999" t="str">
            <v>Brass Faucet</v>
          </cell>
        </row>
        <row r="1000">
          <cell r="D1000" t="str">
            <v>Stainless Lavatory Faucet</v>
          </cell>
        </row>
        <row r="1001">
          <cell r="D1001" t="str">
            <v>150mm PVC Sanitary/Sewer Pipe x 3000</v>
          </cell>
        </row>
        <row r="1002">
          <cell r="D1002" t="str">
            <v>150mm PVC Pipe x 6000</v>
          </cell>
        </row>
        <row r="1003">
          <cell r="D1003" t="str">
            <v>Sink Strainer</v>
          </cell>
        </row>
        <row r="1004">
          <cell r="D1004" t="str">
            <v>( ELECTRICAL WIRES &amp; APURTENANCES )</v>
          </cell>
        </row>
        <row r="1005">
          <cell r="D1005" t="str">
            <v>#8 AWG TW Wire solid</v>
          </cell>
        </row>
        <row r="1006">
          <cell r="D1006" t="str">
            <v>#10 AWG TW Wire solid</v>
          </cell>
        </row>
        <row r="1007">
          <cell r="D1007" t="str">
            <v>#12 AWG TW Wire solid</v>
          </cell>
        </row>
        <row r="1008">
          <cell r="D1008" t="str">
            <v>#14 AWG TW Wire solid</v>
          </cell>
        </row>
        <row r="1009">
          <cell r="D1009" t="str">
            <v>#10 AWG TW Wire stranded</v>
          </cell>
        </row>
        <row r="1010">
          <cell r="D1010" t="str">
            <v>#12 AWG TW Wire stranded</v>
          </cell>
        </row>
        <row r="1011">
          <cell r="D1011" t="str">
            <v>#14 AWG TW Wire stranded</v>
          </cell>
        </row>
        <row r="1012">
          <cell r="D1012" t="str">
            <v>#10  PDX Wire</v>
          </cell>
        </row>
        <row r="1013">
          <cell r="D1013" t="str">
            <v>#12 PDX Wire</v>
          </cell>
        </row>
        <row r="1014">
          <cell r="D1014" t="str">
            <v>#14 PDX Wire</v>
          </cell>
        </row>
        <row r="1015">
          <cell r="D1015" t="str">
            <v>3/4" PolyFlex Pipe</v>
          </cell>
        </row>
        <row r="1016">
          <cell r="D1016" t="str">
            <v>½" Flexible conduit</v>
          </cell>
        </row>
        <row r="1017">
          <cell r="D1017" t="str">
            <v>1" Flexible conduit</v>
          </cell>
        </row>
        <row r="1018">
          <cell r="D1018" t="str">
            <v>½" Entrance Cap</v>
          </cell>
        </row>
        <row r="1019">
          <cell r="D1019" t="str">
            <v>20A Circuit Breakers</v>
          </cell>
        </row>
        <row r="1020">
          <cell r="D1020" t="str">
            <v>30A Circuit Breakers</v>
          </cell>
        </row>
        <row r="1021">
          <cell r="D1021" t="str">
            <v>40A Circuit Breakers</v>
          </cell>
        </row>
        <row r="1022">
          <cell r="D1022" t="str">
            <v>60ACircuit Breakers</v>
          </cell>
        </row>
        <row r="1023">
          <cell r="D1023" t="str">
            <v>100A Circuit Breakers</v>
          </cell>
        </row>
        <row r="1024">
          <cell r="D1024" t="str">
            <v>15A Fuse</v>
          </cell>
        </row>
        <row r="1025">
          <cell r="D1025" t="str">
            <v>20A Fuse</v>
          </cell>
        </row>
        <row r="1026">
          <cell r="D1026" t="str">
            <v>30A Fuse</v>
          </cell>
        </row>
        <row r="1027">
          <cell r="D1027" t="str">
            <v>60A Fuse</v>
          </cell>
        </row>
        <row r="1028">
          <cell r="D1028" t="str">
            <v>30A kWh Meter</v>
          </cell>
        </row>
        <row r="1029">
          <cell r="D1029" t="str">
            <v>60A kWh Meter</v>
          </cell>
        </row>
        <row r="1030">
          <cell r="D1030" t="str">
            <v>100A kWh Meter</v>
          </cell>
        </row>
        <row r="1031">
          <cell r="D1031" t="str">
            <v>2X4, Utility Box</v>
          </cell>
        </row>
        <row r="1032">
          <cell r="D1032" t="str">
            <v>4X4, Junction Box with cover (Square)</v>
          </cell>
        </row>
        <row r="1033">
          <cell r="D1033" t="str">
            <v>4X4, Junction Box with cover (Octagonal)</v>
          </cell>
        </row>
        <row r="1034">
          <cell r="D1034" t="str">
            <v>Porcelain Ceiling Outlet</v>
          </cell>
        </row>
        <row r="1035">
          <cell r="D1035" t="str">
            <v>Duplex convenience outlet (surface type)</v>
          </cell>
        </row>
        <row r="1036">
          <cell r="D1036" t="str">
            <v>Rubber female plug</v>
          </cell>
        </row>
        <row r="1037">
          <cell r="D1037" t="str">
            <v>Electrical Tape</v>
          </cell>
        </row>
        <row r="1038">
          <cell r="D1038" t="str">
            <v>Panel Board, 6-Breakers</v>
          </cell>
        </row>
        <row r="1039">
          <cell r="D1039" t="str">
            <v>One Gang Switch (flush type)</v>
          </cell>
        </row>
        <row r="1040">
          <cell r="D1040" t="str">
            <v>Two Gang Swicth (flush type)</v>
          </cell>
        </row>
        <row r="1041">
          <cell r="D1041" t="str">
            <v>Three Gang Swicth (flush type)</v>
          </cell>
        </row>
        <row r="1042">
          <cell r="D1042" t="str">
            <v>One Gang Outlet (flush type)</v>
          </cell>
        </row>
        <row r="1043">
          <cell r="D1043" t="str">
            <v>Two Gang Outlet (flush type)</v>
          </cell>
        </row>
        <row r="1044">
          <cell r="D1044" t="str">
            <v>Three Gang Outlet (flush type)</v>
          </cell>
        </row>
        <row r="1045">
          <cell r="D1045" t="str">
            <v>1/2" Metal Conduit Pipe, 3.0m</v>
          </cell>
        </row>
        <row r="1046">
          <cell r="D1046" t="str">
            <v>20mmØ PVC Conduit Pipes, 3.0m</v>
          </cell>
        </row>
        <row r="1047">
          <cell r="D1047" t="str">
            <v>Main Switch Box, 2P, Double-Throw</v>
          </cell>
        </row>
        <row r="1048">
          <cell r="D1048" t="str">
            <v>Porcelain Wire Holder</v>
          </cell>
        </row>
        <row r="1049">
          <cell r="D1049" t="str">
            <v>Four Gang Switch (flush type)</v>
          </cell>
        </row>
        <row r="1050">
          <cell r="D1050" t="str">
            <v>( LIGHTS AND LAMPS )</v>
          </cell>
        </row>
        <row r="1051">
          <cell r="D1051" t="str">
            <v>20W 220 V Flourescent Lamp</v>
          </cell>
        </row>
        <row r="1052">
          <cell r="D1052" t="str">
            <v>40W 220 V Flourescent Lamp</v>
          </cell>
        </row>
        <row r="1053">
          <cell r="D1053" t="str">
            <v>20W 220 V Reflectorized Flourescent Lamp, Single Housing</v>
          </cell>
        </row>
        <row r="1054">
          <cell r="D1054" t="str">
            <v>10W Incandescent Bulb</v>
          </cell>
        </row>
        <row r="1055">
          <cell r="D1055" t="str">
            <v>20W Incandescent Bulb</v>
          </cell>
        </row>
        <row r="1056">
          <cell r="D1056" t="str">
            <v>50W Incandescent Bulb</v>
          </cell>
        </row>
        <row r="1057">
          <cell r="D1057" t="str">
            <v>100W Incandescent Bulb</v>
          </cell>
        </row>
        <row r="1058">
          <cell r="D1058" t="str">
            <v>18 W SL 2000 Flourescent Bulb</v>
          </cell>
        </row>
        <row r="1059">
          <cell r="D1059" t="str">
            <v>18 W SL 2000 Flourescent Bulb</v>
          </cell>
        </row>
        <row r="1060">
          <cell r="D1060" t="str">
            <v>40W 220 V Flourescent Lamp</v>
          </cell>
        </row>
        <row r="1061">
          <cell r="D1061" t="str">
            <v>( PAINTS &amp; ACCESSORIES )</v>
          </cell>
        </row>
        <row r="1062">
          <cell r="D1062" t="str">
            <v>Latex Paint Flat</v>
          </cell>
        </row>
        <row r="1063">
          <cell r="D1063" t="str">
            <v>Acrylic Latex Paint Flat</v>
          </cell>
        </row>
        <row r="1064">
          <cell r="D1064" t="str">
            <v>Acrylic Semi-Gloss Paint Latex</v>
          </cell>
        </row>
        <row r="1065">
          <cell r="D1065" t="str">
            <v>Acrylic Gloss Latex</v>
          </cell>
        </row>
        <row r="1066">
          <cell r="D1066" t="str">
            <v>Acrylic Clear Gloss Emulsion</v>
          </cell>
        </row>
        <row r="1067">
          <cell r="D1067" t="str">
            <v>Latex High Gloss Enamel</v>
          </cell>
        </row>
        <row r="1068">
          <cell r="D1068" t="str">
            <v>Latex Tinting Color (Water-based)</v>
          </cell>
        </row>
        <row r="1069">
          <cell r="D1069" t="str">
            <v>Quick Drying Enamel</v>
          </cell>
        </row>
        <row r="1070">
          <cell r="D1070" t="str">
            <v>Interior Semi-Gloss Enamel</v>
          </cell>
        </row>
        <row r="1071">
          <cell r="D1071" t="str">
            <v>Flat Wall Enamel</v>
          </cell>
        </row>
        <row r="1072">
          <cell r="D1072" t="str">
            <v>Gloss Enamel</v>
          </cell>
        </row>
        <row r="1073">
          <cell r="D1073" t="str">
            <v>Conc. Primer Sealer</v>
          </cell>
        </row>
        <row r="1074">
          <cell r="D1074" t="str">
            <v>Interior Primer Sealer</v>
          </cell>
        </row>
        <row r="1075">
          <cell r="D1075" t="str">
            <v>Exterior Wood Primer</v>
          </cell>
        </row>
        <row r="1076">
          <cell r="D1076" t="str">
            <v>Prepakote Red Oxide Primer</v>
          </cell>
        </row>
        <row r="1077">
          <cell r="D1077" t="str">
            <v>Zinc Chromate Primer.</v>
          </cell>
        </row>
        <row r="1078">
          <cell r="D1078" t="str">
            <v>Red Lead Primer</v>
          </cell>
        </row>
        <row r="1079">
          <cell r="D1079" t="str">
            <v>Blackboard Paint green</v>
          </cell>
        </row>
        <row r="1080">
          <cell r="D1080" t="str">
            <v>Portland Roofing Paint</v>
          </cell>
        </row>
        <row r="1081">
          <cell r="D1081" t="str">
            <v>Galva wash zinc remover</v>
          </cell>
        </row>
        <row r="1082">
          <cell r="D1082" t="str">
            <v>Sanding Sealer</v>
          </cell>
        </row>
        <row r="1083">
          <cell r="D1083" t="str">
            <v>Clear Gloss Lacquer</v>
          </cell>
        </row>
        <row r="1084">
          <cell r="D1084" t="str">
            <v>Paint Thinner</v>
          </cell>
        </row>
        <row r="1085">
          <cell r="D1085" t="str">
            <v>Concrete Neutralizer</v>
          </cell>
        </row>
        <row r="1086">
          <cell r="D1086" t="str">
            <v>Coal Tar</v>
          </cell>
        </row>
        <row r="1087">
          <cell r="D1087" t="str">
            <v>Wood Stain</v>
          </cell>
        </row>
        <row r="1088">
          <cell r="D1088" t="str">
            <v>Kalsomine powder</v>
          </cell>
        </row>
        <row r="1089">
          <cell r="D1089" t="str">
            <v>Sanding Paper</v>
          </cell>
        </row>
        <row r="1090">
          <cell r="D1090" t="str">
            <v>Epoxy Primer, Boysen</v>
          </cell>
        </row>
        <row r="1091">
          <cell r="D1091" t="str">
            <v>Roller Brush w/ Tray</v>
          </cell>
        </row>
        <row r="1092">
          <cell r="D1092" t="str">
            <v>Paint Brush</v>
          </cell>
        </row>
        <row r="1093">
          <cell r="D1093" t="str">
            <v>Reflectorized Paint</v>
          </cell>
        </row>
        <row r="1094">
          <cell r="D1094" t="str">
            <v>Marine Paint</v>
          </cell>
        </row>
        <row r="1095">
          <cell r="D1095" t="str">
            <v>Epoxy Enamel, Boysen</v>
          </cell>
        </row>
        <row r="1096">
          <cell r="D1096" t="str">
            <v>Kalsomine powder</v>
          </cell>
        </row>
        <row r="1097">
          <cell r="D1097" t="str">
            <v>( PRESERVATIVES )</v>
          </cell>
        </row>
        <row r="1098">
          <cell r="D1098" t="str">
            <v>Wood preservative (Solignum)</v>
          </cell>
        </row>
        <row r="1099">
          <cell r="D1099" t="str">
            <v>Roller Brush w/ Tray</v>
          </cell>
        </row>
        <row r="1100">
          <cell r="D1100" t="str">
            <v>( TILES )</v>
          </cell>
        </row>
        <row r="1101">
          <cell r="D1101" t="str">
            <v>Unglazed Tiles  4-1/4" x 4-1/4"</v>
          </cell>
        </row>
        <row r="1102">
          <cell r="D1102" t="str">
            <v>Glazed Tile (Plain Color)  4-1/4" x 4-1/4"</v>
          </cell>
        </row>
        <row r="1103">
          <cell r="D1103" t="str">
            <v>Mosaic Floor Tiles  12 x 12</v>
          </cell>
        </row>
        <row r="1104">
          <cell r="D1104" t="str">
            <v>Glazed Tiles  4" x 4"</v>
          </cell>
        </row>
        <row r="1105">
          <cell r="D1105" t="str">
            <v>Vitirified Tiles  4" x 8"</v>
          </cell>
        </row>
        <row r="1106">
          <cell r="D1106" t="str">
            <v>Floor Tiles (Plain Color)  8" x 8"</v>
          </cell>
        </row>
        <row r="1107">
          <cell r="D1107" t="str">
            <v>Glazed Tiles (Plain Color)  8" x 8"</v>
          </cell>
        </row>
        <row r="1108">
          <cell r="D1108" t="str">
            <v>Vinyl Tiles  8" x 8"</v>
          </cell>
        </row>
        <row r="1109">
          <cell r="D1109" t="str">
            <v>Capping</v>
          </cell>
        </row>
        <row r="1110">
          <cell r="D1110" t="str">
            <v>Internal Bead  4"</v>
          </cell>
        </row>
        <row r="1111">
          <cell r="D1111" t="str">
            <v xml:space="preserve">External Bead  4" </v>
          </cell>
        </row>
        <row r="1112">
          <cell r="D1112" t="str">
            <v>Internal Corner bead</v>
          </cell>
        </row>
        <row r="1113">
          <cell r="D1113" t="str">
            <v>External Corner bead</v>
          </cell>
        </row>
        <row r="1114">
          <cell r="D1114" t="str">
            <v>Unglazed Tiles  4" x 4"</v>
          </cell>
        </row>
        <row r="1115">
          <cell r="D1115" t="str">
            <v>Glazed Tiles (Plain Color)  8" x 8"</v>
          </cell>
        </row>
        <row r="1116">
          <cell r="D1116" t="str">
            <v>( INSTRUMENTS )</v>
          </cell>
        </row>
        <row r="1117">
          <cell r="D1117" t="str">
            <v>Weighing Scale w Ht Measurement (Adult)</v>
          </cell>
        </row>
        <row r="1118">
          <cell r="D1118" t="str">
            <v>Weighing Scale (Newborn)</v>
          </cell>
        </row>
        <row r="1119">
          <cell r="D1119" t="str">
            <v>Stethoscope</v>
          </cell>
        </row>
        <row r="1120">
          <cell r="D1120" t="str">
            <v>Medical Trolley w/glass container</v>
          </cell>
        </row>
        <row r="1121">
          <cell r="D1121" t="str">
            <v>Sphygmomanometer (Mercury)</v>
          </cell>
        </row>
        <row r="1122">
          <cell r="D1122" t="str">
            <v>Thermometer</v>
          </cell>
        </row>
        <row r="1123">
          <cell r="D1123" t="str">
            <v>Scissors (Surgical)</v>
          </cell>
        </row>
        <row r="1124">
          <cell r="D1124" t="str">
            <v>Scissors (Bandage)</v>
          </cell>
        </row>
        <row r="1125">
          <cell r="D1125" t="str">
            <v>Forceps (Curve)</v>
          </cell>
        </row>
        <row r="1126">
          <cell r="D1126" t="str">
            <v>Forceps (Straight)</v>
          </cell>
        </row>
        <row r="1127">
          <cell r="D1127" t="str">
            <v>Kidney Basin (Stainless)</v>
          </cell>
        </row>
        <row r="1128">
          <cell r="D1128" t="str">
            <v>Bed Pan (Metal)</v>
          </cell>
        </row>
        <row r="1129">
          <cell r="D1129" t="str">
            <v>Male Urinal</v>
          </cell>
        </row>
        <row r="1130">
          <cell r="D1130" t="str">
            <v>O.B. Bed with Stirrups</v>
          </cell>
        </row>
        <row r="1131">
          <cell r="D1131" t="str">
            <v>Hot Water Bag</v>
          </cell>
        </row>
        <row r="1132">
          <cell r="D1132" t="str">
            <v>Scissors (Bandage)</v>
          </cell>
        </row>
        <row r="1133">
          <cell r="D1133" t="str">
            <v>( FURNITURES )</v>
          </cell>
        </row>
        <row r="1134">
          <cell r="D1134" t="str">
            <v>Monoblock Student Chair</v>
          </cell>
        </row>
        <row r="1135">
          <cell r="D1135" t="str">
            <v>Monoblock Chair</v>
          </cell>
        </row>
        <row r="1136">
          <cell r="D1136" t="str">
            <v>Standard Office Table, Wood (SZOPAD Standard)</v>
          </cell>
        </row>
        <row r="1137">
          <cell r="D1137" t="str">
            <v>Blackboard</v>
          </cell>
        </row>
        <row r="1138">
          <cell r="D1138" t="str">
            <v>Kitchen Table, Wood (SZOPAD Standard)</v>
          </cell>
        </row>
        <row r="1139">
          <cell r="D1139" t="str">
            <v>Monoblock Bench (2-seater)</v>
          </cell>
        </row>
        <row r="1140">
          <cell r="D1140" t="str">
            <v>Weighing Scale w Ht Measurement (Adult)</v>
          </cell>
        </row>
        <row r="1141">
          <cell r="D1141" t="str">
            <v>( MOORING &amp; FENDERS )</v>
          </cell>
        </row>
        <row r="1142">
          <cell r="D1142" t="str">
            <v>Mooring Bollard 25T</v>
          </cell>
        </row>
        <row r="1143">
          <cell r="D1143" t="str">
            <v>Mooring Bollard 15T</v>
          </cell>
        </row>
        <row r="1144">
          <cell r="D1144" t="str">
            <v>Mooring Bitt 10T</v>
          </cell>
        </row>
        <row r="1145">
          <cell r="D1145" t="str">
            <v>Mooring Bitt 15T</v>
          </cell>
        </row>
        <row r="1146">
          <cell r="D1146" t="str">
            <v>Mooring Cleat 5T</v>
          </cell>
        </row>
        <row r="1147">
          <cell r="D1147" t="str">
            <v>V-Type Rubber Fender (200x1500) incl. its appurtenances</v>
          </cell>
        </row>
        <row r="1148">
          <cell r="D1148" t="str">
            <v>V-Type Rubber Fender (300x1500) incl. its appurtenances</v>
          </cell>
        </row>
        <row r="1149">
          <cell r="D1149" t="str">
            <v>V-Type Rubber Fender (400x1000) incl. its appurtenances</v>
          </cell>
        </row>
        <row r="1150">
          <cell r="D1150" t="str">
            <v>V-Type Rubber Fender (400x2000) incl. its appurtenances</v>
          </cell>
        </row>
        <row r="1151">
          <cell r="D1151" t="str">
            <v>L Corner Type Rubber Fender (250Hx1000Lx1000L) incl. its appurtenances</v>
          </cell>
        </row>
        <row r="1152">
          <cell r="D1152" t="str">
            <v>Used Tires (800mmØ)</v>
          </cell>
        </row>
        <row r="1153">
          <cell r="D1153" t="str">
            <v>Used Tires (600mmØ)</v>
          </cell>
        </row>
        <row r="1154">
          <cell r="D1154" t="str">
            <v>Used Tires (1000mmØ) and its appurtenances</v>
          </cell>
        </row>
        <row r="1155">
          <cell r="D1155" t="str">
            <v>V-Type Rubber Fender (200x1500) incl. its appurtenances</v>
          </cell>
        </row>
        <row r="1156">
          <cell r="D1156" t="str">
            <v>V-Type Rubber Fender (300x1500) incl. its appurtenances</v>
          </cell>
        </row>
        <row r="1157">
          <cell r="D1157" t="str">
            <v>( LUBRICANT AND OIL )</v>
          </cell>
        </row>
        <row r="1158">
          <cell r="D1158" t="str">
            <v>Used Oil</v>
          </cell>
        </row>
        <row r="1159">
          <cell r="D1159" t="str">
            <v>Oil, No. 110</v>
          </cell>
        </row>
        <row r="1160">
          <cell r="D1160" t="str">
            <v>Gasoline, Regular</v>
          </cell>
        </row>
        <row r="1161">
          <cell r="D1161" t="str">
            <v>Used Tires (600mmØ)</v>
          </cell>
        </row>
        <row r="1162">
          <cell r="D1162" t="str">
            <v>( JUNKS &amp; JOB ORDER )</v>
          </cell>
        </row>
        <row r="1163">
          <cell r="D1163" t="str">
            <v>Tension Rod</v>
          </cell>
        </row>
        <row r="1164">
          <cell r="D1164" t="str">
            <v>Steel Plate Cover 0.65 X 0.65 m</v>
          </cell>
        </row>
        <row r="1165">
          <cell r="D1165" t="str">
            <v>Window Grill, Steel</v>
          </cell>
        </row>
        <row r="1166">
          <cell r="D1166" t="str">
            <v xml:space="preserve">Shop-made Door Lock, 5/8" Plain Bar </v>
          </cell>
        </row>
        <row r="1167">
          <cell r="D1167" t="str">
            <v>Fabricated Clamp, 5mm thk x 3"</v>
          </cell>
        </row>
        <row r="1168">
          <cell r="D1168" t="str">
            <v>Used Tires</v>
          </cell>
        </row>
        <row r="1169">
          <cell r="D1169" t="str">
            <v>2.0m X 2.40m  GI Vertical Roll-Up Door</v>
          </cell>
        </row>
        <row r="1170">
          <cell r="D1170" t="str">
            <v>30"  Spherical Roof Vent, Turbine Type</v>
          </cell>
        </row>
        <row r="1171">
          <cell r="D1171" t="str">
            <v>Ga#24 GI Sht Caps</v>
          </cell>
        </row>
        <row r="1172">
          <cell r="D1172" t="str">
            <v>Hard Asphalt Filler</v>
          </cell>
        </row>
        <row r="1173">
          <cell r="D1173" t="str">
            <v>250 x 250 x 3000 Rubbing Timber (Yakal)</v>
          </cell>
        </row>
        <row r="1174">
          <cell r="D1174" t="str">
            <v>Creosoted Wooden Pole 300mmØ x 15m.</v>
          </cell>
        </row>
        <row r="1175">
          <cell r="D1175" t="str">
            <v>Creosoted Wooden Pole 300mmØ x 18m.</v>
          </cell>
        </row>
        <row r="1176">
          <cell r="D1176" t="str">
            <v>Steel Stapples 10mmØ</v>
          </cell>
        </row>
        <row r="1177">
          <cell r="D1177" t="str">
            <v>Fire Extinguishers</v>
          </cell>
        </row>
        <row r="1178">
          <cell r="D1178" t="str">
            <v>Water Proofing Compound &amp; Accessories</v>
          </cell>
        </row>
        <row r="1179">
          <cell r="D1179" t="str">
            <v>Gate Accessories</v>
          </cell>
        </row>
        <row r="1180">
          <cell r="D1180" t="str">
            <v>Electrical &amp; Fixtures</v>
          </cell>
        </row>
        <row r="1181">
          <cell r="D1181" t="str">
            <v>Regulatory Sign</v>
          </cell>
        </row>
        <row r="1182">
          <cell r="D1182" t="str">
            <v>Warning Sign</v>
          </cell>
        </row>
        <row r="1183">
          <cell r="D1183" t="str">
            <v>Elastomeric Bearing Pad Duro 60 (Complete Set)</v>
          </cell>
        </row>
        <row r="1184">
          <cell r="D1184" t="str">
            <v>Restrainer Bolt (25mmØx800</v>
          </cell>
        </row>
        <row r="1185">
          <cell r="D1185" t="str">
            <v>Ga#10 GI Pre-Fab Steel Flex Beam</v>
          </cell>
        </row>
        <row r="1186">
          <cell r="D1186" t="str">
            <v>Ga#10 GI Pre-Fab Steel Flex Beam end</v>
          </cell>
        </row>
        <row r="1187">
          <cell r="D1187" t="str">
            <v>Restrainer Bolt (25mmØx800)</v>
          </cell>
        </row>
        <row r="1188">
          <cell r="D1188" t="str">
            <v>Water Meter</v>
          </cell>
        </row>
        <row r="1189">
          <cell r="D1189" t="str">
            <v>Filter Fabric</v>
          </cell>
        </row>
        <row r="1190">
          <cell r="D1190" t="str">
            <v>Ga# 18 Stainless Steel Tank and Accessories</v>
          </cell>
        </row>
        <row r="1191">
          <cell r="D1191" t="str">
            <v>Engr's Transit</v>
          </cell>
        </row>
        <row r="1192">
          <cell r="D1192" t="str">
            <v>Polyurethane Plastic</v>
          </cell>
        </row>
        <row r="1193">
          <cell r="D1193" t="str">
            <v>Perimeter Fence</v>
          </cell>
        </row>
        <row r="1194">
          <cell r="D1194" t="str">
            <v>Ga#10 GI Pre-Fab Steel Flex Beam end</v>
          </cell>
        </row>
        <row r="1195">
          <cell r="D1195" t="str">
            <v>FENESTRATION</v>
          </cell>
        </row>
        <row r="1196">
          <cell r="D1196" t="str">
            <v>Door 1 - Community Center 1</v>
          </cell>
        </row>
        <row r="1197">
          <cell r="D1197" t="str">
            <v>Door 2 - Community Center 1</v>
          </cell>
        </row>
        <row r="1198">
          <cell r="D1198" t="str">
            <v>Window 1 - Community Center 1</v>
          </cell>
        </row>
        <row r="1199">
          <cell r="D1199" t="str">
            <v>Window 2 - Community Center 1</v>
          </cell>
        </row>
        <row r="1200">
          <cell r="D1200" t="str">
            <v>Window 3 - Community Center 1</v>
          </cell>
        </row>
        <row r="1201">
          <cell r="D1201" t="str">
            <v>Perimeter Fence</v>
          </cell>
        </row>
        <row r="1202">
          <cell r="D1202" t="str">
            <v>Door 1 - Community Center 2</v>
          </cell>
        </row>
        <row r="1203">
          <cell r="D1203" t="str">
            <v>Door 2 - Community Center 2</v>
          </cell>
        </row>
        <row r="1204">
          <cell r="D1204" t="str">
            <v>Window 1 - Community Center 2</v>
          </cell>
        </row>
        <row r="1205">
          <cell r="D1205" t="str">
            <v>Window 2 - Community Center 2</v>
          </cell>
        </row>
        <row r="1206">
          <cell r="D1206" t="str">
            <v>Window 3 - Community Center 2</v>
          </cell>
        </row>
        <row r="1207">
          <cell r="D1207" t="str">
            <v>Window 1 - Community Center 1</v>
          </cell>
        </row>
        <row r="1208">
          <cell r="D1208" t="str">
            <v>Window 2 - Community Center 1</v>
          </cell>
        </row>
        <row r="1209">
          <cell r="D1209" t="str">
            <v>FACILITIES FOR ENGINEER</v>
          </cell>
        </row>
        <row r="1210">
          <cell r="D1210" t="str">
            <v>Temporary Field Office/Quarter (2 Container Van w/ Shed)</v>
          </cell>
        </row>
        <row r="1211">
          <cell r="D1211" t="str">
            <v>Temporary Field Office/Quarter</v>
          </cell>
        </row>
        <row r="1212">
          <cell r="D1212" t="str">
            <v>Airconditioning Unit</v>
          </cell>
        </row>
        <row r="1213">
          <cell r="D1213" t="str">
            <v>Computer Pentium 4 w/ HP Deskject Printer (Latest Model)</v>
          </cell>
        </row>
        <row r="1214">
          <cell r="D1214" t="str">
            <v>Office Furnitures/Equipment (Items 81.70, 81.80 and 81.90)</v>
          </cell>
        </row>
        <row r="1215">
          <cell r="D1215" t="str">
            <v>Office Supplies/Water/Electricity</v>
          </cell>
        </row>
        <row r="1216">
          <cell r="D1216" t="str">
            <v>Furnishing on Rental Basis (Mat'ls Laboratory, Operations &amp; Maintenance)</v>
          </cell>
        </row>
        <row r="1217">
          <cell r="D1217" t="str">
            <v>Progress Photographed</v>
          </cell>
        </row>
        <row r="1218">
          <cell r="D1218" t="str">
            <v>FACILITIES FOR ENGINEER</v>
          </cell>
        </row>
        <row r="1219">
          <cell r="D1219" t="str">
            <v>OFFICE FURNITURES</v>
          </cell>
        </row>
        <row r="1220">
          <cell r="D1220" t="str">
            <v>Office Table</v>
          </cell>
        </row>
        <row r="1221">
          <cell r="D1221" t="str">
            <v>Office Chairs</v>
          </cell>
        </row>
        <row r="1222">
          <cell r="D1222" t="str">
            <v>Bench</v>
          </cell>
        </row>
        <row r="1223">
          <cell r="D1223" t="str">
            <v>Plywood Board</v>
          </cell>
        </row>
        <row r="1224">
          <cell r="D1224" t="str">
            <v>Office Supplies/Water/Electricity</v>
          </cell>
        </row>
        <row r="1225">
          <cell r="D1225" t="str">
            <v>SIGNAGES</v>
          </cell>
        </row>
        <row r="1226">
          <cell r="D1226" t="str">
            <v>Plate Marker</v>
          </cell>
        </row>
        <row r="1227">
          <cell r="D1227" t="str">
            <v>Marker Pedestal</v>
          </cell>
        </row>
        <row r="1228">
          <cell r="D1228" t="str">
            <v>Stainless Steel Plaque</v>
          </cell>
        </row>
        <row r="1229">
          <cell r="D1229" t="str">
            <v>Stainless Steel Plaque w/ Concrete Pedestal</v>
          </cell>
        </row>
        <row r="1230">
          <cell r="D1230" t="str">
            <v>Wall Mounted Project Information Signboard</v>
          </cell>
        </row>
        <row r="1231">
          <cell r="D1231" t="str">
            <v>Wooden Type Project Information Signboard</v>
          </cell>
        </row>
        <row r="1232">
          <cell r="D1232" t="str">
            <v>Steel Type Project Information Signboard</v>
          </cell>
        </row>
        <row r="1233">
          <cell r="D1233" t="str">
            <v>Steel Type Project Information Signboard (Tarpaulin w/ Plywood Backing)</v>
          </cell>
        </row>
        <row r="1234">
          <cell r="D1234" t="str">
            <v>Signage</v>
          </cell>
        </row>
        <row r="1235">
          <cell r="D1235" t="str">
            <v>Plate Marker w/ Pedestal</v>
          </cell>
        </row>
        <row r="1236">
          <cell r="D1236" t="str">
            <v>Marker Pedestal</v>
          </cell>
        </row>
        <row r="1237">
          <cell r="D1237" t="str">
            <v>Stainless Steel Plaque</v>
          </cell>
        </row>
        <row r="1238">
          <cell r="D1238" t="str">
            <v>PERMITS &amp; LICENSES</v>
          </cell>
        </row>
        <row r="1239">
          <cell r="D1239" t="str">
            <v>Warehouse</v>
          </cell>
        </row>
        <row r="1240">
          <cell r="D1240" t="str">
            <v>Solar Dryer</v>
          </cell>
        </row>
        <row r="1241">
          <cell r="D1241" t="str">
            <v>Community Center 1</v>
          </cell>
        </row>
        <row r="1242">
          <cell r="D1242" t="str">
            <v>Steel Type Project Information Signboard (Tarpaulin w/ Plywood Backing)</v>
          </cell>
        </row>
        <row r="1243">
          <cell r="D1243" t="str">
            <v>SAFETY</v>
          </cell>
        </row>
        <row r="1244">
          <cell r="D1244" t="str">
            <v>Hard Hats</v>
          </cell>
        </row>
        <row r="1245">
          <cell r="D1245" t="str">
            <v>First Aid Kit with First Aid Medicines</v>
          </cell>
        </row>
        <row r="1246">
          <cell r="D1246" t="str">
            <v>Traffic Barricade Type "D"</v>
          </cell>
        </row>
        <row r="1247">
          <cell r="D1247" t="str">
            <v>PERMITS &amp; LICENSES</v>
          </cell>
        </row>
        <row r="1248">
          <cell r="D1248" t="str">
            <v>( LIQUIFIED AND PRESSURE GASES )</v>
          </cell>
        </row>
        <row r="1249">
          <cell r="D1249" t="str">
            <v>Oxygen Gas</v>
          </cell>
        </row>
        <row r="1250">
          <cell r="D1250" t="str">
            <v>Acetylene Gas</v>
          </cell>
        </row>
        <row r="1251">
          <cell r="D1251" t="str">
            <v>Steel Type Project Information Signboard (Tarpaulin w/ Plywood Backing)</v>
          </cell>
        </row>
        <row r="1252">
          <cell r="D1252" t="str">
            <v>SAFETY</v>
          </cell>
        </row>
        <row r="1253">
          <cell r="D1253" t="str">
            <v>Hard Hats</v>
          </cell>
        </row>
        <row r="1254">
          <cell r="D1254" t="str">
            <v>First Aid Kit with First Aid Medicines</v>
          </cell>
        </row>
        <row r="1255">
          <cell r="D1255" t="str">
            <v>Traffic Barricade Type "D"</v>
          </cell>
        </row>
        <row r="1256">
          <cell r="D1256" t="str">
            <v>Stainless Steel Plaque w/ Concrete Pedestal</v>
          </cell>
        </row>
        <row r="1257">
          <cell r="D1257" t="str">
            <v>( LIQUIFIED AND PRESSURE GASES )</v>
          </cell>
        </row>
        <row r="1258">
          <cell r="D1258" t="str">
            <v>Oxygen Gas</v>
          </cell>
        </row>
        <row r="1259">
          <cell r="D1259" t="str">
            <v>Acetylene Gas</v>
          </cell>
        </row>
        <row r="1260">
          <cell r="D1260" t="str">
            <v>Steel Type Project Information Signboard (Tarpaulin w/ Plywood Backing)</v>
          </cell>
        </row>
        <row r="1261">
          <cell r="D1261" t="str">
            <v>Signage</v>
          </cell>
        </row>
        <row r="1262">
          <cell r="D1262" t="str">
            <v>Plate Marker w/ Pedestal</v>
          </cell>
        </row>
        <row r="1263">
          <cell r="D1263" t="str">
            <v>( LIQUIFIED AND PRESSURE GASES )</v>
          </cell>
        </row>
        <row r="1264">
          <cell r="D1264" t="str">
            <v>Oxygen Gas</v>
          </cell>
        </row>
        <row r="1265">
          <cell r="D1265" t="str">
            <v>PERMITS &amp; LICENSES</v>
          </cell>
        </row>
        <row r="1266">
          <cell r="D1266" t="str">
            <v>Warehouse</v>
          </cell>
        </row>
        <row r="1267">
          <cell r="D1267" t="str">
            <v>Solar Dryer</v>
          </cell>
        </row>
        <row r="1268">
          <cell r="D1268" t="str">
            <v>Community Center 1</v>
          </cell>
        </row>
        <row r="1269">
          <cell r="D1269" t="str">
            <v>Solar Dryer</v>
          </cell>
        </row>
        <row r="1270">
          <cell r="D1270" t="str">
            <v>SAFETY</v>
          </cell>
        </row>
        <row r="1271">
          <cell r="D1271" t="str">
            <v>Hard Hats</v>
          </cell>
        </row>
        <row r="1272">
          <cell r="D1272" t="str">
            <v>First Aid Kit with First Aid Medicines</v>
          </cell>
        </row>
        <row r="1273">
          <cell r="D1273" t="str">
            <v>Traffic Barricade Type "D"</v>
          </cell>
        </row>
        <row r="1274">
          <cell r="D1274" t="str">
            <v>First Aid Kit with First Aid Medicines</v>
          </cell>
        </row>
        <row r="1275">
          <cell r="D1275" t="str">
            <v>( LIQUIFIED AND PRESSURE GASES )</v>
          </cell>
        </row>
        <row r="1276">
          <cell r="D1276" t="str">
            <v>Oxygen Gas</v>
          </cell>
        </row>
        <row r="1277">
          <cell r="D1277" t="str">
            <v>Acetylene Gas</v>
          </cell>
        </row>
        <row r="1278">
          <cell r="D1278" t="str">
            <v>Oxygen Gas</v>
          </cell>
        </row>
        <row r="1279">
          <cell r="D1279" t="str">
            <v>Acetylene Gas</v>
          </cell>
        </row>
        <row r="1280">
          <cell r="D1280" t="str">
            <v>Acetylene Gas</v>
          </cell>
        </row>
      </sheetData>
      <sheetData sheetId="8" refreshError="1">
        <row r="4">
          <cell r="D4" t="str">
            <v>Manpower</v>
          </cell>
        </row>
        <row r="5">
          <cell r="D5" t="b">
            <v>1</v>
          </cell>
        </row>
        <row r="6">
          <cell r="D6">
            <v>1</v>
          </cell>
        </row>
        <row r="8">
          <cell r="D8" t="str">
            <v>Cotabato City - January 06, 2006</v>
          </cell>
        </row>
        <row r="9">
          <cell r="D9" t="str">
            <v>Cotabato City</v>
          </cell>
        </row>
        <row r="12">
          <cell r="D12">
            <v>0</v>
          </cell>
        </row>
        <row r="15">
          <cell r="D15" t="str">
            <v>Civil Engineer</v>
          </cell>
        </row>
        <row r="16">
          <cell r="D16" t="str">
            <v>Materials Engineer</v>
          </cell>
        </row>
        <row r="17">
          <cell r="D17" t="str">
            <v>Surveyor</v>
          </cell>
        </row>
        <row r="18">
          <cell r="D18" t="str">
            <v>Foreman</v>
          </cell>
        </row>
        <row r="19">
          <cell r="D19" t="str">
            <v>Skilled Laborer</v>
          </cell>
        </row>
        <row r="20">
          <cell r="D20" t="str">
            <v>Carpenter</v>
          </cell>
        </row>
        <row r="21">
          <cell r="D21" t="str">
            <v>Mason</v>
          </cell>
        </row>
        <row r="22">
          <cell r="D22" t="str">
            <v>Mason (CHB Laying)</v>
          </cell>
        </row>
        <row r="23">
          <cell r="D23" t="str">
            <v>Steelman</v>
          </cell>
        </row>
        <row r="24">
          <cell r="D24" t="str">
            <v>Electrician</v>
          </cell>
        </row>
        <row r="25">
          <cell r="D25" t="str">
            <v>Tinsmith</v>
          </cell>
        </row>
        <row r="26">
          <cell r="D26" t="str">
            <v>Welder</v>
          </cell>
        </row>
        <row r="27">
          <cell r="D27" t="str">
            <v>Plumber</v>
          </cell>
        </row>
        <row r="28">
          <cell r="D28" t="str">
            <v>Painter</v>
          </cell>
        </row>
        <row r="29">
          <cell r="D29" t="str">
            <v>Tile Setter</v>
          </cell>
        </row>
        <row r="30">
          <cell r="D30" t="str">
            <v>Instrument Man</v>
          </cell>
        </row>
        <row r="31">
          <cell r="D31" t="str">
            <v>Survey Aide</v>
          </cell>
        </row>
        <row r="32">
          <cell r="D32" t="str">
            <v>Safety Man</v>
          </cell>
        </row>
        <row r="33">
          <cell r="D33" t="str">
            <v>Materials Technician</v>
          </cell>
        </row>
        <row r="34">
          <cell r="D34" t="str">
            <v>Heavy Eqpt. Operator</v>
          </cell>
        </row>
        <row r="35">
          <cell r="D35" t="str">
            <v>HE Operator</v>
          </cell>
        </row>
        <row r="36">
          <cell r="D36" t="str">
            <v>Backhoe Operator</v>
          </cell>
        </row>
        <row r="37">
          <cell r="D37" t="str">
            <v>Road Grader Operator</v>
          </cell>
        </row>
        <row r="38">
          <cell r="D38" t="str">
            <v>Water Truck Operator</v>
          </cell>
        </row>
        <row r="39">
          <cell r="D39" t="str">
            <v>Dump Truck Operator</v>
          </cell>
        </row>
        <row r="40">
          <cell r="D40" t="str">
            <v>Road Roller Operator</v>
          </cell>
        </row>
        <row r="41">
          <cell r="D41" t="str">
            <v>Payloader Operator</v>
          </cell>
        </row>
        <row r="42">
          <cell r="D42" t="str">
            <v>Bulldozer Operator</v>
          </cell>
        </row>
        <row r="43">
          <cell r="D43" t="str">
            <v>Transit Mixer Operator</v>
          </cell>
        </row>
        <row r="44">
          <cell r="D44" t="str">
            <v>Lowbed Trailer Operator</v>
          </cell>
        </row>
        <row r="45">
          <cell r="D45" t="str">
            <v>Asphalt Distributor Operator</v>
          </cell>
        </row>
        <row r="46">
          <cell r="D46" t="str">
            <v>Power Broom Operator</v>
          </cell>
        </row>
        <row r="47">
          <cell r="D47" t="str">
            <v>Asphalt Paver Operator</v>
          </cell>
        </row>
        <row r="48">
          <cell r="D48" t="str">
            <v>Rubber Tired Roller Operator</v>
          </cell>
        </row>
        <row r="49">
          <cell r="D49" t="str">
            <v>Barge Mounted Crane Operator</v>
          </cell>
        </row>
        <row r="50">
          <cell r="D50" t="str">
            <v>Truck Mounted Crane Operator</v>
          </cell>
        </row>
        <row r="51">
          <cell r="D51" t="str">
            <v>Mini-Excavator Operator</v>
          </cell>
        </row>
        <row r="52">
          <cell r="D52" t="str">
            <v>Light Eqpt. Operator</v>
          </cell>
        </row>
        <row r="53">
          <cell r="D53" t="str">
            <v>Concrete Vibrator Operator</v>
          </cell>
        </row>
        <row r="54">
          <cell r="D54" t="str">
            <v>Screed  Operator</v>
          </cell>
        </row>
        <row r="55">
          <cell r="D55" t="str">
            <v>Concrete Saws  Operator</v>
          </cell>
        </row>
        <row r="56">
          <cell r="D56" t="str">
            <v>Concrete Trowels Operator</v>
          </cell>
        </row>
        <row r="57">
          <cell r="D57" t="str">
            <v>Semi-Skilled Laborer</v>
          </cell>
        </row>
        <row r="58">
          <cell r="D58" t="str">
            <v>Laborer (Bagger Mixer Crew)</v>
          </cell>
        </row>
        <row r="59">
          <cell r="D59" t="str">
            <v>Laborer (Spreading/Grading)</v>
          </cell>
        </row>
        <row r="60">
          <cell r="D60" t="str">
            <v>Laborer (Tampering/Compacting)</v>
          </cell>
        </row>
        <row r="61">
          <cell r="D61" t="str">
            <v>Laborer (Rock laying/filing)</v>
          </cell>
        </row>
        <row r="62">
          <cell r="D62" t="str">
            <v>Cement Batching Plant Crew</v>
          </cell>
        </row>
        <row r="63">
          <cell r="D63" t="str">
            <v>Unskilled Laborer</v>
          </cell>
        </row>
        <row r="64">
          <cell r="D64" t="str">
            <v>Transit Mixer Helper</v>
          </cell>
        </row>
        <row r="65">
          <cell r="D65" t="str">
            <v>Laborer (Hauling)</v>
          </cell>
        </row>
        <row r="66">
          <cell r="D66" t="str">
            <v>Laborer</v>
          </cell>
        </row>
        <row r="67">
          <cell r="D67" t="str">
            <v>Laborer ( Excavation and Concreting )</v>
          </cell>
        </row>
        <row r="68">
          <cell r="D68" t="str">
            <v>Laborer</v>
          </cell>
        </row>
        <row r="69">
          <cell r="D69" t="str">
            <v>Laborer ( Excavation and Concreting )</v>
          </cell>
        </row>
        <row r="70">
          <cell r="D70" t="str">
            <v>Laborer</v>
          </cell>
        </row>
        <row r="71">
          <cell r="D71" t="str">
            <v>Laborer ( Excavation and Concreting )</v>
          </cell>
        </row>
      </sheetData>
      <sheetData sheetId="9" refreshError="1"/>
      <sheetData sheetId="10" refreshError="1">
        <row r="6">
          <cell r="D6">
            <v>1</v>
          </cell>
        </row>
        <row r="7">
          <cell r="C7" t="str">
            <v>Validation Format</v>
          </cell>
        </row>
        <row r="8">
          <cell r="C8" t="str">
            <v>Costing Date =</v>
          </cell>
          <cell r="D8" t="str">
            <v>Cotabato City - January 06, 2006</v>
          </cell>
        </row>
        <row r="9">
          <cell r="C9" t="str">
            <v>Costing Center =</v>
          </cell>
          <cell r="D9" t="str">
            <v>Cotabato City</v>
          </cell>
        </row>
        <row r="12">
          <cell r="C12" t="str">
            <v>Project Name:</v>
          </cell>
          <cell r="D12">
            <v>0</v>
          </cell>
        </row>
        <row r="15">
          <cell r="D15" t="str">
            <v>Backhoe</v>
          </cell>
        </row>
        <row r="16">
          <cell r="D16" t="str">
            <v>Backhoe w/ breaker</v>
          </cell>
        </row>
        <row r="17">
          <cell r="D17" t="str">
            <v>Road Grader</v>
          </cell>
        </row>
        <row r="18">
          <cell r="D18" t="str">
            <v>Road Roller</v>
          </cell>
        </row>
        <row r="19">
          <cell r="D19" t="str">
            <v>Pay Loader</v>
          </cell>
        </row>
        <row r="20">
          <cell r="D20" t="str">
            <v>Dump Truck</v>
          </cell>
        </row>
        <row r="21">
          <cell r="D21" t="str">
            <v>Transit Mixer</v>
          </cell>
        </row>
        <row r="22">
          <cell r="D22" t="str">
            <v>Water Truck</v>
          </cell>
        </row>
        <row r="23">
          <cell r="D23" t="str">
            <v>Bulldozer - D8</v>
          </cell>
        </row>
        <row r="24">
          <cell r="D24" t="str">
            <v>Dredger Vessel</v>
          </cell>
        </row>
        <row r="25">
          <cell r="D25" t="str">
            <v>Truck Mounted Crane (20T)</v>
          </cell>
        </row>
        <row r="26">
          <cell r="D26" t="str">
            <v>Truck Mounted Crane w/ Bucket</v>
          </cell>
        </row>
        <row r="27">
          <cell r="D27" t="str">
            <v>Truck Mounted Crane (35T)</v>
          </cell>
        </row>
        <row r="28">
          <cell r="D28" t="str">
            <v>Truck Mounted Crane (40T)</v>
          </cell>
        </row>
        <row r="29">
          <cell r="D29" t="str">
            <v>Truck Mounted Crane (50T)</v>
          </cell>
        </row>
        <row r="30">
          <cell r="D30" t="str">
            <v>Truck Mounted Crane (60T)</v>
          </cell>
        </row>
        <row r="31">
          <cell r="D31" t="str">
            <v>Truck Mounted Crane w/ Bucket (60T)</v>
          </cell>
        </row>
        <row r="32">
          <cell r="D32" t="str">
            <v>Barge</v>
          </cell>
        </row>
        <row r="33">
          <cell r="D33" t="str">
            <v>Barge Mounted Crane (40T)</v>
          </cell>
        </row>
        <row r="34">
          <cell r="D34" t="str">
            <v>Barge Mounted Crane (50T)</v>
          </cell>
        </row>
        <row r="35">
          <cell r="D35" t="str">
            <v>Barge Mounted Crane (60T)</v>
          </cell>
        </row>
        <row r="36">
          <cell r="D36" t="str">
            <v>D-22 Diesel Hammer</v>
          </cell>
        </row>
        <row r="37">
          <cell r="D37" t="str">
            <v>D-35 Diesel Hammer</v>
          </cell>
        </row>
        <row r="38">
          <cell r="D38" t="str">
            <v>Tractor-Drawn Roller (1-d)</v>
          </cell>
        </row>
        <row r="39">
          <cell r="D39" t="str">
            <v>Tandem Roller</v>
          </cell>
        </row>
        <row r="40">
          <cell r="D40" t="str">
            <v>Mini-Excavator</v>
          </cell>
        </row>
        <row r="41">
          <cell r="D41" t="str">
            <v>Mini-Dumptruck</v>
          </cell>
        </row>
        <row r="42">
          <cell r="D42" t="str">
            <v>Skid-Steer Loader</v>
          </cell>
        </row>
        <row r="43">
          <cell r="D43" t="str">
            <v>Road Maintener</v>
          </cell>
        </row>
        <row r="44">
          <cell r="D44" t="str">
            <v>Diesel Hammer</v>
          </cell>
        </row>
        <row r="45">
          <cell r="D45" t="str">
            <v>Drop Hammer</v>
          </cell>
        </row>
        <row r="46">
          <cell r="D46" t="str">
            <v>Percussion</v>
          </cell>
        </row>
        <row r="47">
          <cell r="D47" t="str">
            <v>Rammers</v>
          </cell>
        </row>
        <row r="48">
          <cell r="D48" t="str">
            <v>Vibratory Hammer</v>
          </cell>
        </row>
        <row r="49">
          <cell r="D49" t="str">
            <v>Truck Mounted Vibratory Hammer</v>
          </cell>
        </row>
        <row r="50">
          <cell r="D50" t="str">
            <v>Barge Mounted Vibratory Hammer</v>
          </cell>
        </row>
        <row r="51">
          <cell r="D51" t="str">
            <v>Jack Hammer w/ Compressor</v>
          </cell>
        </row>
        <row r="52">
          <cell r="D52" t="str">
            <v>Asphalt Batching Plant</v>
          </cell>
        </row>
        <row r="53">
          <cell r="D53" t="str">
            <v>Asphalt Paver</v>
          </cell>
        </row>
        <row r="54">
          <cell r="D54" t="str">
            <v>Asphalt Distributor</v>
          </cell>
        </row>
        <row r="55">
          <cell r="D55" t="str">
            <v>Power Broom</v>
          </cell>
        </row>
        <row r="56">
          <cell r="D56" t="str">
            <v>Rubber Tired Roller</v>
          </cell>
        </row>
        <row r="57">
          <cell r="D57" t="str">
            <v>Rubber Tired Roller</v>
          </cell>
        </row>
        <row r="58">
          <cell r="D58" t="str">
            <v>( LIGHT EQUIPMENT )</v>
          </cell>
        </row>
        <row r="59">
          <cell r="D59" t="str">
            <v>Buggy</v>
          </cell>
        </row>
        <row r="60">
          <cell r="D60" t="str">
            <v>Wheel borrow</v>
          </cell>
        </row>
        <row r="61">
          <cell r="D61" t="str">
            <v>2" Heavy Duty Pulley</v>
          </cell>
        </row>
        <row r="62">
          <cell r="D62" t="str">
            <v>Concrete Mixer (1-bagger)</v>
          </cell>
        </row>
        <row r="63">
          <cell r="D63" t="str">
            <v>Concrete Vibrator</v>
          </cell>
        </row>
        <row r="64">
          <cell r="D64" t="str">
            <v>Plate Compactor</v>
          </cell>
        </row>
        <row r="65">
          <cell r="D65" t="str">
            <v>Concrete Cutter Saw</v>
          </cell>
        </row>
        <row r="66">
          <cell r="D66" t="str">
            <v>Air Compressor</v>
          </cell>
        </row>
        <row r="67">
          <cell r="D67" t="str">
            <v>Bar Cutter</v>
          </cell>
        </row>
        <row r="68">
          <cell r="D68" t="str">
            <v>Bar Bender</v>
          </cell>
        </row>
        <row r="69">
          <cell r="D69" t="str">
            <v>Pipe bender</v>
          </cell>
        </row>
        <row r="70">
          <cell r="D70" t="str">
            <v>Screed</v>
          </cell>
        </row>
        <row r="71">
          <cell r="D71" t="str">
            <v>ServiceVehicle</v>
          </cell>
        </row>
        <row r="72">
          <cell r="D72" t="str">
            <v>Concrete Saws</v>
          </cell>
        </row>
        <row r="73">
          <cell r="D73" t="str">
            <v>Concrete Trowels</v>
          </cell>
        </row>
        <row r="74">
          <cell r="D74" t="str">
            <v>Motorized Water Pump</v>
          </cell>
        </row>
        <row r="75">
          <cell r="D75" t="str">
            <v>Motorized Water Pump (High Pressure)</v>
          </cell>
        </row>
        <row r="76">
          <cell r="D76" t="str">
            <v>Portable Drilling Rig</v>
          </cell>
        </row>
        <row r="77">
          <cell r="D77" t="str">
            <v>Electric Welding Machine</v>
          </cell>
        </row>
        <row r="78">
          <cell r="D78" t="str">
            <v>A/O Gas Cutting Outfits</v>
          </cell>
        </row>
        <row r="79">
          <cell r="D79" t="str">
            <v>Diesel Engine Generator</v>
          </cell>
        </row>
        <row r="80">
          <cell r="D80" t="str">
            <v>Electric Grinder</v>
          </cell>
        </row>
        <row r="81">
          <cell r="D81" t="str">
            <v>Electric Drill</v>
          </cell>
        </row>
        <row r="82">
          <cell r="D82" t="str">
            <v>Engr's Transit</v>
          </cell>
        </row>
        <row r="83">
          <cell r="D83" t="str">
            <v>Steel Tri-Boom</v>
          </cell>
        </row>
        <row r="84">
          <cell r="D84" t="str">
            <v>Pulley</v>
          </cell>
        </row>
        <row r="85">
          <cell r="D85" t="str">
            <v>Plumber's Tools</v>
          </cell>
        </row>
        <row r="86">
          <cell r="D86" t="str">
            <v>Truck-mounted Drilling Rig, Rotary</v>
          </cell>
        </row>
        <row r="87">
          <cell r="D87" t="str">
            <v>Steel Forms</v>
          </cell>
        </row>
        <row r="88">
          <cell r="D88" t="str">
            <v>( HAULERS )</v>
          </cell>
        </row>
        <row r="89">
          <cell r="D89" t="str">
            <v>Dump Truck (6-wheeler)</v>
          </cell>
        </row>
        <row r="90">
          <cell r="D90" t="str">
            <v>Lowbed Trailer</v>
          </cell>
        </row>
        <row r="91">
          <cell r="D91" t="str">
            <v>2-1/2 T Dump Truck (Baby DT)</v>
          </cell>
        </row>
        <row r="92">
          <cell r="D92" t="str">
            <v>Concrete Batching Plant</v>
          </cell>
        </row>
        <row r="93">
          <cell r="D93" t="str">
            <v>Concrete Batching Plant</v>
          </cell>
        </row>
        <row r="94">
          <cell r="D94" t="str">
            <v>Concrete Batching Plant</v>
          </cell>
        </row>
        <row r="96">
          <cell r="D96" t="str">
            <v>- - - - NEW - - - - - NEW - - - - NEW - - - - -</v>
          </cell>
        </row>
        <row r="97">
          <cell r="D97" t="str">
            <v>- - - - NEW - - - - - NEW - - - - NEW - - - - -</v>
          </cell>
        </row>
        <row r="98">
          <cell r="D98" t="str">
            <v>- - - - PLANTS - - - -</v>
          </cell>
        </row>
        <row r="99">
          <cell r="D99" t="str">
            <v>- - - - PLANTS - - - -</v>
          </cell>
        </row>
        <row r="100">
          <cell r="D100" t="str">
            <v>Aggregate Crusher, 100 T/hr</v>
          </cell>
        </row>
        <row r="101">
          <cell r="D101" t="str">
            <v>Mobile Washing &amp; Screening Plant,    60 TPH</v>
          </cell>
        </row>
        <row r="102">
          <cell r="D102" t="str">
            <v>Concrete Batch Plant, 30 cm/hr</v>
          </cell>
        </row>
        <row r="103">
          <cell r="D103" t="str">
            <v>Concrete Batch Plant, 40 cm/hr</v>
          </cell>
        </row>
        <row r="104">
          <cell r="D104" t="str">
            <v>Concrete Batch Plant, 60 cm/hr</v>
          </cell>
        </row>
        <row r="105">
          <cell r="D105" t="str">
            <v>Concrete Batch Plant, 90 cm/hr</v>
          </cell>
        </row>
        <row r="106">
          <cell r="D106" t="str">
            <v>Concrete Batch Plant, 120 cm/hr</v>
          </cell>
        </row>
        <row r="107">
          <cell r="D107" t="str">
            <v>Concrete Batch Plant, 120 cm/hr</v>
          </cell>
        </row>
        <row r="108">
          <cell r="D108" t="str">
            <v>Concrete Batch Plant, 120 cm/hr</v>
          </cell>
        </row>
        <row r="109">
          <cell r="D109" t="str">
            <v xml:space="preserve">- - - - - AIR EQUPMENT - - - - - </v>
          </cell>
        </row>
        <row r="110">
          <cell r="D110" t="str">
            <v xml:space="preserve">- - - - - AIR EQUPMENT - - - - - </v>
          </cell>
        </row>
        <row r="111">
          <cell r="D111" t="str">
            <v>Air Compressor, 15 - 35  CFM</v>
          </cell>
        </row>
        <row r="112">
          <cell r="D112" t="str">
            <v>Air Compressor, 126 - 160  CFM</v>
          </cell>
        </row>
        <row r="113">
          <cell r="D113" t="str">
            <v>Air Compressor,  331 - 350  CFM</v>
          </cell>
        </row>
        <row r="114">
          <cell r="D114" t="str">
            <v>Air Compressor, 456 - 500  CFM</v>
          </cell>
        </row>
        <row r="115">
          <cell r="D115" t="str">
            <v>Air Compressor, 501 - 600  CFM</v>
          </cell>
        </row>
        <row r="116">
          <cell r="D116" t="str">
            <v>Pneumatic Breaker - hand held</v>
          </cell>
        </row>
        <row r="117">
          <cell r="D117" t="str">
            <v xml:space="preserve">Drill, Crawler Type , 2.5"-4.5"dia. (115mm dia.) </v>
          </cell>
        </row>
        <row r="118">
          <cell r="D118" t="str">
            <v>Applicator Machine</v>
          </cell>
        </row>
        <row r="119">
          <cell r="D119" t="str">
            <v>Applicator Machine</v>
          </cell>
        </row>
        <row r="120">
          <cell r="D120" t="str">
            <v>Applicator Machine</v>
          </cell>
        </row>
        <row r="121">
          <cell r="D121" t="str">
            <v>- - - - - - EXCAVATING EQUIPMENT - - - - - - -</v>
          </cell>
        </row>
        <row r="122">
          <cell r="D122" t="str">
            <v>- - - - - - EXCAVATING EQUIPMENT - - - - - - -</v>
          </cell>
        </row>
        <row r="123">
          <cell r="D123" t="str">
            <v>Backhoe Loader Hydraulic,  Wheel Mtd 0.76 cm</v>
          </cell>
        </row>
        <row r="124">
          <cell r="D124" t="str">
            <v>Backhoe, Hydraulic , Crawler Mtd  0.63 cm, 89 hp</v>
          </cell>
        </row>
        <row r="125">
          <cell r="D125" t="str">
            <v>Backhoe, Hydraulic , Crawler Mtd  0.76 cm, 90 hp</v>
          </cell>
        </row>
        <row r="126">
          <cell r="D126" t="str">
            <v>Backhoe, Hydraulic , Crawler Mtd  1.00 cm, 128 hp</v>
          </cell>
        </row>
        <row r="127">
          <cell r="D127" t="str">
            <v>Backhoe, Hydraulic , Crawler Mtd  1.15 cm, 148 hp</v>
          </cell>
        </row>
        <row r="128">
          <cell r="D128" t="str">
            <v>Backhoe, Hydraulic , Crawler Mtd  1.98 cm, 215 hp</v>
          </cell>
        </row>
        <row r="129">
          <cell r="D129" t="str">
            <v>Backhoe, Hydraulic , Crawler Mtd  with Breaker  0.63 cm</v>
          </cell>
        </row>
        <row r="130">
          <cell r="D130" t="str">
            <v>Backhoe, Hydraulic , Crawler Mtd  with Breaker  0.76 cm</v>
          </cell>
        </row>
        <row r="131">
          <cell r="D131" t="str">
            <v>Backhoe, Hydraulic , Crawler Mtd  with Breaker  1.00 cm</v>
          </cell>
        </row>
        <row r="132">
          <cell r="D132" t="str">
            <v>Power Shovel,  2.3 cm, 250hp</v>
          </cell>
        </row>
        <row r="133">
          <cell r="D133" t="str">
            <v>Power Shovel,  2.3 cm, 250hp</v>
          </cell>
        </row>
        <row r="134">
          <cell r="D134" t="str">
            <v>Power Shovel,  2.3 cm, 250hp</v>
          </cell>
        </row>
        <row r="135">
          <cell r="D135" t="str">
            <v xml:space="preserve">- - - - - - - COMPACTION EQUIPMENT - - - - - - - </v>
          </cell>
        </row>
        <row r="137">
          <cell r="D137" t="str">
            <v>Compactor, Static Rubber Tired Roller (towed type), 21 Tons</v>
          </cell>
        </row>
        <row r="138">
          <cell r="D138" t="str">
            <v>Compactor, Static Rubber Tired Roller (towed type), 27 Tons</v>
          </cell>
        </row>
        <row r="139">
          <cell r="D139" t="str">
            <v>Compactor, Vibratory Rammer  (tamper) 5Hp</v>
          </cell>
        </row>
        <row r="140">
          <cell r="D140" t="str">
            <v>Compactor, Vibratory Plate  7 Hp</v>
          </cell>
        </row>
        <row r="141">
          <cell r="D141" t="str">
            <v>Compactor, Vibratory Plate 12 Hp</v>
          </cell>
        </row>
        <row r="142">
          <cell r="D142" t="str">
            <v>Compactor, Vibratory Single Smooth Drum Roller,  10 Tons</v>
          </cell>
        </row>
        <row r="143">
          <cell r="D143" t="str">
            <v>Compactor, Vibratory Single Smooth Drum Roller,  10 Tons</v>
          </cell>
        </row>
        <row r="144">
          <cell r="D144" t="str">
            <v>Compactor, Vibratory Tamping Foot Roller,  12 Tons</v>
          </cell>
        </row>
        <row r="145">
          <cell r="D145" t="str">
            <v>Compactor, Vibratory Tandem Smooth Drum Roller,  10 Tons</v>
          </cell>
        </row>
        <row r="146">
          <cell r="D146" t="str">
            <v>Compactor, Vibratory Tandem Smooth Drum Roller,  2 Tons</v>
          </cell>
        </row>
        <row r="147">
          <cell r="D147" t="str">
            <v>Compactor, Vibratory Single Smooth Drum Roller, 12 Tons</v>
          </cell>
        </row>
        <row r="148">
          <cell r="D148" t="str">
            <v>Compactor, Vibratory Tandem Smooth Drum Roller,  2 Tons</v>
          </cell>
        </row>
        <row r="149">
          <cell r="D149" t="str">
            <v>Compactor, Vibratory Single Smooth Drum Roller, 12 Tons</v>
          </cell>
        </row>
        <row r="150">
          <cell r="D150" t="str">
            <v>- - - - - - - CONCRETING EQUIPMENT - - - - - - - -</v>
          </cell>
        </row>
        <row r="152">
          <cell r="D152" t="str">
            <v>Concrete Mixer, Transit  4.97 - 5.73 cm</v>
          </cell>
        </row>
        <row r="153">
          <cell r="D153" t="str">
            <v>Concrete Mixer, 1 Bagger</v>
          </cell>
        </row>
        <row r="154">
          <cell r="D154" t="str">
            <v>Concrete Mixer, 2 Bagger</v>
          </cell>
        </row>
        <row r="155">
          <cell r="D155" t="str">
            <v>Concrete Mixer, 3 Bagger</v>
          </cell>
        </row>
        <row r="156">
          <cell r="D156" t="str">
            <v>Concrete Pump, 50 cm/hr, Truck Mounted</v>
          </cell>
        </row>
        <row r="157">
          <cell r="D157" t="str">
            <v>Concrete Pump, 60 cm/hr, Stationary</v>
          </cell>
        </row>
        <row r="158">
          <cell r="D158" t="str">
            <v>Concrete Cutter, 25 hp</v>
          </cell>
        </row>
        <row r="159">
          <cell r="D159" t="str">
            <v>Concrete Saw 8" blade diameter, 5hp</v>
          </cell>
        </row>
        <row r="160">
          <cell r="D160" t="str">
            <v xml:space="preserve">Concrete Vibrator - 50mm head </v>
          </cell>
        </row>
        <row r="161">
          <cell r="D161" t="str">
            <v>ConcretePaver/Finisher, 120 hp</v>
          </cell>
        </row>
        <row r="162">
          <cell r="D162" t="str">
            <v>ConcretePaver/Finisher, 210 hp</v>
          </cell>
        </row>
        <row r="163">
          <cell r="D163" t="str">
            <v>ConcretePaver/Finisher, 375 hp</v>
          </cell>
        </row>
        <row r="164">
          <cell r="D164" t="str">
            <v>ConcretePaver/Finisher, 210 hp</v>
          </cell>
        </row>
        <row r="165">
          <cell r="D165" t="str">
            <v>ConcretePaver/Finisher, 375 hp</v>
          </cell>
        </row>
        <row r="166">
          <cell r="D166" t="str">
            <v>- - - - - - LIFTING EQUIPMENT - - - - - - -</v>
          </cell>
        </row>
        <row r="168">
          <cell r="D168" t="str">
            <v>Crane, Crawler  Std Boom, Mechanically / Hydraulic 10 Tons</v>
          </cell>
        </row>
        <row r="169">
          <cell r="D169" t="str">
            <v>Crane, Crawler  Std Boom, Mechanically / Hydraulic 120 Tons</v>
          </cell>
        </row>
        <row r="170">
          <cell r="D170" t="str">
            <v>Crane, Crawler  Std Boom, Mechanically / Hydraulic 20 Tons</v>
          </cell>
        </row>
        <row r="171">
          <cell r="D171" t="str">
            <v>Crane, Crawler  Std Boom, Mechanically / Hydraulic 5 Tons</v>
          </cell>
        </row>
        <row r="172">
          <cell r="D172" t="str">
            <v>Crane, Crawler  Std Boom, Mechanically / Hydraulic 60 Tons</v>
          </cell>
        </row>
        <row r="173">
          <cell r="D173" t="str">
            <v>Crane, Truck Mtd, Hydraulic Telescopic Boom 6- 10 Tons</v>
          </cell>
        </row>
        <row r="174">
          <cell r="D174" t="str">
            <v>Crane, Truck Mtd, Hydraulic Telescopic Boom16 - 20 Tons</v>
          </cell>
        </row>
        <row r="175">
          <cell r="D175" t="str">
            <v>Crane, Hydraulic, Rough Terrain,  5 - 9 Tons</v>
          </cell>
        </row>
        <row r="176">
          <cell r="D176" t="str">
            <v>Crane, Hydraulic, Rough Terrain,  21 - 25 Tons</v>
          </cell>
        </row>
        <row r="177">
          <cell r="D177" t="str">
            <v>Crane, Hydraulic, Rough Terrain,  46 - 50 Tons</v>
          </cell>
        </row>
        <row r="178">
          <cell r="D178" t="str">
            <v>Forklift, 5.5 Tons, 80 Hp</v>
          </cell>
        </row>
        <row r="179">
          <cell r="D179" t="str">
            <v>Crane, Hydraulic, Rough Terrain,  46 - 50 Tons</v>
          </cell>
        </row>
        <row r="180">
          <cell r="D180" t="str">
            <v>Forklift, 5.5 Tons, 80 Hp</v>
          </cell>
        </row>
        <row r="181">
          <cell r="D181" t="str">
            <v xml:space="preserve">- - - - - - - - EARTHMOVING EQUIPENT - - - - - - - </v>
          </cell>
        </row>
        <row r="183">
          <cell r="D183" t="str">
            <v xml:space="preserve">Tractor, Crawler  w/ Dozer,  95 hp, </v>
          </cell>
        </row>
        <row r="184">
          <cell r="D184" t="str">
            <v xml:space="preserve">Tractor, Crawler  w/ Dozer,  105 hp, </v>
          </cell>
        </row>
        <row r="185">
          <cell r="D185" t="str">
            <v xml:space="preserve">Tractor, Crawler  w/ Dozer,  95 hp, </v>
          </cell>
        </row>
        <row r="186">
          <cell r="D186" t="str">
            <v xml:space="preserve">Tractor, Crawler  w/ Dozer,  140 hp </v>
          </cell>
        </row>
        <row r="187">
          <cell r="D187" t="str">
            <v xml:space="preserve">Tractor, Crawler  w/ Dozer,  215 hp </v>
          </cell>
        </row>
        <row r="188">
          <cell r="D188" t="str">
            <v xml:space="preserve">Tractor, Crawler  w/ Dozer, 335 hp </v>
          </cell>
        </row>
        <row r="189">
          <cell r="D189" t="str">
            <v xml:space="preserve">Tractor, Crawler  w/ Dozer, 460 hp </v>
          </cell>
        </row>
        <row r="190">
          <cell r="D190" t="str">
            <v xml:space="preserve">Tractor, Crawler with dozer, hydraulic Ripper, 215Hp, </v>
          </cell>
        </row>
        <row r="191">
          <cell r="D191" t="str">
            <v>Tractor, Crawler with dozer, hydraulic Ripper,  460 Hp</v>
          </cell>
        </row>
        <row r="192">
          <cell r="D192" t="str">
            <v>Loader, Wheel type  1.14 cm, 80 Hp</v>
          </cell>
        </row>
        <row r="193">
          <cell r="D193" t="str">
            <v>Loader, Wheel type  1.72 cm, 105 Hp</v>
          </cell>
        </row>
        <row r="194">
          <cell r="D194" t="str">
            <v>Loader, Wheel type  2.29 cm, 135 Hp</v>
          </cell>
        </row>
        <row r="195">
          <cell r="D195" t="str">
            <v>Loader, Wheel type  5.20 cm, 260 Hp</v>
          </cell>
        </row>
        <row r="196">
          <cell r="D196" t="str">
            <v>Loader, Crawler  0.83 cm</v>
          </cell>
        </row>
        <row r="197">
          <cell r="D197" t="str">
            <v>Loader, Crawler  0.99 cm</v>
          </cell>
        </row>
        <row r="198">
          <cell r="D198" t="str">
            <v>Loader, Crawler  1.76 cm</v>
          </cell>
        </row>
        <row r="199">
          <cell r="D199" t="str">
            <v>Scraper,  Motorized 21 cm</v>
          </cell>
        </row>
        <row r="200">
          <cell r="D200" t="str">
            <v>Grader, Motorized  125 hp</v>
          </cell>
        </row>
        <row r="201">
          <cell r="D201" t="str">
            <v>Grader, Motorized  135 hp</v>
          </cell>
        </row>
        <row r="202">
          <cell r="D202" t="str">
            <v>Grader, Motorized  135 hp_</v>
          </cell>
        </row>
        <row r="203">
          <cell r="D203" t="str">
            <v>Grader, Motorized  135 hp</v>
          </cell>
        </row>
        <row r="204">
          <cell r="D204" t="str">
            <v>Grader, Motorized  135 hp_</v>
          </cell>
        </row>
        <row r="205">
          <cell r="D205" t="str">
            <v xml:space="preserve">- - - - - - - PUMPING EQUIPMENT - - - - - - - </v>
          </cell>
        </row>
        <row r="207">
          <cell r="D207" t="str">
            <v>Dewatering Pump, 250 gpm</v>
          </cell>
        </row>
        <row r="208">
          <cell r="D208" t="str">
            <v>Dewatering Pump,  650 gpm</v>
          </cell>
        </row>
        <row r="209">
          <cell r="D209" t="str">
            <v>Dewatering Pump, 1750 gpm</v>
          </cell>
        </row>
        <row r="210">
          <cell r="D210" t="str">
            <v>Dewatering Pump,  650 gpm</v>
          </cell>
        </row>
        <row r="211">
          <cell r="D211" t="str">
            <v>Dewatering Pump, 1750 gpm</v>
          </cell>
        </row>
        <row r="212">
          <cell r="D212" t="str">
            <v>- - - - - - - - HAULING EQUPMENT - - - - - - - -</v>
          </cell>
        </row>
        <row r="214">
          <cell r="D214" t="str">
            <v>Dump Truck,  11.46 - 15.29cm, 385 Hp</v>
          </cell>
        </row>
        <row r="215">
          <cell r="D215" t="str">
            <v>Dump Truck,  4.60 - 6.88cm, 220 Hp</v>
          </cell>
        </row>
        <row r="216">
          <cell r="D216" t="str">
            <v>Dump Truck,  6.88 - 9.17cm, 275 Hp</v>
          </cell>
        </row>
        <row r="217">
          <cell r="D217" t="str">
            <v>Dump Truck,  9.17 - 11.46cm, 290 Hp</v>
          </cell>
        </row>
        <row r="218">
          <cell r="D218" t="str">
            <v>Dump Truck,  6.88 - 9.17cm, 220 Hp</v>
          </cell>
        </row>
        <row r="219">
          <cell r="D219" t="str">
            <v>Cargo Truck, 4-5 Tons</v>
          </cell>
        </row>
        <row r="220">
          <cell r="D220" t="str">
            <v>Cargo Truck, 9-10 Tons</v>
          </cell>
        </row>
        <row r="221">
          <cell r="D221" t="str">
            <v>Trailer Truck, 25 Tons</v>
          </cell>
        </row>
        <row r="222">
          <cell r="D222" t="str">
            <v>Cargo Truck, 9-10 Tons</v>
          </cell>
        </row>
        <row r="223">
          <cell r="D223" t="str">
            <v>Trailer Truck, 25 Tons</v>
          </cell>
        </row>
        <row r="224">
          <cell r="D224" t="str">
            <v xml:space="preserve">- - - - - - - POWER GENERATING EQUIPMENT - - - - - - - </v>
          </cell>
        </row>
        <row r="226">
          <cell r="D226" t="str">
            <v>Generator Set,  201 - 250kw</v>
          </cell>
        </row>
        <row r="227">
          <cell r="D227" t="str">
            <v>Generator Set,  251-300 kw</v>
          </cell>
        </row>
        <row r="228">
          <cell r="D228" t="str">
            <v>Generator Set,  501-600 kw</v>
          </cell>
        </row>
        <row r="229">
          <cell r="D229" t="str">
            <v>Generator Set,  51 - 100kw</v>
          </cell>
        </row>
        <row r="230">
          <cell r="D230" t="str">
            <v>Generator Set,  501-600 kw</v>
          </cell>
        </row>
        <row r="231">
          <cell r="D231" t="str">
            <v>Generator Set,  51 - 100kw</v>
          </cell>
        </row>
        <row r="232">
          <cell r="D232" t="str">
            <v xml:space="preserve">- - - - - - - MISCELLANEOUS EQUIPMENT - - - - - - - - </v>
          </cell>
        </row>
        <row r="234">
          <cell r="D234" t="str">
            <v>Jack Hammer, 15 kgs.</v>
          </cell>
        </row>
        <row r="235">
          <cell r="D235" t="str">
            <v>Rock Drill, 21kgs.</v>
          </cell>
        </row>
        <row r="236">
          <cell r="D236" t="str">
            <v>Joint Sealer Machine,  10hp</v>
          </cell>
        </row>
        <row r="237">
          <cell r="D237" t="str">
            <v>Kneading Machine</v>
          </cell>
        </row>
        <row r="238">
          <cell r="D238" t="str">
            <v xml:space="preserve">Paint Stripping Machine,  10 hp </v>
          </cell>
        </row>
        <row r="239">
          <cell r="D239" t="str">
            <v>Chainsaw with blade, 36" Long</v>
          </cell>
        </row>
        <row r="240">
          <cell r="D240" t="str">
            <v>Chip Spreader, 12 ft. wide</v>
          </cell>
        </row>
        <row r="241">
          <cell r="D241" t="str">
            <v>Power Broom/Road Sweeper,  2 mtr. Wide</v>
          </cell>
        </row>
        <row r="242">
          <cell r="D242" t="str">
            <v>Power Float</v>
          </cell>
        </row>
        <row r="243">
          <cell r="D243" t="str">
            <v>Power Broom/Road Sweeper,  2 mtr. Wide</v>
          </cell>
        </row>
        <row r="244">
          <cell r="D244" t="str">
            <v>Power Float</v>
          </cell>
        </row>
        <row r="245">
          <cell r="D245" t="str">
            <v>- - - - - - - SPECIAL SUPPORT EQUIPMENT - - - - - - -</v>
          </cell>
        </row>
        <row r="247">
          <cell r="D247" t="str">
            <v>Service Pick-up, Light Truck</v>
          </cell>
        </row>
        <row r="248">
          <cell r="D248" t="str">
            <v>Stake Cargo Truck, 10 Tons</v>
          </cell>
        </row>
        <row r="249">
          <cell r="D249" t="str">
            <v>Water Truck, 1000 Gals.</v>
          </cell>
        </row>
        <row r="250">
          <cell r="D250" t="str">
            <v>Water Truck, 3000 Gals.</v>
          </cell>
        </row>
        <row r="251">
          <cell r="D251" t="str">
            <v>Water Truck, 1000 Gals.</v>
          </cell>
        </row>
        <row r="252">
          <cell r="D252" t="str">
            <v>Water Truck, 3000 Gals.</v>
          </cell>
        </row>
        <row r="253">
          <cell r="D253" t="str">
            <v>- - - - - - - SHOP EQUIPMENT - - - - - - - -</v>
          </cell>
        </row>
        <row r="255">
          <cell r="D255" t="str">
            <v>Bar Bender Machine,  60 mm, 3 Phase</v>
          </cell>
        </row>
        <row r="256">
          <cell r="D256" t="str">
            <v>Bar Cutter Machine,  60 mm, 3 Phase</v>
          </cell>
        </row>
        <row r="257">
          <cell r="D257" t="str">
            <v>Welding Machine,  300 amp.</v>
          </cell>
        </row>
        <row r="258">
          <cell r="D258" t="str">
            <v>Welding Machine,  300 amp., 48 Hp</v>
          </cell>
        </row>
        <row r="259">
          <cell r="D259" t="str">
            <v>Welding-Cutting  Outfit (Oxygen/Acethylene)</v>
          </cell>
        </row>
        <row r="260">
          <cell r="D260" t="str">
            <v>Welding Machine,  300 amp., 48 Hp</v>
          </cell>
        </row>
        <row r="261">
          <cell r="D261" t="str">
            <v>Welding-Cutting  Outfit (Oxygen/Acethylene)</v>
          </cell>
        </row>
      </sheetData>
      <sheetData sheetId="11" refreshError="1"/>
      <sheetData sheetId="12" refreshError="1"/>
      <sheetData sheetId="13" refreshError="1">
        <row r="7">
          <cell r="B7" t="str">
            <v>Scope of Works</v>
          </cell>
        </row>
        <row r="8">
          <cell r="B8" t="str">
            <v>Mobilization &amp; Demobilization</v>
          </cell>
        </row>
        <row r="9">
          <cell r="B9" t="str">
            <v>MOBILIZATION &amp; DEMOBILIZATION</v>
          </cell>
        </row>
        <row r="10">
          <cell r="B10" t="str">
            <v>Mobilization and Demobilization</v>
          </cell>
        </row>
        <row r="11">
          <cell r="B11" t="str">
            <v>FACILITIES FOR ENGINEER</v>
          </cell>
        </row>
        <row r="12">
          <cell r="B12" t="str">
            <v>Facilities for Engineers</v>
          </cell>
        </row>
        <row r="14">
          <cell r="B14" t="str">
            <v>TEMPORARY FACILITIES</v>
          </cell>
        </row>
        <row r="15">
          <cell r="B15" t="str">
            <v>TEMPORARY FACILITY FOR ENGINEERS</v>
          </cell>
        </row>
        <row r="16">
          <cell r="B16" t="str">
            <v>TEMPORARY FACILITY, SIGNAGE &amp; PERMITS</v>
          </cell>
        </row>
        <row r="17">
          <cell r="B17" t="str">
            <v>Temporary Facility for Engineer</v>
          </cell>
        </row>
        <row r="18">
          <cell r="B18" t="str">
            <v>Temporary Facilities.</v>
          </cell>
        </row>
        <row r="19">
          <cell r="B19" t="str">
            <v>Temporary Facilities &amp; Signages</v>
          </cell>
        </row>
        <row r="20">
          <cell r="B20" t="str">
            <v>PERMITS &amp; LICENSES</v>
          </cell>
        </row>
        <row r="21">
          <cell r="B21" t="str">
            <v>BUILDING PERMITS</v>
          </cell>
        </row>
        <row r="24">
          <cell r="B24" t="str">
            <v>SITE WORKS</v>
          </cell>
        </row>
        <row r="26">
          <cell r="B26" t="str">
            <v>Site Clearing</v>
          </cell>
        </row>
        <row r="27">
          <cell r="B27" t="str">
            <v>Layout of Lines &amp; Grades</v>
          </cell>
        </row>
        <row r="29">
          <cell r="B29" t="str">
            <v xml:space="preserve"> EARTHWORKS</v>
          </cell>
        </row>
        <row r="30">
          <cell r="B30" t="str">
            <v>Earthworks</v>
          </cell>
        </row>
        <row r="31">
          <cell r="B31" t="str">
            <v>Structural Excavation</v>
          </cell>
        </row>
        <row r="32">
          <cell r="B32" t="str">
            <v>Structural Excavation (Mech'l)</v>
          </cell>
        </row>
        <row r="33">
          <cell r="B33" t="str">
            <v>Structural Excavation (Soft Wet Sand)</v>
          </cell>
        </row>
        <row r="34">
          <cell r="B34" t="str">
            <v>Structural Embankment</v>
          </cell>
        </row>
        <row r="35">
          <cell r="B35" t="str">
            <v>Structural Backfill</v>
          </cell>
        </row>
        <row r="36">
          <cell r="B36" t="str">
            <v>Common Embankment Fill</v>
          </cell>
        </row>
        <row r="37">
          <cell r="B37" t="str">
            <v>Core Rock Fill (30 kg/pc)</v>
          </cell>
        </row>
        <row r="38">
          <cell r="B38" t="str">
            <v>Core Rock Fill (2 - 4 kg/pc)</v>
          </cell>
        </row>
        <row r="39">
          <cell r="B39" t="str">
            <v>Core Rock Fill (0.04 - 0.3 kg/pc)</v>
          </cell>
        </row>
        <row r="40">
          <cell r="B40" t="str">
            <v>Boulders Fill</v>
          </cell>
        </row>
        <row r="42">
          <cell r="B42" t="str">
            <v>Item 101 (1) - Removal of Structures and Obstruction</v>
          </cell>
        </row>
        <row r="43">
          <cell r="B43" t="str">
            <v>Item 102 (1) - Excavation</v>
          </cell>
        </row>
        <row r="44">
          <cell r="B44" t="str">
            <v>Item 103 (6) - Pipe Culverts and Drain Excavation</v>
          </cell>
        </row>
        <row r="45">
          <cell r="B45" t="str">
            <v>Item 103 (3) - Foundation Fill</v>
          </cell>
        </row>
        <row r="46">
          <cell r="B46" t="str">
            <v>Item 104 (1)a - Embankment</v>
          </cell>
        </row>
        <row r="47">
          <cell r="B47" t="str">
            <v>Item 405 (1)c - Structural Concrete</v>
          </cell>
        </row>
        <row r="48">
          <cell r="B48" t="str">
            <v>Item 404 (1)c - Reinforcing Steel</v>
          </cell>
        </row>
        <row r="49">
          <cell r="B49" t="str">
            <v>Item 500 - Pipe Culverts and Storm Drains</v>
          </cell>
        </row>
        <row r="50">
          <cell r="B50" t="str">
            <v>Item 505 - Stone Masonry</v>
          </cell>
        </row>
        <row r="59">
          <cell r="B59" t="str">
            <v>Gravel Fill</v>
          </cell>
        </row>
        <row r="61">
          <cell r="B61" t="str">
            <v>Pipe Trench Excavation (25mmØ Pipe)</v>
          </cell>
        </row>
        <row r="62">
          <cell r="B62" t="str">
            <v>Pipe Trench Excavation (32mmØ Pipe)</v>
          </cell>
        </row>
        <row r="63">
          <cell r="B63" t="str">
            <v>Pipe Trench Excavation (40mmØ Pipe)</v>
          </cell>
        </row>
        <row r="64">
          <cell r="B64" t="str">
            <v>Pipe Trench Excavation (50mmØ Pipe)</v>
          </cell>
        </row>
        <row r="65">
          <cell r="B65" t="str">
            <v>Pipe Trench Excavation (63mmØ Pipe)</v>
          </cell>
        </row>
        <row r="66">
          <cell r="B66" t="str">
            <v>Pipe Trench Excavation (75mmØ Pipe)</v>
          </cell>
        </row>
        <row r="67">
          <cell r="B67" t="str">
            <v>Pipe Trench Excavation (90mmØ Pipe)</v>
          </cell>
        </row>
        <row r="75">
          <cell r="B75" t="str">
            <v>CONCRETE PAVEMENT BASE PREPARATION</v>
          </cell>
        </row>
        <row r="78">
          <cell r="B78" t="str">
            <v>BUILDING  EARTHWORKS</v>
          </cell>
        </row>
        <row r="81">
          <cell r="B81" t="str">
            <v>Gravel Bedding</v>
          </cell>
        </row>
        <row r="82">
          <cell r="B82" t="str">
            <v>Backfilling with Compaction</v>
          </cell>
        </row>
        <row r="84">
          <cell r="B84" t="str">
            <v>CONCRETE WORKS</v>
          </cell>
        </row>
        <row r="86">
          <cell r="B86" t="str">
            <v>Concrete Class "A"</v>
          </cell>
        </row>
        <row r="87">
          <cell r="B87" t="str">
            <v>Concrete Class "B"</v>
          </cell>
        </row>
        <row r="88">
          <cell r="B88" t="str">
            <v>Concrete Class "C"</v>
          </cell>
        </row>
        <row r="89">
          <cell r="B89" t="str">
            <v>Lean Concrete</v>
          </cell>
        </row>
        <row r="90">
          <cell r="B90" t="str">
            <v>Supply &amp; Place 21 MPa Concrete</v>
          </cell>
        </row>
        <row r="91">
          <cell r="B91" t="str">
            <v>Supply &amp; Place 25 MPa Concrete</v>
          </cell>
        </row>
        <row r="92">
          <cell r="B92" t="str">
            <v>Supply &amp; Place 30 MPa Concrete</v>
          </cell>
        </row>
        <row r="93">
          <cell r="B93" t="str">
            <v>Supply &amp; Place 35 MPa Concrete</v>
          </cell>
        </row>
        <row r="94">
          <cell r="B94" t="str">
            <v>Supply &amp; Place 30 MPa Concrete incl. Formworks</v>
          </cell>
        </row>
        <row r="95">
          <cell r="B95" t="str">
            <v>Supply &amp; Place 35 MPa Concrete incl. Formworks</v>
          </cell>
        </row>
        <row r="96">
          <cell r="B96" t="str">
            <v>Supply &amp; Place 30 MPa Concrete (Pile Coping)</v>
          </cell>
        </row>
        <row r="97">
          <cell r="B97" t="str">
            <v>Supply &amp; Place 25 MPa Concrete Stair</v>
          </cell>
        </row>
        <row r="98">
          <cell r="B98" t="str">
            <v>Supply &amp; Place 17 MPa Lean Concrete</v>
          </cell>
        </row>
        <row r="99">
          <cell r="B99" t="str">
            <v>CONSTRUCTION OF RETAINING WALL</v>
          </cell>
        </row>
        <row r="101">
          <cell r="B101" t="str">
            <v>Precast Concrete Slab (25 Mpa)</v>
          </cell>
        </row>
        <row r="102">
          <cell r="B102" t="str">
            <v>CONCRETE ANCHOR BLOCK</v>
          </cell>
        </row>
        <row r="105">
          <cell r="B105" t="str">
            <v>STAIR LANDING WORKS</v>
          </cell>
        </row>
        <row r="106">
          <cell r="B106" t="str">
            <v>Concrete Stair</v>
          </cell>
        </row>
        <row r="107">
          <cell r="B107" t="str">
            <v>Precast Concrete Stair Landing</v>
          </cell>
        </row>
        <row r="108">
          <cell r="B108" t="str">
            <v>R.C. BOX CULVERT "A"</v>
          </cell>
        </row>
        <row r="109">
          <cell r="B109" t="str">
            <v>R.C. BOX CULVERT "B"</v>
          </cell>
        </row>
        <row r="110">
          <cell r="B110" t="str">
            <v>R.C. COVERED DITCH</v>
          </cell>
        </row>
        <row r="111">
          <cell r="B111" t="str">
            <v>Supply &amp; Place 30 MPa Concrete</v>
          </cell>
        </row>
        <row r="120">
          <cell r="B120" t="str">
            <v xml:space="preserve"> MASONRY WORKS</v>
          </cell>
        </row>
        <row r="122">
          <cell r="B122" t="str">
            <v>4" CHB</v>
          </cell>
        </row>
        <row r="123">
          <cell r="B123" t="str">
            <v>6" CHB</v>
          </cell>
        </row>
        <row r="124">
          <cell r="B124" t="str">
            <v>Construct 150mm CHB Wall</v>
          </cell>
        </row>
        <row r="125">
          <cell r="B125" t="str">
            <v>Cement Plastering</v>
          </cell>
        </row>
        <row r="126">
          <cell r="B126" t="str">
            <v>Grouted Riprap</v>
          </cell>
        </row>
        <row r="128">
          <cell r="B128" t="str">
            <v>FINISHING WORKS</v>
          </cell>
        </row>
        <row r="130">
          <cell r="B130" t="str">
            <v>Provide Plain Cement Plaster Finish</v>
          </cell>
        </row>
        <row r="131">
          <cell r="B131" t="str">
            <v>Apply Painted Finish on Concrete</v>
          </cell>
        </row>
        <row r="132">
          <cell r="B132" t="str">
            <v>Supply &amp; Install Roof Waterproofing</v>
          </cell>
        </row>
        <row r="134">
          <cell r="B134" t="str">
            <v>FENESTRATION</v>
          </cell>
        </row>
        <row r="136">
          <cell r="B136" t="str">
            <v>Supply and Install Door Type D-1 (0.80 x 2.10m.) Complete with Door and all Accessories</v>
          </cell>
        </row>
        <row r="137">
          <cell r="B137" t="str">
            <v>Supply and Install Window Type W-1 (1.8 x 1.3m.) Complete with Window Jamb, Steel Grilles, etc.</v>
          </cell>
        </row>
        <row r="138">
          <cell r="B138" t="str">
            <v>Supply and Install Window Type W-2 (0.6 x 1.3m.) Complete with Window Jamb, Steel Grilles, etc.</v>
          </cell>
        </row>
        <row r="139">
          <cell r="B139" t="str">
            <v>Supply and Install Window Type W-1 (0.90 x 1.3m.) Complete with Window Jamb, Steel Grilles, etc.</v>
          </cell>
        </row>
        <row r="141">
          <cell r="B141" t="str">
            <v>Supply and Install Door Type D-1 (0.70 x 2.10m.) Complete with Door and all Accessories</v>
          </cell>
        </row>
        <row r="142">
          <cell r="B142" t="str">
            <v>Supply and Install Door Type D-2 (0.70 x 2.0m.) Complete with Door and all Accessories</v>
          </cell>
        </row>
        <row r="143">
          <cell r="B143" t="str">
            <v>Supply and Install Door Type D-3 (0.70 x 1.40m.) Complete with Door and all Accessories</v>
          </cell>
        </row>
        <row r="144">
          <cell r="B144" t="str">
            <v>Supply and Install Window Type W-1 (0.60 x 0.5m.) Complete with Window Jamb, etc.</v>
          </cell>
        </row>
        <row r="150">
          <cell r="B150" t="str">
            <v>Door 1 - Community Center 1</v>
          </cell>
        </row>
        <row r="151">
          <cell r="B151" t="str">
            <v>Door 2 - Community Center 1</v>
          </cell>
        </row>
        <row r="152">
          <cell r="B152" t="str">
            <v>Window 1 - Community Center 1</v>
          </cell>
        </row>
        <row r="153">
          <cell r="B153" t="str">
            <v>Window 2 - Community Center 1</v>
          </cell>
        </row>
        <row r="154">
          <cell r="B154" t="str">
            <v>Window 3 - Community Center 1</v>
          </cell>
        </row>
        <row r="156">
          <cell r="B156" t="str">
            <v>Door 1 - Community Center 2</v>
          </cell>
        </row>
        <row r="157">
          <cell r="B157" t="str">
            <v>Door 2 - Community Center 2</v>
          </cell>
        </row>
        <row r="158">
          <cell r="B158" t="str">
            <v>Window 1 - Community Center 2</v>
          </cell>
        </row>
        <row r="159">
          <cell r="B159" t="str">
            <v>Window 2 - Community Center 2</v>
          </cell>
        </row>
        <row r="160">
          <cell r="B160" t="str">
            <v>Window 3 - Community Center 2</v>
          </cell>
        </row>
        <row r="162">
          <cell r="B162" t="str">
            <v>Door 1 - Trading Center 1</v>
          </cell>
        </row>
        <row r="163">
          <cell r="B163" t="str">
            <v>Door 2 - Trading Center 1</v>
          </cell>
        </row>
        <row r="164">
          <cell r="B164" t="str">
            <v>Window 1 - Trading Center 1</v>
          </cell>
        </row>
        <row r="165">
          <cell r="B165" t="str">
            <v>Window 2 - Trading Center 1</v>
          </cell>
        </row>
        <row r="166">
          <cell r="B166" t="str">
            <v>Window 3 - Trading Center 1</v>
          </cell>
        </row>
        <row r="175">
          <cell r="B175" t="str">
            <v>DRAINAGE WORKS</v>
          </cell>
        </row>
        <row r="177">
          <cell r="B177" t="str">
            <v>CONSTRUCT CROSS-DRAIN</v>
          </cell>
        </row>
        <row r="178">
          <cell r="B178" t="str">
            <v>Supply and Install RCP, 610mmØ</v>
          </cell>
        </row>
        <row r="179">
          <cell r="B179" t="str">
            <v>Supply &amp; Install Concrete Headwall &amp; Outfall</v>
          </cell>
        </row>
        <row r="181">
          <cell r="B181" t="str">
            <v>PORT CONSTRUCTION</v>
          </cell>
        </row>
        <row r="183">
          <cell r="B183" t="str">
            <v>CONSTRUCTION OF R.C. PIER EXTENTION-1, 9m x 27m.</v>
          </cell>
        </row>
        <row r="184">
          <cell r="B184" t="str">
            <v>CONSTRUCTION OF R.C. PIER EXTENTION-2, 9m x 12m.</v>
          </cell>
        </row>
        <row r="185">
          <cell r="B185" t="str">
            <v>CONSTRUCTION OF R.C. PIER EXTENTION</v>
          </cell>
        </row>
        <row r="186">
          <cell r="B186" t="str">
            <v>CONSTRUCTION OF BOAT LANDING</v>
          </cell>
        </row>
        <row r="187">
          <cell r="B187" t="str">
            <v>CONSTRUCTION OF BULKHEAD TYPE WHARF &amp; RORO RAMP</v>
          </cell>
        </row>
        <row r="188">
          <cell r="B188" t="str">
            <v>CONSTRUCTION OF WHARF EXTENSION &amp; RORO RAMP</v>
          </cell>
        </row>
        <row r="191">
          <cell r="B191" t="str">
            <v>PRECAST CONCRETE WORKS</v>
          </cell>
        </row>
        <row r="192">
          <cell r="B192" t="str">
            <v/>
          </cell>
        </row>
        <row r="193">
          <cell r="B193" t="str">
            <v>Supply &amp; Place 35 MPa Precast Concrete Slab</v>
          </cell>
        </row>
        <row r="194">
          <cell r="B194" t="str">
            <v>Supply &amp; Place 35 MPa Precast Concrete Beam</v>
          </cell>
        </row>
        <row r="195">
          <cell r="B195" t="str">
            <v>Supply &amp; Place Non-Shrink Grout on Precast Concrete Beam</v>
          </cell>
        </row>
        <row r="197">
          <cell r="B197" t="str">
            <v>Supply &amp; Place Non-Shrink Grout on Precast Concrete Beam &amp; Slab</v>
          </cell>
        </row>
        <row r="208">
          <cell r="B208" t="str">
            <v>CAST IN-PLACE CONCRETE WORKS</v>
          </cell>
        </row>
        <row r="209">
          <cell r="B209" t="str">
            <v>Supply &amp; Place 30 MPa Cast in-place Concrete Slab incl. Formworks</v>
          </cell>
        </row>
        <row r="210">
          <cell r="B210" t="str">
            <v>Supply &amp; Place 30 MPa Cast in-place Concrete Beam incl. Formworks</v>
          </cell>
        </row>
        <row r="211">
          <cell r="B211" t="str">
            <v>Supply &amp; Place 30 MPa Cast in-place Concrete Deck Slab</v>
          </cell>
        </row>
        <row r="212">
          <cell r="B212" t="str">
            <v>Supply &amp; Place 30 MPa Cast in-place Concrete</v>
          </cell>
        </row>
        <row r="213">
          <cell r="B213" t="str">
            <v>Supply &amp; Place 30 MPa Cast in-place Concrete incl. Formworks</v>
          </cell>
        </row>
        <row r="215">
          <cell r="B215" t="str">
            <v>PILE SPLICING WORKS</v>
          </cell>
        </row>
        <row r="216">
          <cell r="B216" t="str">
            <v>Pile Splicing and its appurtenances</v>
          </cell>
        </row>
        <row r="218">
          <cell r="B218" t="str">
            <v>PILING WORKS</v>
          </cell>
        </row>
        <row r="220">
          <cell r="B220" t="str">
            <v>Supply and Drive Steel Pipe Test Piles, 450mmØ x 18m.</v>
          </cell>
        </row>
        <row r="221">
          <cell r="B221" t="str">
            <v>Supply Steel Pipe Pile, 450mmØ x 18m.</v>
          </cell>
        </row>
        <row r="222">
          <cell r="B222" t="str">
            <v>Handle Pitch and Drive Vertical Steel Pipe Pile</v>
          </cell>
        </row>
        <row r="223">
          <cell r="B223" t="str">
            <v>Handle Pitch and Drive Batter Steel Pipe Pile</v>
          </cell>
        </row>
        <row r="224">
          <cell r="B224" t="str">
            <v>Steel Pipe Pile Shoe (for 450mmØ Pile)</v>
          </cell>
        </row>
        <row r="225">
          <cell r="B225" t="str">
            <v>Steel Pipe Pile Tip Cladding (for 450mmØ Pile)</v>
          </cell>
        </row>
        <row r="227">
          <cell r="B227" t="str">
            <v>Fender Pile (Molave)</v>
          </cell>
        </row>
        <row r="228">
          <cell r="B228" t="str">
            <v>Timber Post (Molave)</v>
          </cell>
        </row>
        <row r="229">
          <cell r="B229" t="str">
            <v>Supply and Drive PSC Test Piles, 400mm x 400mm x 12m.</v>
          </cell>
        </row>
        <row r="230">
          <cell r="B230" t="str">
            <v>PSC Test Piles, 400mm x 400mm x 12m.</v>
          </cell>
        </row>
        <row r="231">
          <cell r="B231" t="str">
            <v>Supply and Drive PSC Test Piles, 400mm x 400mm x 14m.</v>
          </cell>
        </row>
        <row r="232">
          <cell r="B232" t="str">
            <v>PSC Test Piles, 400mm x 400mm x 14m.</v>
          </cell>
        </row>
        <row r="233">
          <cell r="B233" t="str">
            <v>Supply and Drive PSC Test Piles, 400mm x 400mm x 21m.</v>
          </cell>
        </row>
        <row r="234">
          <cell r="B234" t="str">
            <v>PSC Test Piles, 400mm x 400mm x 21m.</v>
          </cell>
        </row>
        <row r="235">
          <cell r="B235" t="str">
            <v>Supply and Drive PSC Test Piles, 400mm x 400mm x 24m.</v>
          </cell>
        </row>
        <row r="236">
          <cell r="B236" t="str">
            <v>PSC Test Piles, 400mm x 400mm x 24m.</v>
          </cell>
        </row>
        <row r="237">
          <cell r="B237" t="str">
            <v>Supply 400mm x 400mm PSC Pile, L=10m.</v>
          </cell>
        </row>
        <row r="238">
          <cell r="B238" t="str">
            <v>Supply 400mm x 400mm PSC Pile, L=12m.</v>
          </cell>
        </row>
        <row r="239">
          <cell r="B239" t="str">
            <v>Supply 400mm x 400mm PSC Pile, L=22m.</v>
          </cell>
        </row>
        <row r="240">
          <cell r="B240" t="str">
            <v>Supply 450mm x 450mm PSC Pile</v>
          </cell>
        </row>
        <row r="241">
          <cell r="B241" t="str">
            <v>Supply &amp; Drive PSC Test Piles, 450mm x 450mm Incl. Splicing</v>
          </cell>
        </row>
        <row r="242">
          <cell r="B242" t="str">
            <v>Handle Pitch and Drive PSC Vertical Pile, 450mm x 450mm</v>
          </cell>
        </row>
        <row r="243">
          <cell r="B243" t="str">
            <v>Handle Pitch and Drive PSC Batter  Piles, 450mm x 450mm</v>
          </cell>
        </row>
        <row r="245">
          <cell r="B245" t="str">
            <v>Handle Pitch and Drive PSC Vertical Pile, 400mm x 400mm</v>
          </cell>
        </row>
        <row r="246">
          <cell r="B246" t="str">
            <v>Handle Pitch and Drive PSC Batter  Piles, 400mm x 400mm</v>
          </cell>
        </row>
        <row r="248">
          <cell r="B248" t="str">
            <v>Handle Pitch and Drive Vertical PSC Pile including cutting</v>
          </cell>
        </row>
        <row r="249">
          <cell r="B249" t="str">
            <v>Handle Pitch Drive Batter PSC Pile including cutting</v>
          </cell>
        </row>
        <row r="251">
          <cell r="B251" t="str">
            <v>MOORING AND FENDERING SYSTEM</v>
          </cell>
        </row>
        <row r="252">
          <cell r="B252" t="str">
            <v>SEISMIC GAP PLATE &amp; RORO STEEL RAMP PROTECTION</v>
          </cell>
        </row>
        <row r="254">
          <cell r="B254" t="str">
            <v>MOORING SYSTEM</v>
          </cell>
        </row>
        <row r="256">
          <cell r="B256" t="str">
            <v>Supply &amp; Install V-Type Rubber Fender (200 x 1500mm)</v>
          </cell>
        </row>
        <row r="257">
          <cell r="B257" t="str">
            <v>Supply &amp; Install V-Type Rubber Fender (300 x 1500mm)</v>
          </cell>
        </row>
        <row r="258">
          <cell r="B258" t="str">
            <v>Supply &amp; Install V-Type Rubber Fender (400H x 1000mm)</v>
          </cell>
        </row>
        <row r="259">
          <cell r="B259" t="str">
            <v>Supply &amp; Install L Corner Type Rubber Fender (250H x 1000L x 1000L)</v>
          </cell>
        </row>
        <row r="260">
          <cell r="B260" t="str">
            <v>Supply &amp; Install Mooring Bollard (25T)</v>
          </cell>
        </row>
        <row r="261">
          <cell r="B261" t="str">
            <v>Supply &amp; Install Mooring Bollard (15T)</v>
          </cell>
        </row>
        <row r="262">
          <cell r="B262" t="str">
            <v>Supply &amp; Install Mooring Cleats (5T)</v>
          </cell>
        </row>
        <row r="263">
          <cell r="B263" t="str">
            <v>Supply &amp; Install Mooring Cleats (10T)</v>
          </cell>
        </row>
        <row r="264">
          <cell r="B264" t="str">
            <v>Supply &amp; Install Mooring Bitt (10T)</v>
          </cell>
        </row>
        <row r="265">
          <cell r="B265" t="str">
            <v>Supply &amp; Install Mooring Bitt (15T)</v>
          </cell>
        </row>
        <row r="266">
          <cell r="B266" t="str">
            <v>Supply &amp; Install 7-Pile Timber Dolphin (L=15m.)</v>
          </cell>
        </row>
        <row r="267">
          <cell r="B267" t="str">
            <v>Supply &amp; Install Wooden Mooring</v>
          </cell>
        </row>
        <row r="268">
          <cell r="B268" t="str">
            <v>Supply &amp; Install Rubber Tire Fender and its appurtenances</v>
          </cell>
        </row>
        <row r="270">
          <cell r="B270" t="str">
            <v>CONSTRUCTION OF R.C. PIER EXTENTION, 9m x 21m. (Fast Craft)</v>
          </cell>
        </row>
        <row r="271">
          <cell r="B271" t="str">
            <v>CONSTRUCTION OF RORO, 9m x 24m.</v>
          </cell>
        </row>
        <row r="272">
          <cell r="B272" t="str">
            <v>CONSTRUCTION OF TRANSITION PLATFORM 5m. X 11m.</v>
          </cell>
        </row>
        <row r="274">
          <cell r="B274" t="str">
            <v>SUPPLY AND INSTALL GATE, 8.5 meter width</v>
          </cell>
        </row>
        <row r="275">
          <cell r="B275" t="str">
            <v>CONSTRUCTION OF GUARD HOUSE, (2.00m. X 2.00m.)</v>
          </cell>
        </row>
        <row r="277">
          <cell r="B277" t="str">
            <v xml:space="preserve">TINSMITHRY </v>
          </cell>
        </row>
        <row r="279">
          <cell r="B279" t="str">
            <v>G.I. Sheet Roofing</v>
          </cell>
        </row>
        <row r="280">
          <cell r="B280" t="str">
            <v>Ga. #26 Corr. G.I. Sheet Roofing</v>
          </cell>
        </row>
        <row r="281">
          <cell r="B281" t="str">
            <v>Ga. #26 Plain G.I. Sheet Ridge Roll</v>
          </cell>
        </row>
        <row r="282">
          <cell r="B282" t="str">
            <v>Ga. #26 Plain G.I. Gutter</v>
          </cell>
        </row>
        <row r="283">
          <cell r="B283" t="str">
            <v>Ga. #26 Plain G.I. Flashing</v>
          </cell>
        </row>
        <row r="287">
          <cell r="B287" t="str">
            <v>CARPENTRY  WORKS</v>
          </cell>
        </row>
        <row r="289">
          <cell r="B289" t="str">
            <v>Timber Port - Beam (Yakal)</v>
          </cell>
        </row>
        <row r="290">
          <cell r="B290" t="str">
            <v>Timber Port - Beam (Yakal or equivalent)</v>
          </cell>
        </row>
        <row r="291">
          <cell r="B291" t="str">
            <v>Timber Port - Floor Joist (Yakal)</v>
          </cell>
        </row>
        <row r="292">
          <cell r="B292" t="str">
            <v>Timber Port - Floor Joist (Yakal or equivalent)</v>
          </cell>
        </row>
        <row r="293">
          <cell r="B293" t="str">
            <v>Timber Port - Floor Planks (Yakal)</v>
          </cell>
        </row>
        <row r="294">
          <cell r="B294" t="str">
            <v>Timber Port - Floor Planks (Yakal or equivalent)</v>
          </cell>
        </row>
        <row r="295">
          <cell r="B295" t="str">
            <v>Timber Port - Cross Bracing (Yakal)</v>
          </cell>
        </row>
        <row r="296">
          <cell r="B296" t="str">
            <v>Timber Port - Cross Bracing (Yakal or equivalent)</v>
          </cell>
        </row>
        <row r="297">
          <cell r="B297" t="str">
            <v>Timber Port - Bridging (Yakal)</v>
          </cell>
        </row>
        <row r="298">
          <cell r="B298" t="str">
            <v>Timber Port - Bridging (Yakal or equivalent)</v>
          </cell>
        </row>
        <row r="299">
          <cell r="B299" t="str">
            <v>Timber Port - Curb (Yakal)</v>
          </cell>
        </row>
        <row r="300">
          <cell r="B300" t="str">
            <v>Timber Port - Curb (Yakal or equivalent)</v>
          </cell>
        </row>
        <row r="301">
          <cell r="B301" t="str">
            <v>Timber Port Pier Head - Beam (Yakal)</v>
          </cell>
        </row>
        <row r="302">
          <cell r="B302" t="str">
            <v>Timber Port Pier Head - Beam (Yakal or equivalent)</v>
          </cell>
        </row>
        <row r="303">
          <cell r="B303" t="str">
            <v>Timber Port Pier Head - Floor Joist (Yakal)</v>
          </cell>
        </row>
        <row r="304">
          <cell r="B304" t="str">
            <v>Timber Port Pier Head - Floor Joist (Yakal or equivalent)</v>
          </cell>
        </row>
        <row r="305">
          <cell r="B305" t="str">
            <v>Timber Port Pier Head - Floor Planks (Yakal)</v>
          </cell>
        </row>
        <row r="306">
          <cell r="B306" t="str">
            <v>Timber Port Pier Head - Cross Bracing (Yakal or equivalent)</v>
          </cell>
        </row>
        <row r="307">
          <cell r="B307" t="str">
            <v>Timber Port Pier Head - Cross Bracing (Yakal)</v>
          </cell>
        </row>
        <row r="308">
          <cell r="B308" t="str">
            <v>Timber Port Pier Head - Cross Bracing (Yakal or equivalent)</v>
          </cell>
        </row>
        <row r="309">
          <cell r="B309" t="str">
            <v>Timber Port Pier Head - Bridging (Yakal)</v>
          </cell>
        </row>
        <row r="310">
          <cell r="B310" t="str">
            <v>Timber Port Pier Head - Bridging (Yakal or equivalent)</v>
          </cell>
        </row>
        <row r="311">
          <cell r="B311" t="str">
            <v>Timber Port Pier Head - Curb (Yakal)</v>
          </cell>
        </row>
        <row r="312">
          <cell r="B312" t="str">
            <v>Timber Port Pier Head - Curb (Yakal or equivalent)</v>
          </cell>
        </row>
        <row r="313">
          <cell r="B313" t="str">
            <v>Ceiling Board on wood runner (s.m.)</v>
          </cell>
        </row>
        <row r="314">
          <cell r="B314" t="str">
            <v>Frame Installation</v>
          </cell>
        </row>
        <row r="315">
          <cell r="B315" t="str">
            <v>Board Installation</v>
          </cell>
        </row>
        <row r="316">
          <cell r="B316" t="str">
            <v>Flush Door (3'x7') + 21 s.f.</v>
          </cell>
        </row>
        <row r="317">
          <cell r="B317" t="str">
            <v>Fabrication</v>
          </cell>
        </row>
        <row r="319">
          <cell r="B319" t="str">
            <v>6mm thk. Ordinary Plywood Ceiling &amp; 6mm thk Marine Plywood Sidings</v>
          </cell>
        </row>
        <row r="320">
          <cell r="B320" t="str">
            <v>6mm thk. Marine Plywood Ceiling</v>
          </cell>
        </row>
        <row r="321">
          <cell r="B321" t="str">
            <v>6mm thk. Ordinary Plywood Ceiling</v>
          </cell>
        </row>
        <row r="324">
          <cell r="B324" t="str">
            <v>WIRE AND CABLE WORKS</v>
          </cell>
        </row>
        <row r="325">
          <cell r="B325" t="str">
            <v>Wire and Cable for Suspension</v>
          </cell>
        </row>
        <row r="337">
          <cell r="B337" t="str">
            <v xml:space="preserve">REINFORCING BARS </v>
          </cell>
        </row>
        <row r="339">
          <cell r="B339" t="str">
            <v>Deformed Bar</v>
          </cell>
        </row>
        <row r="340">
          <cell r="B340" t="str">
            <v>Supply &amp; Install Reinforcing Steel Bars for Pile Jacket</v>
          </cell>
        </row>
        <row r="341">
          <cell r="B341" t="str">
            <v>Supply &amp; Install Reinforcing Steel Bars for Precast Slab</v>
          </cell>
        </row>
        <row r="342">
          <cell r="B342" t="str">
            <v>Supply &amp; Install Reinforcing Steel Bars for Precast Beam</v>
          </cell>
        </row>
        <row r="343">
          <cell r="B343" t="str">
            <v>Supply &amp; Install Reinforcing Steel Bars</v>
          </cell>
        </row>
        <row r="344">
          <cell r="B344" t="str">
            <v>fy = 276 Mpa</v>
          </cell>
        </row>
        <row r="345">
          <cell r="B345" t="str">
            <v>fy = 230 Mpa</v>
          </cell>
        </row>
        <row r="349">
          <cell r="B349" t="str">
            <v>STEEL WORKS</v>
          </cell>
        </row>
        <row r="351">
          <cell r="B351" t="str">
            <v>Supply and Install Ramp Steel Rail</v>
          </cell>
        </row>
        <row r="354">
          <cell r="B354" t="str">
            <v>Steel Truss - Community Center 1</v>
          </cell>
        </row>
        <row r="355">
          <cell r="B355" t="str">
            <v>Steel Purlins - Community Center 1</v>
          </cell>
        </row>
        <row r="357">
          <cell r="B357" t="str">
            <v>Steel Truss - Community Center 2</v>
          </cell>
        </row>
        <row r="358">
          <cell r="B358" t="str">
            <v>Steel Purlins - Community Center 2</v>
          </cell>
        </row>
        <row r="360">
          <cell r="B360" t="str">
            <v>Steel Truss - Trading Center 1</v>
          </cell>
        </row>
        <row r="361">
          <cell r="B361" t="str">
            <v>Steel Purlins - Trading Center 1</v>
          </cell>
        </row>
        <row r="364">
          <cell r="B364" t="str">
            <v>Supply and Install Seismic Gap Plate</v>
          </cell>
        </row>
        <row r="365">
          <cell r="B365" t="str">
            <v>STEEL GATE WORKS</v>
          </cell>
        </row>
        <row r="367">
          <cell r="B367" t="str">
            <v>STEEL SHEET PILING WORKS</v>
          </cell>
        </row>
        <row r="368">
          <cell r="B368" t="str">
            <v>Supply Steel Sheet Pile (ASTM 690 / 690M)</v>
          </cell>
        </row>
        <row r="369">
          <cell r="B369" t="str">
            <v>Handle Pitch and Drive Steel Sheet Pile</v>
          </cell>
        </row>
        <row r="370">
          <cell r="B370" t="str">
            <v>Supply &amp; Install Channel Wale Support</v>
          </cell>
        </row>
        <row r="371">
          <cell r="B371" t="str">
            <v>Supply &amp; Install Tie Rod Support</v>
          </cell>
        </row>
        <row r="380">
          <cell r="B380" t="str">
            <v>PLUMBING WORKS</v>
          </cell>
        </row>
        <row r="381">
          <cell r="B381" t="str">
            <v>MOTOR PUMP WORKS</v>
          </cell>
        </row>
        <row r="383">
          <cell r="B383" t="str">
            <v>Submersible Pump w/ complete accessories (1HP 136S10412))</v>
          </cell>
        </row>
        <row r="384">
          <cell r="B384" t="str">
            <v>Submersible Pump w/ complete accessories (3HP 186S30412)</v>
          </cell>
        </row>
        <row r="385">
          <cell r="B385" t="str">
            <v>100mmØ PVC Weepholes</v>
          </cell>
        </row>
        <row r="386">
          <cell r="B386" t="str">
            <v>Supply and Install downspout, 100mmØ</v>
          </cell>
        </row>
        <row r="388">
          <cell r="B388" t="str">
            <v>Plumbing &amp; Fixtures - Community Center 1</v>
          </cell>
        </row>
        <row r="389">
          <cell r="B389" t="str">
            <v>Plumbing &amp; Fixtures - Community Center 2</v>
          </cell>
        </row>
        <row r="391">
          <cell r="B391" t="str">
            <v>Plumbing &amp; Fixtures - Trading Center 1</v>
          </cell>
        </row>
        <row r="393">
          <cell r="B393" t="str">
            <v>Plumbing &amp; Fixtures</v>
          </cell>
        </row>
        <row r="395">
          <cell r="B395" t="str">
            <v>Pipes &amp; Fittings for Intake Box "Type A"</v>
          </cell>
        </row>
        <row r="396">
          <cell r="B396" t="str">
            <v>Pipes &amp; Fittings for Intake Box "Type C"</v>
          </cell>
        </row>
        <row r="397">
          <cell r="B397" t="str">
            <v>Pipes &amp; Fittings for Intake Box "Type E"</v>
          </cell>
        </row>
        <row r="398">
          <cell r="B398" t="str">
            <v>Pipes &amp; Fittings for Collection Box</v>
          </cell>
        </row>
        <row r="399">
          <cell r="B399" t="str">
            <v>Pipes &amp; Fittings for 20T Lit Concrete Reservoir on Grade</v>
          </cell>
        </row>
        <row r="400">
          <cell r="B400" t="str">
            <v>Pipes &amp; Fittings for 25T Lit Concrete Reservoir on Grade</v>
          </cell>
        </row>
        <row r="401">
          <cell r="B401" t="str">
            <v>Pipes &amp; Fittings for Collection Box</v>
          </cell>
        </row>
        <row r="402">
          <cell r="B402" t="str">
            <v>Pipes &amp; Fittings for Tapstand</v>
          </cell>
        </row>
        <row r="403">
          <cell r="B403" t="str">
            <v>Pipes &amp; Fittings for Communal Faucet</v>
          </cell>
        </row>
        <row r="404">
          <cell r="B404" t="str">
            <v>Pipes &amp; Fittings for Pipe River Crossing</v>
          </cell>
        </row>
        <row r="405">
          <cell r="B405" t="str">
            <v>Ga#18 Stainless Steel Tank</v>
          </cell>
        </row>
        <row r="409">
          <cell r="B409" t="str">
            <v>TILEWORKS</v>
          </cell>
        </row>
        <row r="410">
          <cell r="B410" t="str">
            <v>200 x 200 Wall Tiles - Community Center 1</v>
          </cell>
        </row>
        <row r="411">
          <cell r="B411" t="str">
            <v>200 x 200 Floor Tiles - Community Center 1</v>
          </cell>
        </row>
        <row r="413">
          <cell r="B413" t="str">
            <v>200 x 200 Wall Tiles - Community Center 2</v>
          </cell>
        </row>
        <row r="414">
          <cell r="B414" t="str">
            <v>200 x 200 Floor Tiles - Community Center 2</v>
          </cell>
        </row>
        <row r="416">
          <cell r="B416" t="str">
            <v>200 x 200 Wall Tiles - Trading Center 1</v>
          </cell>
        </row>
        <row r="417">
          <cell r="B417" t="str">
            <v>200 x 200 Floor Tiles - Trading Center 1</v>
          </cell>
        </row>
        <row r="419">
          <cell r="B419" t="str">
            <v>200 x 200 Wall Tiles</v>
          </cell>
        </row>
        <row r="420">
          <cell r="B420" t="str">
            <v>200 x 200 Floor Tiles</v>
          </cell>
        </row>
        <row r="422">
          <cell r="B422" t="str">
            <v>100 x 100 Wall Tiles</v>
          </cell>
        </row>
        <row r="423">
          <cell r="B423" t="str">
            <v>100 x 100 Floor Tiles</v>
          </cell>
        </row>
        <row r="427">
          <cell r="B427" t="str">
            <v>SANITARY WORK</v>
          </cell>
        </row>
        <row r="428">
          <cell r="B428" t="str">
            <v>Septic Vault &amp; Accessories</v>
          </cell>
        </row>
        <row r="431">
          <cell r="B431" t="str">
            <v>ELECTRICAL WORK</v>
          </cell>
        </row>
        <row r="432">
          <cell r="B432" t="str">
            <v>Supply &amp; Install Electrical - Community Center 1</v>
          </cell>
        </row>
        <row r="433">
          <cell r="B433" t="str">
            <v>Supply &amp; Install Electrical - Community Center 2</v>
          </cell>
        </row>
        <row r="434">
          <cell r="B434" t="str">
            <v>Supply &amp; Install Electrical - Trading Center 1</v>
          </cell>
        </row>
        <row r="438">
          <cell r="B438" t="str">
            <v>ROAD WORKS</v>
          </cell>
        </row>
        <row r="440">
          <cell r="B440" t="str">
            <v>Removal of Existing PCCP</v>
          </cell>
        </row>
        <row r="441">
          <cell r="B441" t="str">
            <v>Embankment</v>
          </cell>
        </row>
        <row r="442">
          <cell r="B442" t="str">
            <v>Common Excavation</v>
          </cell>
        </row>
        <row r="443">
          <cell r="B443" t="str">
            <v>PCCP</v>
          </cell>
        </row>
        <row r="444">
          <cell r="B444" t="str">
            <v>Aggregate Sub Base Course (Item 200)</v>
          </cell>
        </row>
        <row r="445">
          <cell r="B445" t="str">
            <v>Aggregate Base Course (Item 2001)</v>
          </cell>
        </row>
        <row r="446">
          <cell r="B446" t="str">
            <v>Concrete Pavement</v>
          </cell>
        </row>
        <row r="447">
          <cell r="B447" t="str">
            <v>Sand Bedding</v>
          </cell>
        </row>
        <row r="448">
          <cell r="B448" t="str">
            <v>Rockfill Bedding</v>
          </cell>
        </row>
        <row r="449">
          <cell r="B449" t="str">
            <v>Grouted Riprap Class "A"</v>
          </cell>
        </row>
        <row r="450">
          <cell r="B450" t="str">
            <v>Concrete Class "B" Line Canal "U" type</v>
          </cell>
        </row>
        <row r="451">
          <cell r="B451" t="str">
            <v>Lined Canal</v>
          </cell>
        </row>
        <row r="454">
          <cell r="B454" t="str">
            <v>Road Embankment</v>
          </cell>
        </row>
        <row r="455">
          <cell r="B455" t="str">
            <v>Aggregate Base Course (Item 201)</v>
          </cell>
        </row>
        <row r="458">
          <cell r="B458" t="str">
            <v>MISCELLANEOUS</v>
          </cell>
        </row>
        <row r="459">
          <cell r="B459" t="str">
            <v>Guard Rail</v>
          </cell>
        </row>
        <row r="460">
          <cell r="B460" t="str">
            <v>Reflective Pavement Marking</v>
          </cell>
        </row>
        <row r="461">
          <cell r="B461" t="str">
            <v>Regulatory Sign</v>
          </cell>
        </row>
        <row r="462">
          <cell r="B462" t="str">
            <v>GEOTEXTILE WORKS</v>
          </cell>
        </row>
        <row r="463">
          <cell r="B463" t="str">
            <v>Filter Fabric</v>
          </cell>
        </row>
        <row r="466">
          <cell r="B466" t="str">
            <v>IMPROVEMENT OF ACCESS ROAD</v>
          </cell>
        </row>
        <row r="468">
          <cell r="B468" t="str">
            <v>Excavation for Riprap Foundation</v>
          </cell>
        </row>
        <row r="469">
          <cell r="B469" t="str">
            <v>Earthfll, Common Borrow</v>
          </cell>
        </row>
        <row r="471">
          <cell r="B471" t="str">
            <v>ROCK WORKS</v>
          </cell>
        </row>
        <row r="473">
          <cell r="B473" t="str">
            <v>Supply &amp; Install Grouted Riprap</v>
          </cell>
        </row>
        <row r="474">
          <cell r="B474" t="str">
            <v>Rockfill for retaining wall foundation</v>
          </cell>
        </row>
        <row r="475">
          <cell r="B475" t="str">
            <v>Core Rockfill</v>
          </cell>
        </row>
        <row r="477">
          <cell r="B477" t="str">
            <v>PAVEMENT WORKS</v>
          </cell>
        </row>
        <row r="479">
          <cell r="B479" t="str">
            <v>Supply, Place and Compact Subbase Course</v>
          </cell>
        </row>
        <row r="480">
          <cell r="B480" t="str">
            <v>Supply, Place and Compact Base Course</v>
          </cell>
        </row>
        <row r="481">
          <cell r="B481" t="str">
            <v>Construct PCC Pavement</v>
          </cell>
        </row>
        <row r="482">
          <cell r="B482" t="str">
            <v>Construct Concrete Curb</v>
          </cell>
        </row>
        <row r="483">
          <cell r="B483" t="str">
            <v xml:space="preserve">Construct Concrete Curb -1 </v>
          </cell>
        </row>
        <row r="484">
          <cell r="B484" t="str">
            <v>Construct RC Curb @ Bulkhead</v>
          </cell>
        </row>
        <row r="485">
          <cell r="B485" t="str">
            <v>Construct Concrete Passenger Safety Wall</v>
          </cell>
        </row>
        <row r="488">
          <cell r="B488" t="str">
            <v>CONSTRUCTION OF RETAINING WALL</v>
          </cell>
        </row>
        <row r="490">
          <cell r="B490" t="str">
            <v>REHABILITATION OF EXISTING PIER</v>
          </cell>
        </row>
        <row r="492">
          <cell r="B492" t="str">
            <v>Concrete Curb</v>
          </cell>
        </row>
        <row r="493">
          <cell r="B493" t="str">
            <v>Supply, Place and Compact Base Course</v>
          </cell>
        </row>
        <row r="497">
          <cell r="B497" t="str">
            <v xml:space="preserve">OPERATIONS &amp; MAINTENANCE </v>
          </cell>
        </row>
        <row r="499">
          <cell r="B499" t="str">
            <v>Operations &amp; Maintenance</v>
          </cell>
        </row>
        <row r="501">
          <cell r="B501" t="str">
            <v>FALSEWORKS</v>
          </cell>
        </row>
        <row r="503">
          <cell r="B503" t="str">
            <v>Formworks (10mm thk. Ordinary Plywood)</v>
          </cell>
        </row>
        <row r="504">
          <cell r="B504" t="str">
            <v>Formworks (1/4" thk. Ordinary Plywood)</v>
          </cell>
        </row>
        <row r="505">
          <cell r="B505" t="str">
            <v>Formworks (Coco Lumber)</v>
          </cell>
        </row>
        <row r="506">
          <cell r="B506" t="str">
            <v>Scaffolds (Coco Lumber)</v>
          </cell>
        </row>
        <row r="508">
          <cell r="B508" t="str">
            <v>PAINTING WORKS</v>
          </cell>
        </row>
        <row r="509">
          <cell r="B509" t="str">
            <v>Painting on Masonry Surfaces</v>
          </cell>
        </row>
        <row r="510">
          <cell r="B510" t="str">
            <v>Painting on Steel Surfaces</v>
          </cell>
        </row>
        <row r="511">
          <cell r="B511" t="str">
            <v>Painting on Wooden Surfaces</v>
          </cell>
        </row>
        <row r="512">
          <cell r="B512" t="str">
            <v>Protective Coating</v>
          </cell>
        </row>
        <row r="515">
          <cell r="B515" t="str">
            <v>Wood Surface (Coal Tar)</v>
          </cell>
        </row>
        <row r="517">
          <cell r="B517" t="str">
            <v>FINISHING WORKS</v>
          </cell>
        </row>
        <row r="518">
          <cell r="B518" t="str">
            <v>Provide Plain Cement Plaster Finish</v>
          </cell>
        </row>
        <row r="519">
          <cell r="B519" t="str">
            <v>Apply Painted Finish on Concrete</v>
          </cell>
        </row>
        <row r="520">
          <cell r="B520" t="str">
            <v>Supply and Install Rooof Waterproofing</v>
          </cell>
        </row>
        <row r="521">
          <cell r="B521" t="str">
            <v>Supply and Install downspout, 100mm dia.</v>
          </cell>
        </row>
        <row r="522">
          <cell r="B522" t="str">
            <v>SUPPLY AND INSTALL COMPLETE BLDG., ELEC., SYSTEM</v>
          </cell>
        </row>
        <row r="523">
          <cell r="B523" t="str">
            <v>SUPPLY AND INSTALL PORTABLE FIRE EXTINGUISHER</v>
          </cell>
        </row>
        <row r="525">
          <cell r="B525" t="str">
            <v>BRIDGE CONSTRUCTION</v>
          </cell>
        </row>
        <row r="526">
          <cell r="B526" t="str">
            <v>Removal of Existing Bailey Bridge L=15.65m.</v>
          </cell>
        </row>
        <row r="527">
          <cell r="B527" t="str">
            <v>Bridge Excavation Above O.W.L.</v>
          </cell>
        </row>
        <row r="528">
          <cell r="B528" t="str">
            <v>Precast 400 x 4000 R.C. Piles (Furnished)</v>
          </cell>
        </row>
        <row r="529">
          <cell r="B529" t="str">
            <v>Precast 400 x 4000 R.C. Piles (Driven)</v>
          </cell>
        </row>
        <row r="530">
          <cell r="B530" t="str">
            <v>Precast 400 x 4000 R.C. Piles, Test Piles (D/F)</v>
          </cell>
        </row>
        <row r="531">
          <cell r="B531" t="str">
            <v>Concrete Railings</v>
          </cell>
        </row>
        <row r="532">
          <cell r="B532" t="str">
            <v>Reinforcing Steel Grade 40</v>
          </cell>
        </row>
        <row r="533">
          <cell r="B533" t="str">
            <v>Structural Concrete Class A-2 Superstructure</v>
          </cell>
        </row>
        <row r="534">
          <cell r="B534" t="str">
            <v>Structural Concrete Class A-1 Substructure</v>
          </cell>
        </row>
        <row r="535">
          <cell r="B535" t="str">
            <v>Lean Concrete, 100mm thk.</v>
          </cell>
        </row>
        <row r="536">
          <cell r="B536" t="str">
            <v>Bridge Painting</v>
          </cell>
        </row>
        <row r="537">
          <cell r="B537" t="str">
            <v>Grouted Riprap Class "A"</v>
          </cell>
        </row>
        <row r="538">
          <cell r="B538" t="str">
            <v>Grouted Riprap Class "B"</v>
          </cell>
        </row>
        <row r="539">
          <cell r="B539" t="str">
            <v>Filter Layer, Granular Materials</v>
          </cell>
        </row>
        <row r="540">
          <cell r="B540" t="str">
            <v>River Bed Trimming &amp; Excavation</v>
          </cell>
        </row>
        <row r="544">
          <cell r="B544" t="str">
            <v>STEEL FENCING WORKS</v>
          </cell>
        </row>
        <row r="545">
          <cell r="B545" t="str">
            <v>Ga #10 G.I. Cyclone Wire Fence</v>
          </cell>
        </row>
        <row r="547">
          <cell r="B547" t="str">
            <v>REPAIR WORKS</v>
          </cell>
        </row>
        <row r="548">
          <cell r="B548" t="str">
            <v>Reinforced Concrete Repair Works</v>
          </cell>
        </row>
        <row r="553">
          <cell r="B553" t="str">
            <v>DEMOLITION WORKS</v>
          </cell>
        </row>
        <row r="556">
          <cell r="B556" t="str">
            <v>Demolition of Existing Structure affected by the construction</v>
          </cell>
        </row>
        <row r="558">
          <cell r="B558" t="str">
            <v>REMOVAL  WORKS</v>
          </cell>
        </row>
        <row r="560">
          <cell r="B560" t="str">
            <v>Removal of Existing Structure (Pipe Culverts)</v>
          </cell>
        </row>
        <row r="561">
          <cell r="B561" t="str">
            <v>Removal of Existing Structure (Stone masonry)</v>
          </cell>
        </row>
        <row r="563">
          <cell r="B563" t="str">
            <v>ELECTRICAL WORKS</v>
          </cell>
        </row>
        <row r="565">
          <cell r="B565" t="str">
            <v>SUPPLY AND INSTALL COMPLETE BLDG. ELEC. SYSTEM</v>
          </cell>
        </row>
        <row r="566">
          <cell r="B566" t="str">
            <v>SUPPLY AND INSTALL COMPLETE BLDG. ELEC'L SYSTEM</v>
          </cell>
        </row>
        <row r="568">
          <cell r="B568" t="str">
            <v>TRANSMISSION PIPE LINES</v>
          </cell>
        </row>
        <row r="569">
          <cell r="B569" t="str">
            <v>Supply and Install PE Pipes and Fittings (25mmØ)</v>
          </cell>
        </row>
        <row r="570">
          <cell r="B570" t="str">
            <v>Supply and Install PE Pipes and Fittings (32mmØ)</v>
          </cell>
        </row>
        <row r="571">
          <cell r="B571" t="str">
            <v>Supply and Install PE Pipes and Fittings (40mmØ)</v>
          </cell>
        </row>
        <row r="572">
          <cell r="B572" t="str">
            <v>Supply and Install PE Pipes and Fittings (50mmØ)</v>
          </cell>
        </row>
        <row r="573">
          <cell r="B573" t="str">
            <v>Supply and Install PE Pipes and Fittings (63mmØ)</v>
          </cell>
        </row>
        <row r="574">
          <cell r="B574" t="str">
            <v>Supply and Install PE Pipes and Fittings (75mmØ)</v>
          </cell>
        </row>
        <row r="575">
          <cell r="B575" t="str">
            <v>Supply and Install PE Pipes and Fittings (90mmØ)</v>
          </cell>
        </row>
        <row r="577">
          <cell r="B577" t="str">
            <v>Supply and Install GI Pipes and Fittings (63mmØ)</v>
          </cell>
        </row>
        <row r="578">
          <cell r="B578" t="str">
            <v>Supply and Install GI Pipes and Fittings (75mmØ)</v>
          </cell>
        </row>
        <row r="579">
          <cell r="B579" t="str">
            <v>Supply and Install GI Pipes and Fittings (90mmØ)</v>
          </cell>
        </row>
        <row r="580">
          <cell r="B580" t="str">
            <v>Supply and Install uPVC Pipes and Fittings (50mmØ)</v>
          </cell>
        </row>
        <row r="581">
          <cell r="B581" t="str">
            <v>Supply and Install uPVC Pipes and Fittings (63mmØ)</v>
          </cell>
        </row>
        <row r="582">
          <cell r="B582" t="str">
            <v>Supply and Install uPVC Pipes and Fittings (90mmØ)</v>
          </cell>
        </row>
        <row r="592">
          <cell r="B592" t="str">
            <v>FIRE PROTECTION WORKS</v>
          </cell>
        </row>
        <row r="594">
          <cell r="B594" t="str">
            <v>Supply and Install Portable Fire Extinguisher</v>
          </cell>
        </row>
        <row r="596">
          <cell r="B596" t="str">
            <v>SIGNAGES</v>
          </cell>
        </row>
        <row r="597">
          <cell r="B597" t="str">
            <v>PLATE MARKER &amp; SIGNAGES.</v>
          </cell>
        </row>
        <row r="598">
          <cell r="B598" t="str">
            <v>Plate Marker &amp; Signages</v>
          </cell>
        </row>
        <row r="599">
          <cell r="B599" t="str">
            <v>Plate Marker W/ Pedestal</v>
          </cell>
        </row>
        <row r="600">
          <cell r="B600" t="str">
            <v>Project Billboard</v>
          </cell>
        </row>
        <row r="601">
          <cell r="B601" t="str">
            <v>Plate Marker Pedestal</v>
          </cell>
        </row>
        <row r="603">
          <cell r="B603" t="str">
            <v>PROJECT COMPONENTS</v>
          </cell>
        </row>
        <row r="604">
          <cell r="B604" t="str">
            <v>INTAKE BOX TYPE "A"</v>
          </cell>
        </row>
        <row r="605">
          <cell r="B605" t="str">
            <v>INTAKE BOX TYPE "C"</v>
          </cell>
        </row>
        <row r="606">
          <cell r="B606" t="str">
            <v>CONCRETE RESERVOIR ON GRADE (20T LITERS)</v>
          </cell>
        </row>
        <row r="607">
          <cell r="B607" t="str">
            <v>COLLECTION BOX</v>
          </cell>
        </row>
        <row r="608">
          <cell r="B608" t="str">
            <v>TAPSTAND</v>
          </cell>
        </row>
        <row r="609">
          <cell r="B609" t="str">
            <v>RIVER CROSSING</v>
          </cell>
        </row>
        <row r="610">
          <cell r="B610" t="str">
            <v>PIPES &amp; CONVEYORS</v>
          </cell>
        </row>
        <row r="611">
          <cell r="B611" t="str">
            <v>OTHERS</v>
          </cell>
        </row>
        <row r="613">
          <cell r="B613" t="str">
            <v>PORTS CONSTRUCTION</v>
          </cell>
        </row>
        <row r="614">
          <cell r="B614" t="str">
            <v>PASSENGER TERMINAL SHED</v>
          </cell>
        </row>
        <row r="615">
          <cell r="B615" t="str">
            <v>TOILET</v>
          </cell>
        </row>
        <row r="616">
          <cell r="B616" t="str">
            <v>GEOTECHNICAL WORKS</v>
          </cell>
        </row>
        <row r="617">
          <cell r="B617" t="str">
            <v>Geotechnical Investigation</v>
          </cell>
        </row>
        <row r="620">
          <cell r="B620" t="str">
            <v>General Technical Requirements</v>
          </cell>
        </row>
        <row r="621">
          <cell r="B621" t="str">
            <v>SAFETY</v>
          </cell>
        </row>
        <row r="622">
          <cell r="B622" t="str">
            <v>DAYWORK</v>
          </cell>
        </row>
      </sheetData>
      <sheetData sheetId="14" refreshError="1">
        <row r="6">
          <cell r="C6" t="str">
            <v>Trading Center Construction (7x12m)</v>
          </cell>
        </row>
        <row r="7">
          <cell r="C7" t="str">
            <v>Duhol Bato Seaweed Solar Dryer Construction</v>
          </cell>
        </row>
        <row r="8">
          <cell r="C8" t="str">
            <v>Carbon Footbridge Upgrading</v>
          </cell>
        </row>
        <row r="9">
          <cell r="C9" t="str">
            <v>Tampalan Footbridge Upgrading</v>
          </cell>
        </row>
        <row r="10">
          <cell r="C10" t="str">
            <v>Bakong Boat Landing Construction</v>
          </cell>
        </row>
        <row r="11">
          <cell r="C11" t="str">
            <v>North Kadulawan Box Culvert Construction</v>
          </cell>
        </row>
        <row r="12">
          <cell r="C12" t="str">
            <v>Pagalungan Boat Stair Landing Construction</v>
          </cell>
        </row>
        <row r="13">
          <cell r="C13" t="str">
            <v>Badjao Community Footbridge Upgrading</v>
          </cell>
        </row>
        <row r="14">
          <cell r="C14" t="str">
            <v>Nanas Box Culvert Construction</v>
          </cell>
        </row>
        <row r="15">
          <cell r="C15" t="str">
            <v>Matim Overflow Structure Rehabilitation</v>
          </cell>
        </row>
        <row r="16">
          <cell r="C16" t="str">
            <v>Sitio Bunawan Overflow Structure Construction</v>
          </cell>
        </row>
        <row r="17">
          <cell r="C17" t="str">
            <v>Paling-Lumbaca Mamaan Road Upgrading</v>
          </cell>
        </row>
        <row r="18">
          <cell r="C18" t="str">
            <v xml:space="preserve">Baras Road Rehabilitation </v>
          </cell>
        </row>
        <row r="19">
          <cell r="C19" t="str">
            <v>Panapan Community Center Construction (7x12m)</v>
          </cell>
        </row>
        <row r="20">
          <cell r="C20" t="str">
            <v>Salendab Passenger Waiting Shed Construction (Type I)</v>
          </cell>
        </row>
        <row r="21">
          <cell r="C21" t="str">
            <v>Limbuan Grains Solar Dryer Construction</v>
          </cell>
        </row>
        <row r="22">
          <cell r="C22" t="str">
            <v>Glan Terminal Passenger Waiting Shed (Type II)</v>
          </cell>
        </row>
        <row r="23">
          <cell r="C23" t="str">
            <v>Pangyan Trading Center Construction (7x12m)</v>
          </cell>
        </row>
        <row r="24">
          <cell r="C24" t="str">
            <v>Glan Trading Center Construction</v>
          </cell>
        </row>
        <row r="25">
          <cell r="C25" t="str">
            <v>Kapaya Trading Center Construction (7x12m)</v>
          </cell>
        </row>
        <row r="26">
          <cell r="C26" t="str">
            <v>Buluan Trading Center Construction</v>
          </cell>
        </row>
        <row r="27">
          <cell r="C27" t="str">
            <v>Parang Trading Center Construction (7x24m)</v>
          </cell>
        </row>
        <row r="28">
          <cell r="C28" t="str">
            <v>Maitum Trading Center Construction</v>
          </cell>
        </row>
        <row r="29">
          <cell r="C29" t="str">
            <v>Paglat Grains Solar Dryer Construction</v>
          </cell>
        </row>
        <row r="30">
          <cell r="C30" t="str">
            <v>Paglat Community Center Construction</v>
          </cell>
        </row>
        <row r="31">
          <cell r="C31" t="str">
            <v>Upper Idtig Grains Solar Dryer Construction</v>
          </cell>
        </row>
        <row r="32">
          <cell r="C32" t="str">
            <v>Kawas E/S Passenger Waiting Shed (Type II)</v>
          </cell>
        </row>
        <row r="33">
          <cell r="C33" t="str">
            <v xml:space="preserve">Kawas Community Center Construction </v>
          </cell>
        </row>
        <row r="34">
          <cell r="C34" t="str">
            <v>Lumatil Community Center Construction (7x12m)</v>
          </cell>
        </row>
        <row r="35">
          <cell r="C35" t="str">
            <v>Kamanga Trading Center Construction (7x12m)</v>
          </cell>
        </row>
        <row r="36">
          <cell r="C36" t="str">
            <v>Pananag Grains Solar Dryer Construction (1-Unit)</v>
          </cell>
        </row>
        <row r="37">
          <cell r="C37" t="str">
            <v>Punta Polloc Seaweed Solar Dryer Construction</v>
          </cell>
        </row>
        <row r="38">
          <cell r="C38" t="str">
            <v>Buluam District Hospital Passenger Waiting Shed</v>
          </cell>
        </row>
        <row r="39">
          <cell r="C39" t="str">
            <v>Panapan Community Center Construction</v>
          </cell>
        </row>
        <row r="40">
          <cell r="C40" t="str">
            <v>Proper Malinan Grains Solar Dryer Construction</v>
          </cell>
        </row>
        <row r="41">
          <cell r="C41" t="str">
            <v>Lomoyon Grains Solar Dryer Construction</v>
          </cell>
        </row>
        <row r="42">
          <cell r="C42" t="str">
            <v>Kapaya Trading Center Construction</v>
          </cell>
        </row>
        <row r="43">
          <cell r="C43" t="str">
            <v>Buluan Market Passenger Waiting Shed Construction</v>
          </cell>
        </row>
        <row r="44">
          <cell r="C44" t="str">
            <v>Buluan Market Trading Center Construction</v>
          </cell>
        </row>
        <row r="45">
          <cell r="C45" t="e">
            <v>#REF!</v>
          </cell>
        </row>
        <row r="46">
          <cell r="C46" t="str">
            <v>Maslabeng Trading Center Construction</v>
          </cell>
        </row>
        <row r="47">
          <cell r="C47" t="str">
            <v>Kilagasan Grains Solar Dryer Construction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  <row r="98">
          <cell r="C98">
            <v>0</v>
          </cell>
        </row>
        <row r="99">
          <cell r="C99">
            <v>0</v>
          </cell>
        </row>
        <row r="100">
          <cell r="C100">
            <v>0</v>
          </cell>
        </row>
        <row r="101">
          <cell r="C101">
            <v>0</v>
          </cell>
        </row>
        <row r="102">
          <cell r="C102">
            <v>0</v>
          </cell>
        </row>
        <row r="103">
          <cell r="C103">
            <v>0</v>
          </cell>
        </row>
        <row r="104">
          <cell r="C104">
            <v>0</v>
          </cell>
        </row>
        <row r="105">
          <cell r="C105">
            <v>0</v>
          </cell>
        </row>
        <row r="106">
          <cell r="C106">
            <v>0</v>
          </cell>
        </row>
        <row r="107">
          <cell r="C107">
            <v>0</v>
          </cell>
        </row>
        <row r="108">
          <cell r="C108">
            <v>0</v>
          </cell>
        </row>
        <row r="109">
          <cell r="C109">
            <v>0</v>
          </cell>
        </row>
        <row r="110">
          <cell r="C110">
            <v>0</v>
          </cell>
        </row>
        <row r="111">
          <cell r="C111">
            <v>0</v>
          </cell>
        </row>
        <row r="112">
          <cell r="C112">
            <v>0</v>
          </cell>
        </row>
        <row r="113">
          <cell r="C113">
            <v>0</v>
          </cell>
        </row>
        <row r="114">
          <cell r="C114">
            <v>0</v>
          </cell>
        </row>
        <row r="115">
          <cell r="C115">
            <v>0</v>
          </cell>
        </row>
        <row r="116">
          <cell r="C116">
            <v>0</v>
          </cell>
        </row>
        <row r="117">
          <cell r="C117">
            <v>0</v>
          </cell>
        </row>
        <row r="118">
          <cell r="C118">
            <v>0</v>
          </cell>
        </row>
        <row r="119">
          <cell r="C119">
            <v>0</v>
          </cell>
        </row>
        <row r="120">
          <cell r="C120">
            <v>0</v>
          </cell>
        </row>
        <row r="121">
          <cell r="C121">
            <v>0</v>
          </cell>
        </row>
        <row r="122">
          <cell r="C122">
            <v>0</v>
          </cell>
        </row>
        <row r="123">
          <cell r="C123">
            <v>0</v>
          </cell>
        </row>
        <row r="124">
          <cell r="C124">
            <v>0</v>
          </cell>
        </row>
        <row r="125">
          <cell r="C125">
            <v>0</v>
          </cell>
        </row>
        <row r="126">
          <cell r="C126">
            <v>0</v>
          </cell>
        </row>
        <row r="127">
          <cell r="C127">
            <v>0</v>
          </cell>
        </row>
        <row r="128">
          <cell r="C128">
            <v>0</v>
          </cell>
        </row>
        <row r="129">
          <cell r="C129">
            <v>0</v>
          </cell>
        </row>
        <row r="130">
          <cell r="C130">
            <v>0</v>
          </cell>
        </row>
        <row r="131">
          <cell r="C131">
            <v>0</v>
          </cell>
        </row>
        <row r="132">
          <cell r="C132">
            <v>0</v>
          </cell>
        </row>
        <row r="133">
          <cell r="C133">
            <v>0</v>
          </cell>
        </row>
        <row r="134">
          <cell r="C134">
            <v>0</v>
          </cell>
        </row>
        <row r="135">
          <cell r="C135">
            <v>0</v>
          </cell>
        </row>
        <row r="136">
          <cell r="C136">
            <v>0</v>
          </cell>
        </row>
        <row r="137">
          <cell r="C137">
            <v>0</v>
          </cell>
        </row>
        <row r="138">
          <cell r="C138">
            <v>0</v>
          </cell>
        </row>
        <row r="139">
          <cell r="C139">
            <v>0</v>
          </cell>
        </row>
        <row r="140">
          <cell r="C140">
            <v>0</v>
          </cell>
        </row>
        <row r="141">
          <cell r="C141">
            <v>0</v>
          </cell>
        </row>
        <row r="142">
          <cell r="C142">
            <v>0</v>
          </cell>
        </row>
        <row r="143">
          <cell r="C143">
            <v>0</v>
          </cell>
        </row>
        <row r="144">
          <cell r="C144">
            <v>0</v>
          </cell>
        </row>
        <row r="145">
          <cell r="C145">
            <v>0</v>
          </cell>
        </row>
        <row r="146">
          <cell r="C146">
            <v>0</v>
          </cell>
        </row>
        <row r="147">
          <cell r="C147">
            <v>0</v>
          </cell>
        </row>
        <row r="148">
          <cell r="C148">
            <v>0</v>
          </cell>
        </row>
        <row r="149">
          <cell r="C149">
            <v>0</v>
          </cell>
        </row>
        <row r="150">
          <cell r="C150">
            <v>0</v>
          </cell>
        </row>
        <row r="151">
          <cell r="C151">
            <v>0</v>
          </cell>
        </row>
        <row r="152">
          <cell r="C152">
            <v>0</v>
          </cell>
        </row>
        <row r="153">
          <cell r="C153">
            <v>0</v>
          </cell>
        </row>
        <row r="154">
          <cell r="C154">
            <v>0</v>
          </cell>
        </row>
        <row r="155">
          <cell r="C155">
            <v>0</v>
          </cell>
        </row>
        <row r="156">
          <cell r="C156">
            <v>0</v>
          </cell>
        </row>
        <row r="157">
          <cell r="C157">
            <v>0</v>
          </cell>
        </row>
        <row r="158">
          <cell r="C158">
            <v>0</v>
          </cell>
        </row>
        <row r="159">
          <cell r="C159">
            <v>0</v>
          </cell>
        </row>
        <row r="160">
          <cell r="C160">
            <v>0</v>
          </cell>
        </row>
        <row r="161">
          <cell r="C161">
            <v>0</v>
          </cell>
        </row>
        <row r="162">
          <cell r="C162">
            <v>0</v>
          </cell>
        </row>
        <row r="163">
          <cell r="C163">
            <v>0</v>
          </cell>
        </row>
        <row r="164">
          <cell r="C164">
            <v>0</v>
          </cell>
        </row>
        <row r="165">
          <cell r="C165">
            <v>0</v>
          </cell>
        </row>
        <row r="166">
          <cell r="C166">
            <v>0</v>
          </cell>
        </row>
        <row r="167">
          <cell r="C167">
            <v>0</v>
          </cell>
        </row>
        <row r="168">
          <cell r="C168">
            <v>0</v>
          </cell>
        </row>
        <row r="169">
          <cell r="C169">
            <v>0</v>
          </cell>
        </row>
        <row r="170">
          <cell r="C170">
            <v>0</v>
          </cell>
        </row>
        <row r="171">
          <cell r="C171">
            <v>0</v>
          </cell>
        </row>
        <row r="172">
          <cell r="C172">
            <v>0</v>
          </cell>
        </row>
        <row r="173">
          <cell r="C173">
            <v>0</v>
          </cell>
        </row>
        <row r="174">
          <cell r="C174">
            <v>0</v>
          </cell>
        </row>
        <row r="175">
          <cell r="C175">
            <v>0</v>
          </cell>
        </row>
        <row r="176">
          <cell r="C176">
            <v>0</v>
          </cell>
        </row>
        <row r="177">
          <cell r="C177">
            <v>0</v>
          </cell>
        </row>
        <row r="178">
          <cell r="C178">
            <v>0</v>
          </cell>
        </row>
        <row r="179">
          <cell r="C179">
            <v>0</v>
          </cell>
        </row>
        <row r="180">
          <cell r="C180">
            <v>0</v>
          </cell>
        </row>
        <row r="181">
          <cell r="C181">
            <v>0</v>
          </cell>
        </row>
        <row r="182">
          <cell r="C182">
            <v>0</v>
          </cell>
        </row>
        <row r="183">
          <cell r="C183">
            <v>0</v>
          </cell>
        </row>
        <row r="184">
          <cell r="C184">
            <v>0</v>
          </cell>
        </row>
        <row r="185">
          <cell r="C185">
            <v>0</v>
          </cell>
        </row>
        <row r="186">
          <cell r="C186">
            <v>0</v>
          </cell>
        </row>
        <row r="187">
          <cell r="C187">
            <v>0</v>
          </cell>
        </row>
        <row r="188">
          <cell r="C188">
            <v>0</v>
          </cell>
        </row>
        <row r="189">
          <cell r="C189">
            <v>0</v>
          </cell>
        </row>
        <row r="190">
          <cell r="C190">
            <v>0</v>
          </cell>
        </row>
        <row r="191">
          <cell r="C191">
            <v>0</v>
          </cell>
        </row>
        <row r="192">
          <cell r="C192">
            <v>0</v>
          </cell>
        </row>
        <row r="193">
          <cell r="C193">
            <v>0</v>
          </cell>
        </row>
        <row r="194">
          <cell r="C194">
            <v>0</v>
          </cell>
        </row>
        <row r="195">
          <cell r="C195">
            <v>0</v>
          </cell>
        </row>
        <row r="196">
          <cell r="C196">
            <v>0</v>
          </cell>
        </row>
        <row r="197">
          <cell r="C197">
            <v>0</v>
          </cell>
        </row>
        <row r="198">
          <cell r="C198">
            <v>0</v>
          </cell>
        </row>
        <row r="199">
          <cell r="C199">
            <v>0</v>
          </cell>
        </row>
        <row r="200">
          <cell r="C200">
            <v>0</v>
          </cell>
        </row>
        <row r="201">
          <cell r="C201">
            <v>0</v>
          </cell>
        </row>
        <row r="202">
          <cell r="C202">
            <v>0</v>
          </cell>
        </row>
        <row r="203">
          <cell r="C203">
            <v>0</v>
          </cell>
        </row>
        <row r="204">
          <cell r="C204">
            <v>0</v>
          </cell>
        </row>
        <row r="205">
          <cell r="C205">
            <v>0</v>
          </cell>
        </row>
        <row r="206">
          <cell r="C206">
            <v>0</v>
          </cell>
        </row>
        <row r="207">
          <cell r="C207">
            <v>0</v>
          </cell>
        </row>
        <row r="208">
          <cell r="C208">
            <v>0</v>
          </cell>
        </row>
        <row r="209">
          <cell r="C209">
            <v>0</v>
          </cell>
        </row>
        <row r="210">
          <cell r="C210">
            <v>0</v>
          </cell>
        </row>
        <row r="211">
          <cell r="C211">
            <v>0</v>
          </cell>
        </row>
        <row r="212">
          <cell r="C212">
            <v>0</v>
          </cell>
        </row>
        <row r="213">
          <cell r="C213">
            <v>0</v>
          </cell>
        </row>
        <row r="214">
          <cell r="C214">
            <v>0</v>
          </cell>
        </row>
        <row r="215">
          <cell r="C215">
            <v>0</v>
          </cell>
        </row>
        <row r="216">
          <cell r="C216">
            <v>0</v>
          </cell>
        </row>
        <row r="217">
          <cell r="C217">
            <v>0</v>
          </cell>
        </row>
        <row r="218">
          <cell r="C218">
            <v>0</v>
          </cell>
        </row>
        <row r="219">
          <cell r="C219">
            <v>0</v>
          </cell>
        </row>
        <row r="220">
          <cell r="C220">
            <v>0</v>
          </cell>
        </row>
        <row r="221">
          <cell r="C221">
            <v>0</v>
          </cell>
        </row>
        <row r="222">
          <cell r="C222">
            <v>0</v>
          </cell>
        </row>
        <row r="223">
          <cell r="C223">
            <v>0</v>
          </cell>
        </row>
        <row r="224">
          <cell r="C224">
            <v>0</v>
          </cell>
        </row>
        <row r="225">
          <cell r="C225">
            <v>0</v>
          </cell>
        </row>
        <row r="226">
          <cell r="C226">
            <v>0</v>
          </cell>
        </row>
        <row r="227">
          <cell r="C227">
            <v>0</v>
          </cell>
        </row>
        <row r="228">
          <cell r="C228">
            <v>0</v>
          </cell>
        </row>
        <row r="229">
          <cell r="C229">
            <v>0</v>
          </cell>
        </row>
        <row r="230">
          <cell r="C230">
            <v>0</v>
          </cell>
        </row>
        <row r="231">
          <cell r="C231">
            <v>0</v>
          </cell>
        </row>
        <row r="232">
          <cell r="C232">
            <v>0</v>
          </cell>
        </row>
        <row r="233">
          <cell r="C233">
            <v>0</v>
          </cell>
        </row>
        <row r="234">
          <cell r="C234">
            <v>0</v>
          </cell>
        </row>
        <row r="235">
          <cell r="C235">
            <v>0</v>
          </cell>
        </row>
        <row r="236">
          <cell r="C236">
            <v>0</v>
          </cell>
        </row>
        <row r="237">
          <cell r="C237">
            <v>0</v>
          </cell>
        </row>
        <row r="238">
          <cell r="C238">
            <v>0</v>
          </cell>
        </row>
        <row r="239">
          <cell r="C239">
            <v>0</v>
          </cell>
        </row>
        <row r="240">
          <cell r="C240">
            <v>0</v>
          </cell>
        </row>
        <row r="241">
          <cell r="C241">
            <v>0</v>
          </cell>
        </row>
        <row r="242">
          <cell r="C242">
            <v>0</v>
          </cell>
        </row>
        <row r="243">
          <cell r="C243">
            <v>0</v>
          </cell>
        </row>
        <row r="244">
          <cell r="C244">
            <v>0</v>
          </cell>
        </row>
        <row r="245">
          <cell r="C245">
            <v>0</v>
          </cell>
        </row>
        <row r="246">
          <cell r="C246">
            <v>0</v>
          </cell>
        </row>
        <row r="247">
          <cell r="C247">
            <v>0</v>
          </cell>
        </row>
        <row r="248">
          <cell r="C248">
            <v>0</v>
          </cell>
        </row>
        <row r="249">
          <cell r="C249">
            <v>0</v>
          </cell>
        </row>
        <row r="250">
          <cell r="C250">
            <v>0</v>
          </cell>
        </row>
        <row r="251">
          <cell r="C251">
            <v>0</v>
          </cell>
        </row>
        <row r="252">
          <cell r="C252">
            <v>0</v>
          </cell>
        </row>
        <row r="253">
          <cell r="C253">
            <v>0</v>
          </cell>
        </row>
        <row r="254">
          <cell r="C254">
            <v>0</v>
          </cell>
        </row>
        <row r="255">
          <cell r="C255">
            <v>0</v>
          </cell>
        </row>
        <row r="256">
          <cell r="C256">
            <v>0</v>
          </cell>
        </row>
        <row r="257">
          <cell r="C257">
            <v>0</v>
          </cell>
        </row>
        <row r="258">
          <cell r="C258">
            <v>0</v>
          </cell>
        </row>
        <row r="259">
          <cell r="C259">
            <v>0</v>
          </cell>
        </row>
        <row r="260">
          <cell r="C260">
            <v>0</v>
          </cell>
        </row>
        <row r="261">
          <cell r="C261">
            <v>0</v>
          </cell>
        </row>
        <row r="262">
          <cell r="C262">
            <v>0</v>
          </cell>
        </row>
        <row r="263">
          <cell r="C263">
            <v>0</v>
          </cell>
        </row>
        <row r="264">
          <cell r="C264">
            <v>0</v>
          </cell>
        </row>
        <row r="265">
          <cell r="C265">
            <v>0</v>
          </cell>
        </row>
        <row r="266">
          <cell r="C266">
            <v>0</v>
          </cell>
        </row>
        <row r="267">
          <cell r="C267">
            <v>0</v>
          </cell>
        </row>
        <row r="268">
          <cell r="C268">
            <v>0</v>
          </cell>
        </row>
        <row r="269">
          <cell r="C269">
            <v>0</v>
          </cell>
        </row>
        <row r="270">
          <cell r="C270">
            <v>0</v>
          </cell>
        </row>
        <row r="271">
          <cell r="C271">
            <v>0</v>
          </cell>
        </row>
        <row r="272">
          <cell r="C272">
            <v>0</v>
          </cell>
        </row>
        <row r="273">
          <cell r="C273">
            <v>0</v>
          </cell>
        </row>
        <row r="274">
          <cell r="C274">
            <v>0</v>
          </cell>
        </row>
        <row r="275">
          <cell r="C275">
            <v>0</v>
          </cell>
        </row>
        <row r="276">
          <cell r="C276">
            <v>0</v>
          </cell>
        </row>
        <row r="277">
          <cell r="C277">
            <v>0</v>
          </cell>
        </row>
        <row r="278">
          <cell r="C278">
            <v>0</v>
          </cell>
        </row>
        <row r="279">
          <cell r="C279">
            <v>0</v>
          </cell>
        </row>
        <row r="280">
          <cell r="C280">
            <v>0</v>
          </cell>
        </row>
        <row r="281">
          <cell r="C281">
            <v>0</v>
          </cell>
        </row>
        <row r="282">
          <cell r="C282">
            <v>0</v>
          </cell>
        </row>
        <row r="283">
          <cell r="C283">
            <v>0</v>
          </cell>
        </row>
        <row r="284">
          <cell r="C284">
            <v>0</v>
          </cell>
        </row>
        <row r="285">
          <cell r="C285">
            <v>0</v>
          </cell>
        </row>
        <row r="286">
          <cell r="C286">
            <v>0</v>
          </cell>
        </row>
        <row r="287">
          <cell r="C287">
            <v>0</v>
          </cell>
        </row>
        <row r="288">
          <cell r="C288">
            <v>0</v>
          </cell>
        </row>
        <row r="289">
          <cell r="C289">
            <v>0</v>
          </cell>
        </row>
        <row r="290">
          <cell r="C290">
            <v>0</v>
          </cell>
        </row>
        <row r="291">
          <cell r="C291">
            <v>0</v>
          </cell>
        </row>
        <row r="292">
          <cell r="C292">
            <v>0</v>
          </cell>
        </row>
        <row r="293">
          <cell r="C293">
            <v>0</v>
          </cell>
        </row>
        <row r="294">
          <cell r="C294">
            <v>0</v>
          </cell>
        </row>
        <row r="295">
          <cell r="C295">
            <v>0</v>
          </cell>
        </row>
        <row r="296">
          <cell r="C296">
            <v>0</v>
          </cell>
        </row>
        <row r="297">
          <cell r="C297">
            <v>0</v>
          </cell>
        </row>
        <row r="298">
          <cell r="C298">
            <v>0</v>
          </cell>
        </row>
        <row r="299">
          <cell r="C299">
            <v>0</v>
          </cell>
        </row>
        <row r="300">
          <cell r="C300">
            <v>0</v>
          </cell>
        </row>
        <row r="301">
          <cell r="C301">
            <v>0</v>
          </cell>
        </row>
        <row r="302">
          <cell r="C302">
            <v>0</v>
          </cell>
        </row>
        <row r="303">
          <cell r="C303">
            <v>0</v>
          </cell>
        </row>
        <row r="304">
          <cell r="C304">
            <v>0</v>
          </cell>
        </row>
        <row r="305">
          <cell r="C305">
            <v>0</v>
          </cell>
        </row>
        <row r="306">
          <cell r="C306">
            <v>0</v>
          </cell>
        </row>
        <row r="307">
          <cell r="C307">
            <v>0</v>
          </cell>
        </row>
        <row r="308">
          <cell r="C308">
            <v>0</v>
          </cell>
        </row>
        <row r="309">
          <cell r="C309">
            <v>0</v>
          </cell>
        </row>
        <row r="310">
          <cell r="C310">
            <v>0</v>
          </cell>
        </row>
        <row r="311">
          <cell r="C311">
            <v>0</v>
          </cell>
        </row>
        <row r="312">
          <cell r="C312">
            <v>0</v>
          </cell>
        </row>
        <row r="313">
          <cell r="C313">
            <v>0</v>
          </cell>
        </row>
        <row r="314">
          <cell r="C314">
            <v>0</v>
          </cell>
        </row>
        <row r="315">
          <cell r="C315">
            <v>0</v>
          </cell>
        </row>
        <row r="316">
          <cell r="C316">
            <v>0</v>
          </cell>
        </row>
        <row r="317">
          <cell r="C317">
            <v>0</v>
          </cell>
        </row>
        <row r="318">
          <cell r="C318">
            <v>0</v>
          </cell>
        </row>
        <row r="319">
          <cell r="C319">
            <v>0</v>
          </cell>
        </row>
        <row r="320">
          <cell r="C320">
            <v>0</v>
          </cell>
        </row>
        <row r="321">
          <cell r="C321">
            <v>0</v>
          </cell>
        </row>
        <row r="322">
          <cell r="C322">
            <v>0</v>
          </cell>
        </row>
        <row r="323">
          <cell r="C323">
            <v>0</v>
          </cell>
        </row>
        <row r="324">
          <cell r="C324">
            <v>0</v>
          </cell>
        </row>
        <row r="325">
          <cell r="C325">
            <v>0</v>
          </cell>
        </row>
        <row r="326">
          <cell r="C326">
            <v>0</v>
          </cell>
        </row>
        <row r="327">
          <cell r="C327">
            <v>0</v>
          </cell>
        </row>
        <row r="328">
          <cell r="C328">
            <v>0</v>
          </cell>
        </row>
        <row r="329">
          <cell r="C329">
            <v>0</v>
          </cell>
        </row>
        <row r="330">
          <cell r="C330">
            <v>0</v>
          </cell>
        </row>
        <row r="331">
          <cell r="C331">
            <v>0</v>
          </cell>
        </row>
        <row r="332">
          <cell r="C332">
            <v>0</v>
          </cell>
        </row>
        <row r="333">
          <cell r="C333">
            <v>0</v>
          </cell>
        </row>
        <row r="334">
          <cell r="C334">
            <v>0</v>
          </cell>
        </row>
        <row r="335">
          <cell r="C335">
            <v>0</v>
          </cell>
        </row>
        <row r="336">
          <cell r="C336">
            <v>0</v>
          </cell>
        </row>
        <row r="337">
          <cell r="C337">
            <v>0</v>
          </cell>
        </row>
        <row r="338">
          <cell r="C338">
            <v>0</v>
          </cell>
        </row>
        <row r="339">
          <cell r="C339">
            <v>0</v>
          </cell>
        </row>
        <row r="340">
          <cell r="C340">
            <v>0</v>
          </cell>
        </row>
        <row r="341">
          <cell r="C341">
            <v>0</v>
          </cell>
        </row>
        <row r="342">
          <cell r="C342">
            <v>0</v>
          </cell>
        </row>
        <row r="343">
          <cell r="C343">
            <v>0</v>
          </cell>
        </row>
        <row r="344">
          <cell r="C344">
            <v>0</v>
          </cell>
        </row>
        <row r="345">
          <cell r="C345">
            <v>0</v>
          </cell>
        </row>
        <row r="346">
          <cell r="C346">
            <v>0</v>
          </cell>
        </row>
        <row r="347">
          <cell r="C347">
            <v>0</v>
          </cell>
        </row>
        <row r="348">
          <cell r="C348">
            <v>0</v>
          </cell>
        </row>
        <row r="349">
          <cell r="C349">
            <v>0</v>
          </cell>
        </row>
        <row r="350">
          <cell r="C350">
            <v>0</v>
          </cell>
        </row>
        <row r="351">
          <cell r="C351">
            <v>0</v>
          </cell>
        </row>
        <row r="352">
          <cell r="C352">
            <v>0</v>
          </cell>
        </row>
        <row r="353">
          <cell r="C353">
            <v>0</v>
          </cell>
        </row>
        <row r="354">
          <cell r="C354">
            <v>0</v>
          </cell>
        </row>
        <row r="355">
          <cell r="C355">
            <v>0</v>
          </cell>
        </row>
        <row r="356">
          <cell r="C356">
            <v>0</v>
          </cell>
        </row>
        <row r="357">
          <cell r="C357">
            <v>0</v>
          </cell>
        </row>
        <row r="358">
          <cell r="C358">
            <v>0</v>
          </cell>
        </row>
        <row r="359">
          <cell r="C359">
            <v>0</v>
          </cell>
        </row>
        <row r="360">
          <cell r="C360">
            <v>0</v>
          </cell>
        </row>
        <row r="361">
          <cell r="C361">
            <v>0</v>
          </cell>
        </row>
        <row r="362">
          <cell r="C362">
            <v>0</v>
          </cell>
        </row>
        <row r="363">
          <cell r="C363">
            <v>0</v>
          </cell>
        </row>
        <row r="364">
          <cell r="C364">
            <v>0</v>
          </cell>
        </row>
        <row r="365">
          <cell r="C365">
            <v>0</v>
          </cell>
        </row>
        <row r="366">
          <cell r="C366">
            <v>0</v>
          </cell>
        </row>
        <row r="367">
          <cell r="C367">
            <v>0</v>
          </cell>
        </row>
        <row r="368">
          <cell r="C368">
            <v>0</v>
          </cell>
        </row>
        <row r="369">
          <cell r="C369">
            <v>0</v>
          </cell>
        </row>
        <row r="370">
          <cell r="C370">
            <v>0</v>
          </cell>
        </row>
        <row r="371">
          <cell r="C371">
            <v>0</v>
          </cell>
        </row>
        <row r="372">
          <cell r="C372">
            <v>0</v>
          </cell>
        </row>
        <row r="373">
          <cell r="C373">
            <v>0</v>
          </cell>
        </row>
        <row r="374">
          <cell r="C374">
            <v>0</v>
          </cell>
        </row>
        <row r="375">
          <cell r="C375">
            <v>0</v>
          </cell>
        </row>
        <row r="376">
          <cell r="C376">
            <v>0</v>
          </cell>
        </row>
        <row r="377">
          <cell r="C377">
            <v>0</v>
          </cell>
        </row>
        <row r="378">
          <cell r="C378">
            <v>0</v>
          </cell>
        </row>
        <row r="379">
          <cell r="C379">
            <v>0</v>
          </cell>
        </row>
        <row r="380">
          <cell r="C380">
            <v>0</v>
          </cell>
        </row>
        <row r="381">
          <cell r="C381">
            <v>0</v>
          </cell>
        </row>
        <row r="382">
          <cell r="C382">
            <v>0</v>
          </cell>
        </row>
        <row r="383">
          <cell r="C383">
            <v>0</v>
          </cell>
        </row>
        <row r="384">
          <cell r="C384">
            <v>0</v>
          </cell>
        </row>
        <row r="385">
          <cell r="C385">
            <v>0</v>
          </cell>
        </row>
        <row r="386">
          <cell r="C386">
            <v>0</v>
          </cell>
        </row>
        <row r="387">
          <cell r="C387">
            <v>0</v>
          </cell>
        </row>
        <row r="388">
          <cell r="C388">
            <v>0</v>
          </cell>
        </row>
        <row r="389">
          <cell r="C389">
            <v>0</v>
          </cell>
        </row>
        <row r="390">
          <cell r="C390">
            <v>0</v>
          </cell>
        </row>
        <row r="391">
          <cell r="C391">
            <v>0</v>
          </cell>
        </row>
        <row r="392">
          <cell r="C392">
            <v>0</v>
          </cell>
        </row>
        <row r="393">
          <cell r="C393">
            <v>0</v>
          </cell>
        </row>
        <row r="394">
          <cell r="C394">
            <v>0</v>
          </cell>
        </row>
        <row r="395">
          <cell r="C395">
            <v>0</v>
          </cell>
        </row>
        <row r="396">
          <cell r="C396">
            <v>0</v>
          </cell>
        </row>
        <row r="397">
          <cell r="C397">
            <v>0</v>
          </cell>
        </row>
        <row r="398">
          <cell r="C398">
            <v>0</v>
          </cell>
        </row>
        <row r="399">
          <cell r="C399">
            <v>0</v>
          </cell>
        </row>
        <row r="400">
          <cell r="C400">
            <v>0</v>
          </cell>
        </row>
        <row r="401">
          <cell r="C401">
            <v>0</v>
          </cell>
        </row>
        <row r="402">
          <cell r="C402">
            <v>0</v>
          </cell>
        </row>
        <row r="403">
          <cell r="C403">
            <v>0</v>
          </cell>
        </row>
        <row r="404">
          <cell r="C404">
            <v>0</v>
          </cell>
        </row>
        <row r="405">
          <cell r="C405">
            <v>0</v>
          </cell>
        </row>
        <row r="406">
          <cell r="C406">
            <v>0</v>
          </cell>
        </row>
        <row r="407">
          <cell r="C407">
            <v>0</v>
          </cell>
        </row>
        <row r="408">
          <cell r="C408">
            <v>0</v>
          </cell>
        </row>
        <row r="409">
          <cell r="C409">
            <v>0</v>
          </cell>
        </row>
        <row r="410">
          <cell r="C410">
            <v>0</v>
          </cell>
        </row>
        <row r="411">
          <cell r="C411">
            <v>0</v>
          </cell>
        </row>
        <row r="412">
          <cell r="C412">
            <v>0</v>
          </cell>
        </row>
        <row r="413">
          <cell r="C413">
            <v>0</v>
          </cell>
        </row>
        <row r="414">
          <cell r="C414">
            <v>0</v>
          </cell>
        </row>
        <row r="415">
          <cell r="C415">
            <v>0</v>
          </cell>
        </row>
        <row r="416">
          <cell r="C416">
            <v>0</v>
          </cell>
        </row>
        <row r="417">
          <cell r="C417">
            <v>0</v>
          </cell>
        </row>
        <row r="418">
          <cell r="C418">
            <v>0</v>
          </cell>
        </row>
        <row r="419">
          <cell r="C419">
            <v>0</v>
          </cell>
        </row>
        <row r="420">
          <cell r="C420">
            <v>0</v>
          </cell>
        </row>
        <row r="421">
          <cell r="C421">
            <v>0</v>
          </cell>
        </row>
        <row r="422">
          <cell r="C422">
            <v>0</v>
          </cell>
        </row>
        <row r="423">
          <cell r="C423">
            <v>0</v>
          </cell>
        </row>
        <row r="424">
          <cell r="C424">
            <v>0</v>
          </cell>
        </row>
        <row r="425">
          <cell r="C425">
            <v>0</v>
          </cell>
        </row>
        <row r="426">
          <cell r="C426">
            <v>0</v>
          </cell>
        </row>
        <row r="427">
          <cell r="C427">
            <v>0</v>
          </cell>
        </row>
        <row r="428">
          <cell r="C428">
            <v>0</v>
          </cell>
        </row>
        <row r="429">
          <cell r="C429">
            <v>0</v>
          </cell>
        </row>
        <row r="430">
          <cell r="C430">
            <v>0</v>
          </cell>
        </row>
        <row r="431">
          <cell r="C431">
            <v>0</v>
          </cell>
        </row>
        <row r="432">
          <cell r="C432">
            <v>0</v>
          </cell>
        </row>
        <row r="433">
          <cell r="C433">
            <v>0</v>
          </cell>
        </row>
        <row r="434">
          <cell r="C434">
            <v>0</v>
          </cell>
        </row>
        <row r="435">
          <cell r="C435">
            <v>0</v>
          </cell>
        </row>
        <row r="436">
          <cell r="C436">
            <v>0</v>
          </cell>
        </row>
        <row r="437">
          <cell r="C437">
            <v>0</v>
          </cell>
        </row>
        <row r="438">
          <cell r="C438">
            <v>0</v>
          </cell>
        </row>
        <row r="439">
          <cell r="C439">
            <v>0</v>
          </cell>
        </row>
        <row r="440">
          <cell r="C440">
            <v>0</v>
          </cell>
        </row>
        <row r="441">
          <cell r="C441">
            <v>0</v>
          </cell>
        </row>
        <row r="442">
          <cell r="C442">
            <v>0</v>
          </cell>
        </row>
        <row r="443">
          <cell r="C443">
            <v>0</v>
          </cell>
        </row>
        <row r="444">
          <cell r="C444">
            <v>0</v>
          </cell>
        </row>
        <row r="445">
          <cell r="C445">
            <v>0</v>
          </cell>
        </row>
        <row r="446">
          <cell r="C446">
            <v>0</v>
          </cell>
        </row>
        <row r="447">
          <cell r="C447">
            <v>0</v>
          </cell>
        </row>
        <row r="448">
          <cell r="C448">
            <v>0</v>
          </cell>
        </row>
        <row r="449">
          <cell r="C449">
            <v>0</v>
          </cell>
        </row>
        <row r="450">
          <cell r="C450">
            <v>0</v>
          </cell>
        </row>
        <row r="451">
          <cell r="C451">
            <v>0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0</v>
          </cell>
        </row>
        <row r="456">
          <cell r="C456">
            <v>0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0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0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0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0</v>
          </cell>
        </row>
        <row r="478">
          <cell r="C478">
            <v>0</v>
          </cell>
        </row>
        <row r="479">
          <cell r="C479">
            <v>0</v>
          </cell>
        </row>
        <row r="480">
          <cell r="C480">
            <v>0</v>
          </cell>
        </row>
        <row r="481">
          <cell r="C481">
            <v>0</v>
          </cell>
        </row>
        <row r="482">
          <cell r="C482">
            <v>0</v>
          </cell>
        </row>
        <row r="483">
          <cell r="C483">
            <v>0</v>
          </cell>
        </row>
        <row r="484">
          <cell r="C484">
            <v>0</v>
          </cell>
        </row>
        <row r="485">
          <cell r="C485">
            <v>0</v>
          </cell>
        </row>
        <row r="486">
          <cell r="C486">
            <v>0</v>
          </cell>
        </row>
        <row r="487">
          <cell r="C487">
            <v>0</v>
          </cell>
        </row>
        <row r="488">
          <cell r="C488">
            <v>0</v>
          </cell>
        </row>
        <row r="489">
          <cell r="C489">
            <v>0</v>
          </cell>
        </row>
        <row r="490">
          <cell r="C490">
            <v>0</v>
          </cell>
        </row>
        <row r="491">
          <cell r="C491">
            <v>0</v>
          </cell>
        </row>
        <row r="492">
          <cell r="C492">
            <v>0</v>
          </cell>
        </row>
        <row r="493">
          <cell r="C493">
            <v>0</v>
          </cell>
        </row>
        <row r="494">
          <cell r="C494">
            <v>0</v>
          </cell>
        </row>
        <row r="495">
          <cell r="C495">
            <v>0</v>
          </cell>
        </row>
        <row r="496">
          <cell r="C496">
            <v>0</v>
          </cell>
        </row>
        <row r="497">
          <cell r="C497">
            <v>0</v>
          </cell>
        </row>
        <row r="498">
          <cell r="C498">
            <v>0</v>
          </cell>
        </row>
        <row r="499">
          <cell r="C499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OLOD RENTAL RATES"/>
      <sheetName val="Equipment Rental ACEL"/>
      <sheetName val="ACEL"/>
      <sheetName val="Sourc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"/>
      <sheetName val="Overflow"/>
      <sheetName val="bridge"/>
      <sheetName val="Front Page"/>
      <sheetName val="2nd Page"/>
      <sheetName val="FC"/>
      <sheetName val="SAFETY"/>
      <sheetName val="tma"/>
      <sheetName val="bilboard"/>
    </sheetNames>
    <sheetDataSet>
      <sheetData sheetId="0" refreshError="1">
        <row r="40">
          <cell r="H40">
            <v>281</v>
          </cell>
        </row>
        <row r="41">
          <cell r="H41">
            <v>7700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A"/>
      <sheetName val="list B"/>
      <sheetName val="Source"/>
      <sheetName val="summary"/>
      <sheetName val="FRONT PAGE"/>
      <sheetName val="ABC"/>
      <sheetName val="tma ups"/>
      <sheetName val="2ND PAGE"/>
      <sheetName val="104(1)"/>
      <sheetName val="104(2)"/>
      <sheetName val="404 ups"/>
      <sheetName val="405 ups"/>
      <sheetName val="505(5)"/>
      <sheetName val="506"/>
      <sheetName val="102(2) ups"/>
      <sheetName val="tma cement"/>
      <sheetName val="507 ups"/>
      <sheetName val="509 ups"/>
      <sheetName val="boulders ups"/>
      <sheetName val="desilting"/>
      <sheetName val="tma desilting"/>
      <sheetName val="mob.&amp; dem."/>
      <sheetName val="traffic control"/>
      <sheetName val="safety 2"/>
      <sheetName val="BILLBOARD2"/>
      <sheetName val="TEMFACIL"/>
      <sheetName val="CAMPHOUSE 6 X6"/>
      <sheetName val="BAC"/>
      <sheetName val="tma FC"/>
      <sheetName val="TMA 1"/>
      <sheetName val="bare month equip"/>
      <sheetName val="bar chart"/>
      <sheetName val="working days"/>
      <sheetName val="Sheet3"/>
      <sheetName val="Sheet1"/>
      <sheetName val="BACOLOD RENTAL RATES"/>
    </sheetNames>
    <sheetDataSet>
      <sheetData sheetId="0" refreshError="1"/>
      <sheetData sheetId="1" refreshError="1"/>
      <sheetData sheetId="2" refreshError="1">
        <row r="6">
          <cell r="G6">
            <v>675</v>
          </cell>
        </row>
        <row r="9">
          <cell r="G9">
            <v>1994</v>
          </cell>
        </row>
        <row r="11">
          <cell r="G11">
            <v>281.25</v>
          </cell>
        </row>
        <row r="14">
          <cell r="G14">
            <v>3985</v>
          </cell>
        </row>
        <row r="18">
          <cell r="G18">
            <v>190</v>
          </cell>
        </row>
        <row r="19">
          <cell r="F19">
            <v>142.75</v>
          </cell>
        </row>
        <row r="23">
          <cell r="G23">
            <v>2482</v>
          </cell>
        </row>
        <row r="26">
          <cell r="G26">
            <v>1352</v>
          </cell>
        </row>
        <row r="27">
          <cell r="G27">
            <v>597</v>
          </cell>
        </row>
        <row r="28">
          <cell r="F28">
            <v>321.91000000000003</v>
          </cell>
        </row>
        <row r="29">
          <cell r="G29">
            <v>218.63</v>
          </cell>
        </row>
        <row r="39">
          <cell r="G39">
            <v>1906</v>
          </cell>
        </row>
        <row r="41">
          <cell r="G41">
            <v>622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A"/>
      <sheetName val="list B"/>
      <sheetName val="Source"/>
      <sheetName val="summary"/>
      <sheetName val="FRONT PAGE"/>
      <sheetName val="ABC"/>
      <sheetName val="tma ups"/>
      <sheetName val="2ND PAGE"/>
      <sheetName val="104(1)"/>
      <sheetName val="104(2)"/>
      <sheetName val="404 ups"/>
      <sheetName val="405 ups"/>
      <sheetName val="505(5)"/>
      <sheetName val="506"/>
      <sheetName val="102(2) ups"/>
      <sheetName val="tma cement"/>
      <sheetName val="507 ups"/>
      <sheetName val="509 ups"/>
      <sheetName val="boulders ups"/>
      <sheetName val="desilting"/>
      <sheetName val="tma desilting"/>
      <sheetName val="mob.&amp; dem."/>
      <sheetName val="traffic control"/>
      <sheetName val="safety 2"/>
      <sheetName val="BILLBOARD2"/>
      <sheetName val="TEMFACIL"/>
      <sheetName val="CAMPHOUSE 6 X6"/>
      <sheetName val="BAC"/>
      <sheetName val="tma FC"/>
      <sheetName val="TMA 1"/>
      <sheetName val="bare month equip"/>
      <sheetName val="bar chart"/>
      <sheetName val="working days"/>
      <sheetName val="Sheet3"/>
      <sheetName val="Sheet1"/>
      <sheetName val="BACOLOD RENTAL RATES"/>
    </sheetNames>
    <sheetDataSet>
      <sheetData sheetId="0" refreshError="1"/>
      <sheetData sheetId="1" refreshError="1"/>
      <sheetData sheetId="2" refreshError="1">
        <row r="6">
          <cell r="G6">
            <v>675</v>
          </cell>
        </row>
        <row r="9">
          <cell r="G9">
            <v>1994</v>
          </cell>
        </row>
        <row r="11">
          <cell r="G11">
            <v>281.25</v>
          </cell>
        </row>
        <row r="14">
          <cell r="G14">
            <v>3985</v>
          </cell>
        </row>
        <row r="18">
          <cell r="G18">
            <v>190</v>
          </cell>
        </row>
        <row r="19">
          <cell r="F19">
            <v>142.75</v>
          </cell>
        </row>
        <row r="23">
          <cell r="G23">
            <v>2482</v>
          </cell>
        </row>
        <row r="26">
          <cell r="G26">
            <v>1352</v>
          </cell>
        </row>
        <row r="27">
          <cell r="G27">
            <v>597</v>
          </cell>
        </row>
        <row r="28">
          <cell r="F28">
            <v>321.91000000000003</v>
          </cell>
        </row>
        <row r="29">
          <cell r="G29">
            <v>218.63</v>
          </cell>
        </row>
        <row r="39">
          <cell r="G39">
            <v>1906</v>
          </cell>
        </row>
        <row r="41">
          <cell r="G41">
            <v>622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OLOD RENTAL RATES"/>
      <sheetName val="Equipment Rental ACEL"/>
      <sheetName val="ACEL"/>
    </sheetNames>
    <sheetDataSet>
      <sheetData sheetId="0"/>
      <sheetData sheetId="1"/>
      <sheetData sheetId="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"/>
      <sheetName val="FRONT PAGE"/>
      <sheetName val="2ND PAGE"/>
      <sheetName val="SUMLOG"/>
      <sheetName val="tma1"/>
      <sheetName val="BILLBOARD"/>
      <sheetName val="VEHICLE"/>
      <sheetName val="CAMP HOUSE"/>
      <sheetName val="traffic"/>
    </sheetNames>
    <sheetDataSet>
      <sheetData sheetId="0" refreshError="1">
        <row r="2">
          <cell r="E2">
            <v>314.3</v>
          </cell>
        </row>
        <row r="39">
          <cell r="H39">
            <v>42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Center"/>
      <sheetName val="Project List"/>
      <sheetName val="Extracted Information"/>
      <sheetName val="Data"/>
      <sheetName val="Numbers"/>
      <sheetName val="Materials"/>
      <sheetName val="Manpower"/>
      <sheetName val="Transport"/>
      <sheetName val="Equipment"/>
      <sheetName val="Scope of Works"/>
      <sheetName val="Others"/>
      <sheetName val="Compo Bill "/>
      <sheetName val="Detailed "/>
      <sheetName val="Intake Box Type (Expansion) (2)"/>
      <sheetName val="BACOLOD RENTAL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E3" t="str">
            <v>Numbersnew3</v>
          </cell>
        </row>
        <row r="4">
          <cell r="E4" t="str">
            <v>2.1.0 )</v>
          </cell>
        </row>
        <row r="5">
          <cell r="E5" t="str">
            <v>2.1.1 )</v>
          </cell>
        </row>
        <row r="6">
          <cell r="E6" t="str">
            <v>2.1.2 )</v>
          </cell>
        </row>
        <row r="7">
          <cell r="E7" t="str">
            <v>2.1.3 )</v>
          </cell>
        </row>
        <row r="8">
          <cell r="E8" t="str">
            <v>2.1.4 )</v>
          </cell>
        </row>
        <row r="9">
          <cell r="E9" t="str">
            <v>2.1.5 )</v>
          </cell>
        </row>
        <row r="10">
          <cell r="E10" t="str">
            <v>2.1.6 )</v>
          </cell>
        </row>
        <row r="11">
          <cell r="E11" t="str">
            <v>2.1.7 )</v>
          </cell>
        </row>
        <row r="12">
          <cell r="E12" t="str">
            <v>2.1.8 )</v>
          </cell>
        </row>
        <row r="13">
          <cell r="E13" t="str">
            <v>2.1.9 )</v>
          </cell>
        </row>
        <row r="14">
          <cell r="E14" t="str">
            <v>2.1.10 )</v>
          </cell>
        </row>
        <row r="15">
          <cell r="E15" t="str">
            <v>2.1.11 )</v>
          </cell>
        </row>
        <row r="16">
          <cell r="E16" t="str">
            <v>2.1.12 )</v>
          </cell>
        </row>
        <row r="17">
          <cell r="E17" t="str">
            <v>2.1.13 )</v>
          </cell>
        </row>
        <row r="18">
          <cell r="E18" t="str">
            <v>2.1.14 )</v>
          </cell>
        </row>
        <row r="19">
          <cell r="E19" t="str">
            <v>2.1.15 )</v>
          </cell>
        </row>
        <row r="20">
          <cell r="E20" t="str">
            <v>2.1.16 )</v>
          </cell>
        </row>
        <row r="21">
          <cell r="E21" t="str">
            <v>2.1.17 )</v>
          </cell>
        </row>
        <row r="22">
          <cell r="E22" t="str">
            <v>2.1.18 )</v>
          </cell>
        </row>
        <row r="23">
          <cell r="E23" t="str">
            <v>2.1.19 )</v>
          </cell>
        </row>
        <row r="24">
          <cell r="E24" t="str">
            <v>2.1.20 )</v>
          </cell>
        </row>
        <row r="25">
          <cell r="E25" t="str">
            <v>2.2.0 )</v>
          </cell>
        </row>
        <row r="26">
          <cell r="E26" t="str">
            <v>2.2.1 )</v>
          </cell>
        </row>
        <row r="27">
          <cell r="E27" t="str">
            <v>2.2.2 )</v>
          </cell>
        </row>
        <row r="28">
          <cell r="E28" t="str">
            <v>2.2.3 )</v>
          </cell>
        </row>
        <row r="29">
          <cell r="E29" t="str">
            <v>2.2.4 )</v>
          </cell>
        </row>
        <row r="30">
          <cell r="E30" t="str">
            <v>2.2.5 )</v>
          </cell>
        </row>
        <row r="31">
          <cell r="E31" t="str">
            <v>2.2.6 )</v>
          </cell>
        </row>
        <row r="32">
          <cell r="E32" t="str">
            <v>2.2.7 )</v>
          </cell>
        </row>
        <row r="33">
          <cell r="E33" t="str">
            <v>2.2.8 )</v>
          </cell>
        </row>
        <row r="34">
          <cell r="E34" t="str">
            <v>2.2.9 )</v>
          </cell>
        </row>
        <row r="35">
          <cell r="E35" t="str">
            <v>2.2.10 )</v>
          </cell>
        </row>
        <row r="36">
          <cell r="E36" t="str">
            <v>2.2.11 )</v>
          </cell>
        </row>
        <row r="37">
          <cell r="E37" t="str">
            <v>2.2.12 )</v>
          </cell>
        </row>
        <row r="38">
          <cell r="E38" t="str">
            <v>2.2.13 )</v>
          </cell>
        </row>
        <row r="39">
          <cell r="E39" t="str">
            <v>2.2.14 )</v>
          </cell>
        </row>
        <row r="40">
          <cell r="E40" t="str">
            <v>2.2.15 )</v>
          </cell>
        </row>
        <row r="41">
          <cell r="E41" t="str">
            <v>2.2.16 )</v>
          </cell>
        </row>
        <row r="42">
          <cell r="E42" t="str">
            <v>2.2.17 )</v>
          </cell>
        </row>
        <row r="43">
          <cell r="E43" t="str">
            <v>2.2.18 )</v>
          </cell>
        </row>
        <row r="44">
          <cell r="E44" t="str">
            <v>2.2.19 )</v>
          </cell>
        </row>
        <row r="45">
          <cell r="E45" t="str">
            <v>2.2.20 )</v>
          </cell>
        </row>
        <row r="46">
          <cell r="E46" t="str">
            <v>2.3.0 )</v>
          </cell>
        </row>
        <row r="47">
          <cell r="E47" t="str">
            <v>2.3.1 )</v>
          </cell>
        </row>
        <row r="48">
          <cell r="E48" t="str">
            <v>2.3.2 )</v>
          </cell>
        </row>
        <row r="49">
          <cell r="E49" t="str">
            <v>2.3.3 )</v>
          </cell>
        </row>
        <row r="50">
          <cell r="E50" t="str">
            <v>2.3.4 )</v>
          </cell>
        </row>
        <row r="51">
          <cell r="E51" t="str">
            <v>2.3.5 )</v>
          </cell>
        </row>
        <row r="52">
          <cell r="E52" t="str">
            <v>2.3.6 )</v>
          </cell>
        </row>
        <row r="53">
          <cell r="E53" t="str">
            <v>2.3.7 )</v>
          </cell>
        </row>
        <row r="54">
          <cell r="E54" t="str">
            <v>2.3.8 )</v>
          </cell>
        </row>
        <row r="55">
          <cell r="E55" t="str">
            <v>2.3.9 )</v>
          </cell>
        </row>
        <row r="56">
          <cell r="E56" t="str">
            <v>2.3.10 )</v>
          </cell>
        </row>
        <row r="57">
          <cell r="E57" t="str">
            <v>2.3.11 )</v>
          </cell>
        </row>
        <row r="58">
          <cell r="E58" t="str">
            <v>2.3.12 )</v>
          </cell>
        </row>
        <row r="59">
          <cell r="E59" t="str">
            <v>2.3.13 )</v>
          </cell>
        </row>
        <row r="60">
          <cell r="E60" t="str">
            <v>2.3.14 )</v>
          </cell>
        </row>
        <row r="61">
          <cell r="E61" t="str">
            <v>2.3.15 )</v>
          </cell>
        </row>
        <row r="62">
          <cell r="E62" t="str">
            <v>2.3.16 )</v>
          </cell>
        </row>
        <row r="63">
          <cell r="E63" t="str">
            <v>2.3.17 )</v>
          </cell>
        </row>
        <row r="64">
          <cell r="E64" t="str">
            <v>2.3.18 )</v>
          </cell>
        </row>
        <row r="65">
          <cell r="E65" t="str">
            <v>2.3.19 )</v>
          </cell>
        </row>
        <row r="66">
          <cell r="E66" t="str">
            <v>2.3.20 )</v>
          </cell>
        </row>
        <row r="67">
          <cell r="E67" t="str">
            <v>2.4.0 )</v>
          </cell>
        </row>
        <row r="68">
          <cell r="E68" t="str">
            <v>2.4.1 )</v>
          </cell>
        </row>
        <row r="69">
          <cell r="E69" t="str">
            <v>2.4.2 )</v>
          </cell>
        </row>
        <row r="70">
          <cell r="E70" t="str">
            <v>2.4.3 )</v>
          </cell>
        </row>
        <row r="71">
          <cell r="E71" t="str">
            <v>2.4.4 )</v>
          </cell>
        </row>
        <row r="72">
          <cell r="E72" t="str">
            <v>2.4.5 )</v>
          </cell>
        </row>
        <row r="73">
          <cell r="E73" t="str">
            <v>2.4.6 )</v>
          </cell>
        </row>
        <row r="74">
          <cell r="E74" t="str">
            <v>2.4.7 )</v>
          </cell>
        </row>
        <row r="75">
          <cell r="E75" t="str">
            <v>2.4.8 )</v>
          </cell>
        </row>
        <row r="76">
          <cell r="E76" t="str">
            <v>2.4.9 )</v>
          </cell>
        </row>
        <row r="77">
          <cell r="E77" t="str">
            <v>2.4.10 )</v>
          </cell>
        </row>
        <row r="78">
          <cell r="E78" t="str">
            <v>2.4.11 )</v>
          </cell>
        </row>
        <row r="79">
          <cell r="E79" t="str">
            <v>2.4.12 )</v>
          </cell>
        </row>
        <row r="80">
          <cell r="E80" t="str">
            <v>2.4.13 )</v>
          </cell>
        </row>
        <row r="81">
          <cell r="E81" t="str">
            <v>2.4.14 )</v>
          </cell>
        </row>
        <row r="82">
          <cell r="E82" t="str">
            <v>2.4.15 )</v>
          </cell>
        </row>
        <row r="83">
          <cell r="E83" t="str">
            <v>2.4.16 )</v>
          </cell>
        </row>
        <row r="84">
          <cell r="E84" t="str">
            <v>2.4.17 )</v>
          </cell>
        </row>
        <row r="85">
          <cell r="E85" t="str">
            <v>2.4.18 )</v>
          </cell>
        </row>
        <row r="86">
          <cell r="E86" t="str">
            <v>2.4.19 )</v>
          </cell>
        </row>
        <row r="87">
          <cell r="E87" t="str">
            <v>2.4.20 )</v>
          </cell>
        </row>
        <row r="88">
          <cell r="E88" t="str">
            <v>2.5.0 )</v>
          </cell>
        </row>
        <row r="89">
          <cell r="E89" t="str">
            <v>2.5.1 )</v>
          </cell>
        </row>
        <row r="90">
          <cell r="E90" t="str">
            <v>2.5.2 )</v>
          </cell>
        </row>
        <row r="91">
          <cell r="E91" t="str">
            <v>2.5.3 )</v>
          </cell>
        </row>
        <row r="92">
          <cell r="E92" t="str">
            <v>2.5.4 )</v>
          </cell>
        </row>
        <row r="93">
          <cell r="E93" t="str">
            <v>2.5.5 )</v>
          </cell>
        </row>
        <row r="94">
          <cell r="E94" t="str">
            <v>2.5.6 )</v>
          </cell>
        </row>
        <row r="95">
          <cell r="E95" t="str">
            <v>2.5.7 )</v>
          </cell>
        </row>
        <row r="96">
          <cell r="E96" t="str">
            <v>2.5.8 )</v>
          </cell>
        </row>
        <row r="97">
          <cell r="E97" t="str">
            <v>2.5.9 )</v>
          </cell>
        </row>
        <row r="98">
          <cell r="E98" t="str">
            <v>2.5.10 )</v>
          </cell>
        </row>
        <row r="99">
          <cell r="E99" t="str">
            <v>2.5.11 )</v>
          </cell>
        </row>
        <row r="100">
          <cell r="E100" t="str">
            <v>2.5.12 )</v>
          </cell>
        </row>
        <row r="101">
          <cell r="E101" t="str">
            <v>2.5.13 )</v>
          </cell>
        </row>
        <row r="102">
          <cell r="E102" t="str">
            <v>2.5.14 )</v>
          </cell>
        </row>
        <row r="103">
          <cell r="E103" t="str">
            <v>2.5.15 )</v>
          </cell>
        </row>
        <row r="104">
          <cell r="E104" t="str">
            <v>2.5.16 )</v>
          </cell>
        </row>
        <row r="105">
          <cell r="E105" t="str">
            <v>2.5.17 )</v>
          </cell>
        </row>
        <row r="106">
          <cell r="E106" t="str">
            <v>2.5.18 )</v>
          </cell>
        </row>
        <row r="107">
          <cell r="E107" t="str">
            <v>2.5.19 )</v>
          </cell>
        </row>
        <row r="108">
          <cell r="E108" t="str">
            <v>2.5.20 )</v>
          </cell>
        </row>
        <row r="109">
          <cell r="E109" t="str">
            <v>2.6.0 )</v>
          </cell>
        </row>
        <row r="110">
          <cell r="E110" t="str">
            <v>2.6.1 )</v>
          </cell>
        </row>
        <row r="111">
          <cell r="E111" t="str">
            <v>2.6.2 )</v>
          </cell>
        </row>
        <row r="112">
          <cell r="E112" t="str">
            <v>2.6.3 )</v>
          </cell>
        </row>
        <row r="113">
          <cell r="E113" t="str">
            <v>2.6.4 )</v>
          </cell>
        </row>
        <row r="114">
          <cell r="E114" t="str">
            <v>2.6.5 )</v>
          </cell>
        </row>
        <row r="115">
          <cell r="E115" t="str">
            <v>2.6.6 )</v>
          </cell>
        </row>
        <row r="116">
          <cell r="E116" t="str">
            <v>2.6.7 )</v>
          </cell>
        </row>
        <row r="117">
          <cell r="E117" t="str">
            <v>2.6.8 )</v>
          </cell>
        </row>
        <row r="118">
          <cell r="E118" t="str">
            <v>2.6.9 )</v>
          </cell>
        </row>
        <row r="119">
          <cell r="E119" t="str">
            <v>2.6.10 )</v>
          </cell>
        </row>
        <row r="120">
          <cell r="E120" t="str">
            <v>2.6.11 )</v>
          </cell>
        </row>
        <row r="121">
          <cell r="E121" t="str">
            <v>2.6.12 )</v>
          </cell>
        </row>
        <row r="122">
          <cell r="E122" t="str">
            <v>2.6.13 )</v>
          </cell>
        </row>
        <row r="123">
          <cell r="E123" t="str">
            <v>2.6.14 )</v>
          </cell>
        </row>
        <row r="124">
          <cell r="E124" t="str">
            <v>2.6.15 )</v>
          </cell>
        </row>
        <row r="125">
          <cell r="E125" t="str">
            <v>2.6.16 )</v>
          </cell>
        </row>
        <row r="126">
          <cell r="E126" t="str">
            <v>2.6.17 )</v>
          </cell>
        </row>
        <row r="127">
          <cell r="E127" t="str">
            <v>2.6.18 )</v>
          </cell>
        </row>
        <row r="128">
          <cell r="E128" t="str">
            <v>2.6.19 )</v>
          </cell>
        </row>
        <row r="129">
          <cell r="E129" t="str">
            <v>2.6.20 )</v>
          </cell>
        </row>
        <row r="130">
          <cell r="E130" t="str">
            <v>2.7.0 )</v>
          </cell>
        </row>
        <row r="131">
          <cell r="E131" t="str">
            <v>2.7.1 )</v>
          </cell>
        </row>
        <row r="132">
          <cell r="E132" t="str">
            <v>2.7.2 )</v>
          </cell>
        </row>
        <row r="133">
          <cell r="E133" t="str">
            <v>2.7.3 )</v>
          </cell>
        </row>
        <row r="134">
          <cell r="E134" t="str">
            <v>2.7.4 )</v>
          </cell>
        </row>
        <row r="135">
          <cell r="E135" t="str">
            <v>2.7.5 )</v>
          </cell>
        </row>
        <row r="136">
          <cell r="E136" t="str">
            <v>2.7.6 )</v>
          </cell>
        </row>
        <row r="137">
          <cell r="E137" t="str">
            <v>2.7.7 )</v>
          </cell>
        </row>
        <row r="138">
          <cell r="E138" t="str">
            <v>2.7.8 )</v>
          </cell>
        </row>
        <row r="139">
          <cell r="E139" t="str">
            <v>2.7.9 )</v>
          </cell>
        </row>
        <row r="140">
          <cell r="E140" t="str">
            <v>2.7.10 )</v>
          </cell>
        </row>
        <row r="141">
          <cell r="E141" t="str">
            <v>2.7.11 )</v>
          </cell>
        </row>
        <row r="142">
          <cell r="E142" t="str">
            <v>2.7.12 )</v>
          </cell>
        </row>
        <row r="143">
          <cell r="E143" t="str">
            <v>2.7.13 )</v>
          </cell>
        </row>
        <row r="144">
          <cell r="E144" t="str">
            <v>2.7.14 )</v>
          </cell>
        </row>
        <row r="145">
          <cell r="E145" t="str">
            <v>2.7.15 )</v>
          </cell>
        </row>
        <row r="146">
          <cell r="E146" t="str">
            <v>2.7.16 )</v>
          </cell>
        </row>
        <row r="147">
          <cell r="E147" t="str">
            <v>2.7.17 )</v>
          </cell>
        </row>
        <row r="148">
          <cell r="E148" t="str">
            <v>2.7.18 )</v>
          </cell>
        </row>
        <row r="149">
          <cell r="E149" t="str">
            <v>2.7.19 )</v>
          </cell>
        </row>
        <row r="150">
          <cell r="E150" t="str">
            <v>2.7.20 )</v>
          </cell>
        </row>
        <row r="151">
          <cell r="E151" t="str">
            <v>2.8.0 )</v>
          </cell>
        </row>
        <row r="152">
          <cell r="E152" t="str">
            <v>2.8.1 )</v>
          </cell>
        </row>
        <row r="153">
          <cell r="E153" t="str">
            <v>2.8.2 )</v>
          </cell>
        </row>
        <row r="154">
          <cell r="E154" t="str">
            <v>2.8.3 )</v>
          </cell>
        </row>
        <row r="155">
          <cell r="E155" t="str">
            <v>2.8.4 )</v>
          </cell>
        </row>
        <row r="156">
          <cell r="E156" t="str">
            <v>2.8.5 )</v>
          </cell>
        </row>
        <row r="157">
          <cell r="E157" t="str">
            <v>2.8.6 )</v>
          </cell>
        </row>
        <row r="158">
          <cell r="E158" t="str">
            <v>2.8.7 )</v>
          </cell>
        </row>
        <row r="159">
          <cell r="E159" t="str">
            <v>2.8.8 )</v>
          </cell>
        </row>
        <row r="160">
          <cell r="E160" t="str">
            <v>2.8.9 )</v>
          </cell>
        </row>
        <row r="161">
          <cell r="E161" t="str">
            <v>2.8.10 )</v>
          </cell>
        </row>
        <row r="162">
          <cell r="E162" t="str">
            <v>2.8.11 )</v>
          </cell>
        </row>
        <row r="163">
          <cell r="E163" t="str">
            <v>2.8.12 )</v>
          </cell>
        </row>
        <row r="164">
          <cell r="E164" t="str">
            <v>2.8.13 )</v>
          </cell>
        </row>
        <row r="165">
          <cell r="E165" t="str">
            <v>2.8.14 )</v>
          </cell>
        </row>
        <row r="166">
          <cell r="E166" t="str">
            <v>2.8.15 )</v>
          </cell>
        </row>
        <row r="167">
          <cell r="E167" t="str">
            <v>2.8.16 )</v>
          </cell>
        </row>
        <row r="168">
          <cell r="E168" t="str">
            <v>2.8.17 )</v>
          </cell>
        </row>
        <row r="169">
          <cell r="E169" t="str">
            <v>2.8.18 )</v>
          </cell>
        </row>
        <row r="170">
          <cell r="E170" t="str">
            <v>2.8.19 )</v>
          </cell>
        </row>
        <row r="171">
          <cell r="E171" t="str">
            <v>2.8.20 )</v>
          </cell>
        </row>
        <row r="172">
          <cell r="E172" t="str">
            <v>2.9.0 )</v>
          </cell>
        </row>
        <row r="173">
          <cell r="E173" t="str">
            <v>2.9.1 )</v>
          </cell>
        </row>
        <row r="174">
          <cell r="E174" t="str">
            <v>2.9.2 )</v>
          </cell>
        </row>
        <row r="175">
          <cell r="E175" t="str">
            <v>2.9.3 )</v>
          </cell>
        </row>
        <row r="176">
          <cell r="E176" t="str">
            <v>2.9.4 )</v>
          </cell>
        </row>
        <row r="177">
          <cell r="E177" t="str">
            <v>2.9.5 )</v>
          </cell>
        </row>
        <row r="178">
          <cell r="E178" t="str">
            <v>2.9.6 )</v>
          </cell>
        </row>
        <row r="179">
          <cell r="E179" t="str">
            <v>2.9.7 )</v>
          </cell>
        </row>
        <row r="180">
          <cell r="E180" t="str">
            <v>2.9.8 )</v>
          </cell>
        </row>
        <row r="181">
          <cell r="E181" t="str">
            <v>2.9.9 )</v>
          </cell>
        </row>
        <row r="182">
          <cell r="E182" t="str">
            <v>2.9.10 )</v>
          </cell>
        </row>
        <row r="183">
          <cell r="E183" t="str">
            <v>2.9.11 )</v>
          </cell>
        </row>
        <row r="184">
          <cell r="E184" t="str">
            <v>2.9.12 )</v>
          </cell>
        </row>
        <row r="185">
          <cell r="E185" t="str">
            <v>2.9.13 )</v>
          </cell>
        </row>
        <row r="186">
          <cell r="E186" t="str">
            <v>2.9.14 )</v>
          </cell>
        </row>
        <row r="187">
          <cell r="E187" t="str">
            <v>2.9.15 )</v>
          </cell>
        </row>
        <row r="188">
          <cell r="E188" t="str">
            <v>2.9.16 )</v>
          </cell>
        </row>
        <row r="189">
          <cell r="E189" t="str">
            <v>2.9.17 )</v>
          </cell>
        </row>
        <row r="190">
          <cell r="E190" t="str">
            <v>2.9.18 )</v>
          </cell>
        </row>
        <row r="191">
          <cell r="E191" t="str">
            <v>2.9.19 )</v>
          </cell>
        </row>
        <row r="192">
          <cell r="E192" t="str">
            <v>2.9.20 )</v>
          </cell>
        </row>
        <row r="193">
          <cell r="E193" t="str">
            <v>2.10.0 )</v>
          </cell>
        </row>
        <row r="194">
          <cell r="E194" t="str">
            <v>2.10.1 )</v>
          </cell>
        </row>
        <row r="195">
          <cell r="E195" t="str">
            <v>2.10.2 )</v>
          </cell>
        </row>
        <row r="196">
          <cell r="E196" t="str">
            <v>2.10.3 )</v>
          </cell>
        </row>
        <row r="197">
          <cell r="E197" t="str">
            <v>2.10.4 )</v>
          </cell>
        </row>
        <row r="198">
          <cell r="E198" t="str">
            <v>2.10.5 )</v>
          </cell>
        </row>
        <row r="199">
          <cell r="E199" t="str">
            <v>2.10.6 )</v>
          </cell>
        </row>
        <row r="200">
          <cell r="E200" t="str">
            <v>2.10.7 )</v>
          </cell>
        </row>
        <row r="201">
          <cell r="E201" t="str">
            <v>2.10.8 )</v>
          </cell>
        </row>
        <row r="202">
          <cell r="E202" t="str">
            <v>2.10.9 )</v>
          </cell>
        </row>
        <row r="203">
          <cell r="E203" t="str">
            <v>2.10.10 )</v>
          </cell>
        </row>
        <row r="204">
          <cell r="E204" t="str">
            <v>2.10.11 )</v>
          </cell>
        </row>
        <row r="205">
          <cell r="E205" t="str">
            <v>2.10.12 )</v>
          </cell>
        </row>
        <row r="206">
          <cell r="E206" t="str">
            <v>2.10.13 )</v>
          </cell>
        </row>
        <row r="207">
          <cell r="E207" t="str">
            <v>2.10.14 )</v>
          </cell>
        </row>
        <row r="208">
          <cell r="E208" t="str">
            <v>2.10.15 )</v>
          </cell>
        </row>
        <row r="209">
          <cell r="E209" t="str">
            <v>2.10.16 )</v>
          </cell>
        </row>
        <row r="210">
          <cell r="E210" t="str">
            <v>2.10.17 )</v>
          </cell>
        </row>
        <row r="211">
          <cell r="E211" t="str">
            <v>2.10.18 )</v>
          </cell>
        </row>
        <row r="212">
          <cell r="E212" t="str">
            <v>2.10.19 )</v>
          </cell>
        </row>
        <row r="213">
          <cell r="E213" t="str">
            <v>2.10.20 )</v>
          </cell>
        </row>
        <row r="214">
          <cell r="E214" t="str">
            <v>2.11.0 )</v>
          </cell>
        </row>
        <row r="215">
          <cell r="E215" t="str">
            <v>2.11.1 )</v>
          </cell>
        </row>
        <row r="216">
          <cell r="E216" t="str">
            <v>2.11.2 )</v>
          </cell>
        </row>
        <row r="217">
          <cell r="E217" t="str">
            <v>2.11.3 )</v>
          </cell>
        </row>
        <row r="218">
          <cell r="E218" t="str">
            <v>2.11.4 )</v>
          </cell>
        </row>
        <row r="219">
          <cell r="E219" t="str">
            <v>2.11.5 )</v>
          </cell>
        </row>
        <row r="220">
          <cell r="E220" t="str">
            <v>2.11.6 )</v>
          </cell>
        </row>
        <row r="221">
          <cell r="E221" t="str">
            <v>2.11.7 )</v>
          </cell>
        </row>
        <row r="222">
          <cell r="E222" t="str">
            <v>2.11.8 )</v>
          </cell>
        </row>
        <row r="223">
          <cell r="E223" t="str">
            <v>2.11.9 )</v>
          </cell>
        </row>
        <row r="224">
          <cell r="E224" t="str">
            <v>2.11.10 )</v>
          </cell>
        </row>
        <row r="225">
          <cell r="E225" t="str">
            <v>2.11.11 )</v>
          </cell>
        </row>
        <row r="226">
          <cell r="E226" t="str">
            <v>2.11.12 )</v>
          </cell>
        </row>
        <row r="227">
          <cell r="E227" t="str">
            <v>2.11.13 )</v>
          </cell>
        </row>
        <row r="228">
          <cell r="E228" t="str">
            <v>2.11.14 )</v>
          </cell>
        </row>
        <row r="229">
          <cell r="E229" t="str">
            <v>2.11.15 )</v>
          </cell>
        </row>
        <row r="230">
          <cell r="E230" t="str">
            <v>2.11.16 )</v>
          </cell>
        </row>
        <row r="231">
          <cell r="E231" t="str">
            <v>2.11.17 )</v>
          </cell>
        </row>
        <row r="232">
          <cell r="E232" t="str">
            <v>2.11.18 )</v>
          </cell>
        </row>
        <row r="233">
          <cell r="E233" t="str">
            <v>2.11.19 )</v>
          </cell>
        </row>
        <row r="234">
          <cell r="E234" t="str">
            <v>2.11.20 )</v>
          </cell>
        </row>
        <row r="235">
          <cell r="E235" t="str">
            <v>2.12.0 )</v>
          </cell>
        </row>
        <row r="236">
          <cell r="E236" t="str">
            <v>2.12.1 )</v>
          </cell>
        </row>
        <row r="237">
          <cell r="E237" t="str">
            <v>2.12.2 )</v>
          </cell>
        </row>
        <row r="238">
          <cell r="E238" t="str">
            <v>2.12.3 )</v>
          </cell>
        </row>
        <row r="239">
          <cell r="E239" t="str">
            <v>2.12.4 )</v>
          </cell>
        </row>
        <row r="240">
          <cell r="E240" t="str">
            <v>2.12.5 )</v>
          </cell>
        </row>
        <row r="241">
          <cell r="E241" t="str">
            <v>2.12.6 )</v>
          </cell>
        </row>
        <row r="242">
          <cell r="E242" t="str">
            <v>2.12.7 )</v>
          </cell>
        </row>
        <row r="243">
          <cell r="E243" t="str">
            <v>2.12.8 )</v>
          </cell>
        </row>
        <row r="244">
          <cell r="E244" t="str">
            <v>2.12.9 )</v>
          </cell>
        </row>
        <row r="245">
          <cell r="E245" t="str">
            <v>2.12.10 )</v>
          </cell>
        </row>
        <row r="246">
          <cell r="E246" t="str">
            <v>2.12.11 )</v>
          </cell>
        </row>
        <row r="247">
          <cell r="E247" t="str">
            <v>2.12.12 )</v>
          </cell>
        </row>
        <row r="248">
          <cell r="E248" t="str">
            <v>2.12.13 )</v>
          </cell>
        </row>
        <row r="249">
          <cell r="E249" t="str">
            <v>2.12.14 )</v>
          </cell>
        </row>
        <row r="250">
          <cell r="E250" t="str">
            <v>2.12.15 )</v>
          </cell>
        </row>
        <row r="251">
          <cell r="E251" t="str">
            <v>2.12.16 )</v>
          </cell>
        </row>
        <row r="252">
          <cell r="E252" t="str">
            <v>2.12.17 )</v>
          </cell>
        </row>
        <row r="253">
          <cell r="E253" t="str">
            <v>2.12.18 )</v>
          </cell>
        </row>
        <row r="254">
          <cell r="E254" t="str">
            <v>2.12.19 )</v>
          </cell>
        </row>
        <row r="255">
          <cell r="E255" t="str">
            <v>2.12.20 )</v>
          </cell>
        </row>
        <row r="256">
          <cell r="E256" t="str">
            <v>2.13.0 )</v>
          </cell>
        </row>
        <row r="257">
          <cell r="E257" t="str">
            <v>2.13.1 )</v>
          </cell>
        </row>
        <row r="258">
          <cell r="E258" t="str">
            <v>2.13.2 )</v>
          </cell>
        </row>
        <row r="259">
          <cell r="E259" t="str">
            <v>2.13.3 )</v>
          </cell>
        </row>
        <row r="260">
          <cell r="E260" t="str">
            <v>2.13.4 )</v>
          </cell>
        </row>
        <row r="261">
          <cell r="E261" t="str">
            <v>2.13.5 )</v>
          </cell>
        </row>
        <row r="262">
          <cell r="E262" t="str">
            <v>2.13.6 )</v>
          </cell>
        </row>
        <row r="263">
          <cell r="E263" t="str">
            <v>2.13.7 )</v>
          </cell>
        </row>
        <row r="264">
          <cell r="E264" t="str">
            <v>2.13.8 )</v>
          </cell>
        </row>
        <row r="265">
          <cell r="E265" t="str">
            <v>2.13.9 )</v>
          </cell>
        </row>
        <row r="266">
          <cell r="E266" t="str">
            <v>2.13.10 )</v>
          </cell>
        </row>
        <row r="267">
          <cell r="E267" t="str">
            <v>2.13.11 )</v>
          </cell>
        </row>
        <row r="268">
          <cell r="E268" t="str">
            <v>2.13.12 )</v>
          </cell>
        </row>
        <row r="269">
          <cell r="E269" t="str">
            <v>2.13.13 )</v>
          </cell>
        </row>
        <row r="270">
          <cell r="E270" t="str">
            <v>2.13.14 )</v>
          </cell>
        </row>
        <row r="271">
          <cell r="E271" t="str">
            <v>2.13.15 )</v>
          </cell>
        </row>
        <row r="272">
          <cell r="E272" t="str">
            <v>2.13.16 )</v>
          </cell>
        </row>
        <row r="273">
          <cell r="E273" t="str">
            <v>2.13.17 )</v>
          </cell>
        </row>
        <row r="274">
          <cell r="E274" t="str">
            <v>2.13.18 )</v>
          </cell>
        </row>
        <row r="275">
          <cell r="E275" t="str">
            <v>2.13.19 )</v>
          </cell>
        </row>
        <row r="276">
          <cell r="E276" t="str">
            <v>2.13.20 )</v>
          </cell>
        </row>
        <row r="277">
          <cell r="E277" t="str">
            <v>2.14.0 )</v>
          </cell>
        </row>
        <row r="278">
          <cell r="E278" t="str">
            <v>2.14.1 )</v>
          </cell>
        </row>
        <row r="279">
          <cell r="E279" t="str">
            <v>2.14.2 )</v>
          </cell>
        </row>
        <row r="280">
          <cell r="E280" t="str">
            <v>2.14.3 )</v>
          </cell>
        </row>
        <row r="281">
          <cell r="E281" t="str">
            <v>2.14.4 )</v>
          </cell>
        </row>
        <row r="282">
          <cell r="E282" t="str">
            <v>2.14.5 )</v>
          </cell>
        </row>
        <row r="283">
          <cell r="E283" t="str">
            <v>2.14.6 )</v>
          </cell>
        </row>
        <row r="284">
          <cell r="E284" t="str">
            <v>2.14.7 )</v>
          </cell>
        </row>
        <row r="285">
          <cell r="E285" t="str">
            <v>2.14.8 )</v>
          </cell>
        </row>
        <row r="286">
          <cell r="E286" t="str">
            <v>2.14.9 )</v>
          </cell>
        </row>
        <row r="287">
          <cell r="E287" t="str">
            <v>2.14.10 )</v>
          </cell>
        </row>
        <row r="288">
          <cell r="E288" t="str">
            <v>2.14.11 )</v>
          </cell>
        </row>
        <row r="289">
          <cell r="E289" t="str">
            <v>2.14.12 )</v>
          </cell>
        </row>
        <row r="290">
          <cell r="E290" t="str">
            <v>2.14.13 )</v>
          </cell>
        </row>
        <row r="291">
          <cell r="E291" t="str">
            <v>2.14.14 )</v>
          </cell>
        </row>
        <row r="292">
          <cell r="E292" t="str">
            <v>2.14.15 )</v>
          </cell>
        </row>
        <row r="293">
          <cell r="E293" t="str">
            <v>2.14.16 )</v>
          </cell>
        </row>
        <row r="294">
          <cell r="E294" t="str">
            <v>2.14.17 )</v>
          </cell>
        </row>
        <row r="295">
          <cell r="E295" t="str">
            <v>2.14.18 )</v>
          </cell>
        </row>
        <row r="296">
          <cell r="E296" t="str">
            <v>2.14.19 )</v>
          </cell>
        </row>
        <row r="297">
          <cell r="E297" t="str">
            <v>2.14.20 )</v>
          </cell>
        </row>
        <row r="298">
          <cell r="E298" t="str">
            <v>2.15.0 )</v>
          </cell>
        </row>
        <row r="299">
          <cell r="E299" t="str">
            <v>2.15.1 )</v>
          </cell>
        </row>
        <row r="300">
          <cell r="E300" t="str">
            <v>2.15.2 )</v>
          </cell>
        </row>
        <row r="301">
          <cell r="E301" t="str">
            <v>2.15.3 )</v>
          </cell>
        </row>
        <row r="302">
          <cell r="E302" t="str">
            <v>2.15.4 )</v>
          </cell>
        </row>
        <row r="303">
          <cell r="E303" t="str">
            <v>2.15.5 )</v>
          </cell>
        </row>
        <row r="304">
          <cell r="E304" t="str">
            <v>2.15.6 )</v>
          </cell>
        </row>
        <row r="305">
          <cell r="E305" t="str">
            <v>2.15.7 )</v>
          </cell>
        </row>
        <row r="306">
          <cell r="E306" t="str">
            <v>2.15.8 )</v>
          </cell>
        </row>
        <row r="307">
          <cell r="E307" t="str">
            <v>2.15.9 )</v>
          </cell>
        </row>
        <row r="308">
          <cell r="E308" t="str">
            <v>2.15.10 )</v>
          </cell>
        </row>
        <row r="309">
          <cell r="E309" t="str">
            <v>2.15.11 )</v>
          </cell>
        </row>
        <row r="310">
          <cell r="E310" t="str">
            <v>2.15.12 )</v>
          </cell>
        </row>
        <row r="311">
          <cell r="E311" t="str">
            <v>2.15.13 )</v>
          </cell>
        </row>
        <row r="312">
          <cell r="E312" t="str">
            <v>2.15.14 )</v>
          </cell>
        </row>
        <row r="313">
          <cell r="E313" t="str">
            <v>2.15.15 )</v>
          </cell>
        </row>
        <row r="314">
          <cell r="E314" t="str">
            <v>2.15.16 )</v>
          </cell>
        </row>
        <row r="315">
          <cell r="E315" t="str">
            <v>2.15.17 )</v>
          </cell>
        </row>
        <row r="316">
          <cell r="E316" t="str">
            <v>2.15.18 )</v>
          </cell>
        </row>
        <row r="317">
          <cell r="E317" t="str">
            <v>2.15.19 )</v>
          </cell>
        </row>
        <row r="318">
          <cell r="E318" t="str">
            <v>2.15.20 )</v>
          </cell>
        </row>
        <row r="319">
          <cell r="E319" t="str">
            <v>2.16.0 )</v>
          </cell>
        </row>
        <row r="320">
          <cell r="E320" t="str">
            <v>2.16.1 )</v>
          </cell>
        </row>
        <row r="321">
          <cell r="E321" t="str">
            <v>2.16.2 )</v>
          </cell>
        </row>
        <row r="322">
          <cell r="E322" t="str">
            <v>2.16.3 )</v>
          </cell>
        </row>
        <row r="323">
          <cell r="E323" t="str">
            <v>2.16.4 )</v>
          </cell>
        </row>
        <row r="324">
          <cell r="E324" t="str">
            <v>2.16.5 )</v>
          </cell>
        </row>
        <row r="325">
          <cell r="E325" t="str">
            <v>2.16.6 )</v>
          </cell>
        </row>
        <row r="326">
          <cell r="E326" t="str">
            <v>2.16.7 )</v>
          </cell>
        </row>
        <row r="327">
          <cell r="E327" t="str">
            <v>2.16.8 )</v>
          </cell>
        </row>
        <row r="328">
          <cell r="E328" t="str">
            <v>2.16.9 )</v>
          </cell>
        </row>
        <row r="329">
          <cell r="E329" t="str">
            <v>2.16.10 )</v>
          </cell>
        </row>
        <row r="330">
          <cell r="E330" t="str">
            <v>2.16.11 )</v>
          </cell>
        </row>
        <row r="331">
          <cell r="E331" t="str">
            <v>2.16.12 )</v>
          </cell>
        </row>
        <row r="332">
          <cell r="E332" t="str">
            <v>2.16.13 )</v>
          </cell>
        </row>
        <row r="333">
          <cell r="E333" t="str">
            <v>2.16.14 )</v>
          </cell>
        </row>
        <row r="334">
          <cell r="E334" t="str">
            <v>2.16.15 )</v>
          </cell>
        </row>
        <row r="335">
          <cell r="E335" t="str">
            <v>2.16.16 )</v>
          </cell>
        </row>
        <row r="336">
          <cell r="E336" t="str">
            <v>2.16.17 )</v>
          </cell>
        </row>
        <row r="337">
          <cell r="E337" t="str">
            <v>2.16.18 )</v>
          </cell>
        </row>
        <row r="338">
          <cell r="E338" t="str">
            <v>2.16.19 )</v>
          </cell>
        </row>
        <row r="339">
          <cell r="E339" t="str">
            <v>2.16.20 )</v>
          </cell>
        </row>
        <row r="340">
          <cell r="E340" t="str">
            <v>2.17.0 )</v>
          </cell>
        </row>
        <row r="341">
          <cell r="E341" t="str">
            <v>2.17.1 )</v>
          </cell>
        </row>
        <row r="342">
          <cell r="E342" t="str">
            <v>2.17.2 )</v>
          </cell>
        </row>
        <row r="343">
          <cell r="E343" t="str">
            <v>2.17.3 )</v>
          </cell>
        </row>
        <row r="344">
          <cell r="E344" t="str">
            <v>2.17.4 )</v>
          </cell>
        </row>
        <row r="345">
          <cell r="E345" t="str">
            <v>2.17.5 )</v>
          </cell>
        </row>
        <row r="346">
          <cell r="E346" t="str">
            <v>2.17.6 )</v>
          </cell>
        </row>
        <row r="347">
          <cell r="E347" t="str">
            <v>2.17.7 )</v>
          </cell>
        </row>
        <row r="348">
          <cell r="E348" t="str">
            <v>2.17.8 )</v>
          </cell>
        </row>
        <row r="349">
          <cell r="E349" t="str">
            <v>2.17.9 )</v>
          </cell>
        </row>
        <row r="350">
          <cell r="E350" t="str">
            <v>2.17.10 )</v>
          </cell>
        </row>
        <row r="351">
          <cell r="E351" t="str">
            <v>2.17.11 )</v>
          </cell>
        </row>
        <row r="352">
          <cell r="E352" t="str">
            <v>2.17.12 )</v>
          </cell>
        </row>
        <row r="353">
          <cell r="E353" t="str">
            <v>2.17.13 )</v>
          </cell>
        </row>
        <row r="354">
          <cell r="E354" t="str">
            <v>2.17.14 )</v>
          </cell>
        </row>
        <row r="355">
          <cell r="E355" t="str">
            <v>2.17.15 )</v>
          </cell>
        </row>
        <row r="356">
          <cell r="E356" t="str">
            <v>2.17.16 )</v>
          </cell>
        </row>
        <row r="357">
          <cell r="E357" t="str">
            <v>2.17.17 )</v>
          </cell>
        </row>
        <row r="358">
          <cell r="E358" t="str">
            <v>2.17.18 )</v>
          </cell>
        </row>
        <row r="359">
          <cell r="E359" t="str">
            <v>2.17.19 )</v>
          </cell>
        </row>
        <row r="360">
          <cell r="E360" t="str">
            <v>2.17.20 )</v>
          </cell>
        </row>
        <row r="361">
          <cell r="E361" t="str">
            <v>2.18.0 )</v>
          </cell>
        </row>
        <row r="362">
          <cell r="E362" t="str">
            <v>2.18.1 )</v>
          </cell>
        </row>
        <row r="363">
          <cell r="E363" t="str">
            <v>2.18.2 )</v>
          </cell>
        </row>
        <row r="364">
          <cell r="E364" t="str">
            <v>2.18.3 )</v>
          </cell>
        </row>
        <row r="365">
          <cell r="E365" t="str">
            <v>2.18.4 )</v>
          </cell>
        </row>
        <row r="366">
          <cell r="E366" t="str">
            <v>2.18.5 )</v>
          </cell>
        </row>
        <row r="367">
          <cell r="E367" t="str">
            <v>2.18.6 )</v>
          </cell>
        </row>
        <row r="368">
          <cell r="E368" t="str">
            <v>2.18.7 )</v>
          </cell>
        </row>
        <row r="369">
          <cell r="E369" t="str">
            <v>2.18.8 )</v>
          </cell>
        </row>
        <row r="370">
          <cell r="E370" t="str">
            <v>2.18.9 )</v>
          </cell>
        </row>
        <row r="371">
          <cell r="E371" t="str">
            <v>2.18.10 )</v>
          </cell>
        </row>
        <row r="372">
          <cell r="E372" t="str">
            <v>2.18.11 )</v>
          </cell>
        </row>
        <row r="373">
          <cell r="E373" t="str">
            <v>2.18.12 )</v>
          </cell>
        </row>
        <row r="374">
          <cell r="E374" t="str">
            <v>2.18.13 )</v>
          </cell>
        </row>
        <row r="375">
          <cell r="E375" t="str">
            <v>2.18.14 )</v>
          </cell>
        </row>
        <row r="376">
          <cell r="E376" t="str">
            <v>2.18.15 )</v>
          </cell>
        </row>
        <row r="377">
          <cell r="E377" t="str">
            <v>2.18.16 )</v>
          </cell>
        </row>
        <row r="378">
          <cell r="E378" t="str">
            <v>2.18.17 )</v>
          </cell>
        </row>
        <row r="379">
          <cell r="E379" t="str">
            <v>2.18.18 )</v>
          </cell>
        </row>
        <row r="380">
          <cell r="E380" t="str">
            <v>2.18.19 )</v>
          </cell>
        </row>
        <row r="381">
          <cell r="E381" t="str">
            <v>2.18.20 )</v>
          </cell>
        </row>
        <row r="382">
          <cell r="E382" t="str">
            <v>2.19.0 )</v>
          </cell>
        </row>
        <row r="383">
          <cell r="E383" t="str">
            <v>2.19.1 )</v>
          </cell>
        </row>
        <row r="384">
          <cell r="E384" t="str">
            <v>2.19.2 )</v>
          </cell>
        </row>
        <row r="385">
          <cell r="E385" t="str">
            <v>2.19.3 )</v>
          </cell>
        </row>
        <row r="386">
          <cell r="E386" t="str">
            <v>2.19.4 )</v>
          </cell>
        </row>
        <row r="387">
          <cell r="E387" t="str">
            <v>2.19.5 )</v>
          </cell>
        </row>
        <row r="388">
          <cell r="E388" t="str">
            <v>2.19.6 )</v>
          </cell>
        </row>
        <row r="389">
          <cell r="E389" t="str">
            <v>2.19.7 )</v>
          </cell>
        </row>
        <row r="390">
          <cell r="E390" t="str">
            <v>2.19.8 )</v>
          </cell>
        </row>
        <row r="391">
          <cell r="E391" t="str">
            <v>2.19.9 )</v>
          </cell>
        </row>
        <row r="392">
          <cell r="E392" t="str">
            <v>2.19.10 )</v>
          </cell>
        </row>
        <row r="393">
          <cell r="E393" t="str">
            <v>2.19.11 )</v>
          </cell>
        </row>
        <row r="394">
          <cell r="E394" t="str">
            <v>2.19.12 )</v>
          </cell>
        </row>
        <row r="395">
          <cell r="E395" t="str">
            <v>2.19.13 )</v>
          </cell>
        </row>
        <row r="396">
          <cell r="E396" t="str">
            <v>2.19.14 )</v>
          </cell>
        </row>
        <row r="397">
          <cell r="E397" t="str">
            <v>2.19.15 )</v>
          </cell>
        </row>
        <row r="398">
          <cell r="E398" t="str">
            <v>2.19.16 )</v>
          </cell>
        </row>
        <row r="399">
          <cell r="E399" t="str">
            <v>2.19.17 )</v>
          </cell>
        </row>
        <row r="400">
          <cell r="E400" t="str">
            <v>2.19.18 )</v>
          </cell>
        </row>
        <row r="401">
          <cell r="E401" t="str">
            <v>2.19.19 )</v>
          </cell>
        </row>
        <row r="402">
          <cell r="E402" t="str">
            <v>2.19.20 )</v>
          </cell>
        </row>
        <row r="403">
          <cell r="E403" t="str">
            <v>2.20.0 )</v>
          </cell>
        </row>
        <row r="404">
          <cell r="E404" t="str">
            <v>2.20.1 )</v>
          </cell>
        </row>
        <row r="405">
          <cell r="E405" t="str">
            <v>2.20.2 )</v>
          </cell>
        </row>
        <row r="406">
          <cell r="E406" t="str">
            <v>2.20.3 )</v>
          </cell>
        </row>
        <row r="407">
          <cell r="E407" t="str">
            <v>2.20.4 )</v>
          </cell>
        </row>
        <row r="408">
          <cell r="E408" t="str">
            <v>2.20.5 )</v>
          </cell>
        </row>
        <row r="409">
          <cell r="E409" t="str">
            <v>2.20.6 )</v>
          </cell>
        </row>
        <row r="410">
          <cell r="E410" t="str">
            <v>2.20.7 )</v>
          </cell>
        </row>
        <row r="411">
          <cell r="E411" t="str">
            <v>2.20.8 )</v>
          </cell>
        </row>
        <row r="412">
          <cell r="E412" t="str">
            <v>2.20.9 )</v>
          </cell>
        </row>
        <row r="413">
          <cell r="E413" t="str">
            <v>2.20.10 )</v>
          </cell>
        </row>
        <row r="414">
          <cell r="E414" t="str">
            <v>2.20.11 )</v>
          </cell>
        </row>
        <row r="415">
          <cell r="E415" t="str">
            <v>2.20.12 )</v>
          </cell>
        </row>
        <row r="416">
          <cell r="E416" t="str">
            <v>2.20.13 )</v>
          </cell>
        </row>
        <row r="417">
          <cell r="E417" t="str">
            <v>2.20.14 )</v>
          </cell>
        </row>
        <row r="418">
          <cell r="E418" t="str">
            <v>2.20.15 )</v>
          </cell>
        </row>
        <row r="419">
          <cell r="E419" t="str">
            <v>2.20.16 )</v>
          </cell>
        </row>
        <row r="420">
          <cell r="E420" t="str">
            <v>2.20.17 )</v>
          </cell>
        </row>
        <row r="421">
          <cell r="E421" t="str">
            <v>2.20.18 )</v>
          </cell>
        </row>
        <row r="422">
          <cell r="E422" t="str">
            <v>2.20.19 )</v>
          </cell>
        </row>
        <row r="423">
          <cell r="E423" t="str">
            <v>2.20.20 )</v>
          </cell>
        </row>
      </sheetData>
      <sheetData sheetId="6" refreshError="1">
        <row r="9">
          <cell r="D9" t="str">
            <v>( AGGREGATES )</v>
          </cell>
        </row>
        <row r="10">
          <cell r="D10" t="str">
            <v>Sand</v>
          </cell>
        </row>
        <row r="11">
          <cell r="D11" t="str">
            <v>Gravel</v>
          </cell>
        </row>
        <row r="12">
          <cell r="D12" t="str">
            <v>Gravel Bedding</v>
          </cell>
        </row>
        <row r="13">
          <cell r="D13" t="str">
            <v>Stone</v>
          </cell>
        </row>
        <row r="14">
          <cell r="D14" t="str">
            <v>Boulders / Stone</v>
          </cell>
        </row>
        <row r="15">
          <cell r="D15" t="str">
            <v>Boulders (20-30 cm dia.)</v>
          </cell>
        </row>
        <row r="16">
          <cell r="D16" t="str">
            <v>Filling Materials</v>
          </cell>
        </row>
        <row r="17">
          <cell r="D17" t="str">
            <v>Aggregate Sub Base Course (Item 200)</v>
          </cell>
        </row>
        <row r="18">
          <cell r="D18" t="str">
            <v>Aggregate Base Course (Item 201)</v>
          </cell>
        </row>
        <row r="19">
          <cell r="D19" t="str">
            <v>Common Borrow</v>
          </cell>
        </row>
        <row r="20">
          <cell r="D20" t="str">
            <v>Gravelfill</v>
          </cell>
        </row>
        <row r="21">
          <cell r="D21" t="str">
            <v>Sand Fill</v>
          </cell>
        </row>
        <row r="22">
          <cell r="D22" t="str">
            <v>Granular Fill</v>
          </cell>
        </row>
        <row r="23">
          <cell r="D23" t="str">
            <v>Rock / Boulder (50-200 kg)</v>
          </cell>
        </row>
        <row r="24">
          <cell r="D24" t="str">
            <v>Rock / Boulder (100-200 kg)</v>
          </cell>
        </row>
        <row r="25">
          <cell r="D25" t="str">
            <v>Crushed Gravel</v>
          </cell>
        </row>
        <row r="26">
          <cell r="D26" t="str">
            <v>Selected Borrow</v>
          </cell>
        </row>
        <row r="29">
          <cell r="D29" t="str">
            <v>( WATER )</v>
          </cell>
        </row>
        <row r="30">
          <cell r="D30" t="str">
            <v>Water</v>
          </cell>
        </row>
        <row r="32">
          <cell r="D32" t="str">
            <v>( CEMENT )</v>
          </cell>
        </row>
        <row r="33">
          <cell r="D33" t="str">
            <v>Portland Cement 40kg</v>
          </cell>
        </row>
        <row r="34">
          <cell r="D34" t="str">
            <v>Portland Cement</v>
          </cell>
        </row>
        <row r="35">
          <cell r="D35" t="str">
            <v>Pozzoland Cement 40 kg</v>
          </cell>
        </row>
        <row r="36">
          <cell r="D36" t="str">
            <v xml:space="preserve">Pozzoland Cement </v>
          </cell>
        </row>
        <row r="37">
          <cell r="D37" t="str">
            <v>Red cement</v>
          </cell>
        </row>
        <row r="38">
          <cell r="D38" t="str">
            <v>White Cement</v>
          </cell>
        </row>
        <row r="39">
          <cell r="D39" t="str">
            <v>Water Sealant Cement</v>
          </cell>
        </row>
        <row r="40">
          <cell r="D40" t="str">
            <v>Bentonite</v>
          </cell>
        </row>
        <row r="41">
          <cell r="D41" t="str">
            <v>Epoxy Grout</v>
          </cell>
        </row>
        <row r="42">
          <cell r="D42" t="str">
            <v>Epoxy Resin</v>
          </cell>
        </row>
        <row r="43">
          <cell r="D43" t="str">
            <v>Non-Shrink Grout</v>
          </cell>
        </row>
        <row r="44">
          <cell r="D44" t="str">
            <v>Sahara</v>
          </cell>
        </row>
        <row r="45">
          <cell r="D45" t="str">
            <v>100mm Conc. Hollow Block</v>
          </cell>
        </row>
        <row r="46">
          <cell r="D46" t="str">
            <v>( CEMENT PRODUCTS )</v>
          </cell>
        </row>
        <row r="47">
          <cell r="D47" t="str">
            <v>100mm Conc. Hollow Block</v>
          </cell>
        </row>
        <row r="48">
          <cell r="D48" t="str">
            <v>150mm Conc. Hollow Block</v>
          </cell>
        </row>
        <row r="49">
          <cell r="D49" t="str">
            <v>Decorative Concrete Block (Louver Type)</v>
          </cell>
        </row>
        <row r="50">
          <cell r="D50" t="str">
            <v>250mm x 250mm Decorative Concrete Block</v>
          </cell>
        </row>
        <row r="51">
          <cell r="D51" t="str">
            <v>300mm RC Pipe Culvert</v>
          </cell>
        </row>
        <row r="52">
          <cell r="D52" t="str">
            <v>450mm RC Pipe Culvert</v>
          </cell>
        </row>
        <row r="53">
          <cell r="D53" t="str">
            <v>610mm RC Pipe Culvert</v>
          </cell>
        </row>
        <row r="54">
          <cell r="D54" t="str">
            <v>760mm RC Pipe Culvert</v>
          </cell>
        </row>
        <row r="55">
          <cell r="D55" t="str">
            <v>910mm RC Pipe Culvert</v>
          </cell>
        </row>
        <row r="56">
          <cell r="D56" t="str">
            <v>1070mm RC Pipe Culvert</v>
          </cell>
        </row>
        <row r="57">
          <cell r="D57" t="str">
            <v>1220mm RC Pipe Culvert</v>
          </cell>
        </row>
        <row r="58">
          <cell r="D58" t="str">
            <v>3"dia. Conc. Baluster, 18"</v>
          </cell>
        </row>
        <row r="59">
          <cell r="D59" t="str">
            <v>PRESTRESSED PILES</v>
          </cell>
        </row>
        <row r="60">
          <cell r="D60" t="str">
            <v>PRESTRESSED PILES</v>
          </cell>
        </row>
        <row r="61">
          <cell r="D61" t="str">
            <v>PSC Piles, 400mm x 400mm x 10m.</v>
          </cell>
        </row>
        <row r="62">
          <cell r="D62" t="str">
            <v>PSC Piles, 400mm x 400mm x 10m.</v>
          </cell>
        </row>
        <row r="63">
          <cell r="D63" t="str">
            <v>PSC Piles, 400mm x 400mm x 12m.</v>
          </cell>
        </row>
        <row r="64">
          <cell r="D64" t="str">
            <v>PSC Piles, 400mm x 400mm x 14m.</v>
          </cell>
        </row>
        <row r="65">
          <cell r="D65" t="str">
            <v>PSC Piles, 400mm x 400mm x 21m.</v>
          </cell>
        </row>
        <row r="66">
          <cell r="D66" t="str">
            <v>PSC Piles, 400mm x 400mm x 22m.</v>
          </cell>
        </row>
        <row r="67">
          <cell r="D67" t="str">
            <v>PSC Piles, 400mm x 400mm x 24m.</v>
          </cell>
        </row>
        <row r="68">
          <cell r="D68" t="str">
            <v>PSC Test Piles, 400mm x 400mm x 10m.</v>
          </cell>
        </row>
        <row r="69">
          <cell r="D69" t="str">
            <v>PSC Test Piles, 400mm x 400mm x 12m.</v>
          </cell>
        </row>
        <row r="70">
          <cell r="D70" t="str">
            <v>PSC Test Piles, 400mm x 400mm x 14m.</v>
          </cell>
        </row>
        <row r="71">
          <cell r="D71" t="str">
            <v>PSC Test Piles, 400mm x 400mm x 21m.</v>
          </cell>
        </row>
        <row r="72">
          <cell r="D72" t="str">
            <v>PSC Test Piles, 400mm x 400mm x 22m.</v>
          </cell>
        </row>
        <row r="73">
          <cell r="D73" t="str">
            <v xml:space="preserve">PSC Test Piles, 400mm x 400mm x 24m. </v>
          </cell>
        </row>
        <row r="74">
          <cell r="D74" t="str">
            <v xml:space="preserve">PSC Test Piles, 450mm x 450mm x 35m. </v>
          </cell>
        </row>
        <row r="75">
          <cell r="D75" t="str">
            <v xml:space="preserve">PSC Test Piles, 450mm x 450mm x 35m. </v>
          </cell>
        </row>
        <row r="76">
          <cell r="D76" t="str">
            <v>PSC Piles, 450mm x 450mm x 35m.</v>
          </cell>
        </row>
        <row r="77">
          <cell r="D77" t="str">
            <v xml:space="preserve">PSC Test Piles, 450mm x 450mm x 25m. </v>
          </cell>
        </row>
        <row r="78">
          <cell r="D78" t="str">
            <v>PSC Piles, 450mm x 450mm x 25m.</v>
          </cell>
        </row>
        <row r="79">
          <cell r="D79" t="str">
            <v>PSC Piles, 400mm x 400mm x 40m.</v>
          </cell>
        </row>
        <row r="80">
          <cell r="D80" t="str">
            <v xml:space="preserve">PSC Test Piles, 400mm x 400mm x 40m. </v>
          </cell>
        </row>
        <row r="81">
          <cell r="D81" t="str">
            <v xml:space="preserve">PSC Test Piles, 400mm x 400mm x 40m. </v>
          </cell>
        </row>
        <row r="82">
          <cell r="D82" t="str">
            <v>PSC Piles, 400mm x 400mm x 40m.</v>
          </cell>
        </row>
        <row r="83">
          <cell r="D83" t="str">
            <v xml:space="preserve">PSC Test Piles - 400mm x 400mm x 24m. </v>
          </cell>
        </row>
        <row r="84">
          <cell r="D84" t="str">
            <v xml:space="preserve">PSC Test Piles - 400mm x 400mm x 24m. </v>
          </cell>
        </row>
        <row r="85">
          <cell r="D85" t="str">
            <v>PSC Piles - 400mm x 400mm x 24m.</v>
          </cell>
        </row>
        <row r="86">
          <cell r="D86" t="str">
            <v>Steel Piles</v>
          </cell>
        </row>
        <row r="87">
          <cell r="D87" t="str">
            <v>Steel Sheet Pile (PZ27)</v>
          </cell>
        </row>
        <row r="88">
          <cell r="D88" t="str">
            <v>Steel Piles</v>
          </cell>
        </row>
        <row r="89">
          <cell r="D89" t="str">
            <v>Steel Piles</v>
          </cell>
        </row>
        <row r="90">
          <cell r="D90" t="str">
            <v>Steel Sheet Pile (PZ27)</v>
          </cell>
        </row>
        <row r="91">
          <cell r="D91" t="str">
            <v>Steel Pipe Pile (Ø 450 x 12t x 18m. - SKK400)</v>
          </cell>
        </row>
        <row r="92">
          <cell r="D92" t="str">
            <v>Steel Pipe Pile (Ø 150 x 12t x 6m. - SKK400)</v>
          </cell>
        </row>
        <row r="96">
          <cell r="D96" t="str">
            <v>( TIMBER and INDIGENOUS MATERIALS )</v>
          </cell>
        </row>
        <row r="97">
          <cell r="D97" t="str">
            <v>1" x 6" (Yakal)</v>
          </cell>
        </row>
        <row r="98">
          <cell r="D98" t="str">
            <v>( TIMBER and INDIGENOUS MATERIALS )</v>
          </cell>
        </row>
        <row r="99">
          <cell r="D99" t="str">
            <v>( TIMBER and INDIGENOUS MATERIALS )</v>
          </cell>
        </row>
        <row r="100">
          <cell r="D100" t="str">
            <v>1" x 6" (Yakal)</v>
          </cell>
        </row>
        <row r="101">
          <cell r="D101" t="str">
            <v>2" x 2" (Yakal)</v>
          </cell>
        </row>
        <row r="102">
          <cell r="D102" t="str">
            <v>2" x 6" (Yakal)</v>
          </cell>
        </row>
        <row r="103">
          <cell r="D103" t="str">
            <v>2" x 4" (Yakal or equivalent)</v>
          </cell>
        </row>
        <row r="104">
          <cell r="D104" t="str">
            <v>2" x 4" (Yakal)</v>
          </cell>
        </row>
        <row r="105">
          <cell r="D105" t="str">
            <v>2" x 3" (Yakal)</v>
          </cell>
        </row>
        <row r="106">
          <cell r="D106" t="str">
            <v>2" x 6" (Yakal)</v>
          </cell>
        </row>
        <row r="107">
          <cell r="D107" t="str">
            <v>2" x 6" x 6' (Yakal)</v>
          </cell>
        </row>
        <row r="108">
          <cell r="D108" t="str">
            <v>2" x 6" x 6' (Yakal or equivalent)</v>
          </cell>
        </row>
        <row r="109">
          <cell r="D109" t="str">
            <v>2" x 6" x 8' (Yakal)</v>
          </cell>
        </row>
        <row r="110">
          <cell r="D110" t="str">
            <v>2" x 6" x 10' (Yakal)</v>
          </cell>
        </row>
        <row r="111">
          <cell r="D111" t="str">
            <v>2" x 6" x 12' (Yakal)</v>
          </cell>
        </row>
        <row r="112">
          <cell r="D112" t="str">
            <v>2" x 6" x 14' (Yakal)</v>
          </cell>
        </row>
        <row r="113">
          <cell r="D113" t="str">
            <v>3" x 4" (Yakal)</v>
          </cell>
        </row>
        <row r="114">
          <cell r="D114" t="str">
            <v>4" x 4" (Yakal)</v>
          </cell>
        </row>
        <row r="115">
          <cell r="D115" t="str">
            <v>3" x 4" (Yakal or equivalent)</v>
          </cell>
        </row>
        <row r="116">
          <cell r="D116" t="str">
            <v>3" x 4" x 8' (Yakal)</v>
          </cell>
        </row>
        <row r="117">
          <cell r="D117" t="str">
            <v>3" x 4" x 10' (Yakal)</v>
          </cell>
        </row>
        <row r="118">
          <cell r="D118" t="str">
            <v>6" x 6" (Yakal)</v>
          </cell>
        </row>
        <row r="119">
          <cell r="D119" t="str">
            <v>6" x 6" (Yakal or equivalent)</v>
          </cell>
        </row>
        <row r="120">
          <cell r="D120" t="str">
            <v>6" x 6" (Molave)</v>
          </cell>
        </row>
        <row r="121">
          <cell r="D121" t="str">
            <v>6" x 6" (Molave or equivalent)</v>
          </cell>
        </row>
        <row r="122">
          <cell r="D122" t="str">
            <v>6" x 6" x 10' (Yakal)</v>
          </cell>
        </row>
        <row r="123">
          <cell r="D123" t="str">
            <v>6" x 6" x 8' (Molave)</v>
          </cell>
        </row>
        <row r="124">
          <cell r="D124" t="str">
            <v>6" x 6" x 10' (Molave)</v>
          </cell>
        </row>
        <row r="125">
          <cell r="D125" t="str">
            <v>6" x 6" x 14' (Molave)</v>
          </cell>
        </row>
        <row r="126">
          <cell r="D126" t="str">
            <v>6" x 6" x 16' (Molave)</v>
          </cell>
        </row>
        <row r="127">
          <cell r="D127" t="str">
            <v>6" x 6" x 18' (Molave)</v>
          </cell>
        </row>
        <row r="128">
          <cell r="D128" t="str">
            <v>6" x 6" x 20' (Molave)</v>
          </cell>
        </row>
        <row r="129">
          <cell r="D129" t="str">
            <v>6" x 6" x 22' (Molave)</v>
          </cell>
        </row>
        <row r="130">
          <cell r="D130" t="str">
            <v>8" Ø Molave Pile</v>
          </cell>
        </row>
        <row r="131">
          <cell r="D131" t="str">
            <v>Yakal</v>
          </cell>
        </row>
        <row r="132">
          <cell r="D132" t="str">
            <v>Guijo</v>
          </cell>
        </row>
        <row r="133">
          <cell r="D133" t="str">
            <v>Apitong</v>
          </cell>
        </row>
        <row r="134">
          <cell r="D134" t="str">
            <v>Lauan</v>
          </cell>
        </row>
        <row r="135">
          <cell r="D135" t="str">
            <v>Coco Trunks</v>
          </cell>
        </row>
        <row r="136">
          <cell r="D136" t="str">
            <v>Coco Lumber</v>
          </cell>
        </row>
        <row r="137">
          <cell r="D137" t="str">
            <v>Coco Lumber (Miscut)</v>
          </cell>
        </row>
        <row r="138">
          <cell r="D138" t="str">
            <v>Falsework &amp; Scaffolds (Coco Lumber)</v>
          </cell>
        </row>
        <row r="139">
          <cell r="D139" t="str">
            <v>Falsework, Scaffolds &amp; Formworks (Coco Lumber)</v>
          </cell>
        </row>
        <row r="140">
          <cell r="D140" t="str">
            <v>Bamboo Poles</v>
          </cell>
        </row>
        <row r="141">
          <cell r="D141" t="str">
            <v>1½"   Bamboo Slats</v>
          </cell>
        </row>
        <row r="142">
          <cell r="D142" t="str">
            <v>Bamboo Slats</v>
          </cell>
        </row>
        <row r="143">
          <cell r="D143" t="str">
            <v>Bacauan</v>
          </cell>
        </row>
        <row r="144">
          <cell r="D144" t="str">
            <v>Tambulian or Equivalent</v>
          </cell>
        </row>
        <row r="145">
          <cell r="D145" t="str">
            <v>Nipa Shingles</v>
          </cell>
        </row>
        <row r="146">
          <cell r="D146" t="str">
            <v>Gemilina</v>
          </cell>
        </row>
        <row r="147">
          <cell r="D147" t="str">
            <v>( TIMBER PRODUCTS )</v>
          </cell>
        </row>
        <row r="148">
          <cell r="D148" t="str">
            <v>( TIMBER PRODUCTS )</v>
          </cell>
        </row>
        <row r="149">
          <cell r="D149" t="str">
            <v>Mouldings and Slats</v>
          </cell>
        </row>
        <row r="150">
          <cell r="D150" t="str">
            <v>S-Type Mouldings/Cornice</v>
          </cell>
        </row>
        <row r="151">
          <cell r="D151" t="str">
            <v>Moulding/Cornice</v>
          </cell>
        </row>
        <row r="152">
          <cell r="D152" t="str">
            <v>0.70 x 1.00 fixed Louvers</v>
          </cell>
        </row>
        <row r="153">
          <cell r="D153" t="str">
            <v>Wall Boards, T&amp;G, stone-cut, etc.</v>
          </cell>
        </row>
        <row r="154">
          <cell r="D154" t="str">
            <v>¼" thk, Ordinary Plywood</v>
          </cell>
        </row>
        <row r="155">
          <cell r="D155" t="str">
            <v>3/8" thk, Ordinary Plywood</v>
          </cell>
        </row>
        <row r="156">
          <cell r="D156" t="str">
            <v>½" thk, Ordinary Plywood</v>
          </cell>
        </row>
        <row r="157">
          <cell r="D157" t="str">
            <v>3/4" thk,  Ordinary Plywood</v>
          </cell>
        </row>
        <row r="158">
          <cell r="D158" t="str">
            <v>¼" thk,  Marine Plywood</v>
          </cell>
        </row>
        <row r="159">
          <cell r="D159" t="str">
            <v>½" thk,  Marine Plywood</v>
          </cell>
        </row>
        <row r="160">
          <cell r="D160" t="str">
            <v>3/8" thk,  Form Plywood</v>
          </cell>
        </row>
        <row r="161">
          <cell r="D161" t="str">
            <v>4" x 8' Stone-Cut T&amp;G</v>
          </cell>
        </row>
        <row r="162">
          <cell r="D162" t="str">
            <v>1/4"Hardiflex</v>
          </cell>
        </row>
        <row r="163">
          <cell r="D163" t="str">
            <v>Wooden Door Set</v>
          </cell>
        </row>
        <row r="164">
          <cell r="D164" t="str">
            <v>Wooden Window Set w/ Steel Grilles</v>
          </cell>
        </row>
        <row r="165">
          <cell r="D165" t="str">
            <v>Wooden Window-1 Set w/ Steel Grilles</v>
          </cell>
        </row>
        <row r="166">
          <cell r="D166" t="str">
            <v>Wooden Window-2 Set w/ Steel Grilles</v>
          </cell>
        </row>
        <row r="167">
          <cell r="D167" t="str">
            <v>Wooden Door-1 Set</v>
          </cell>
        </row>
        <row r="168">
          <cell r="D168" t="str">
            <v>Wooden Door-1 Set</v>
          </cell>
        </row>
        <row r="169">
          <cell r="D169" t="str">
            <v>Wooden Door-2 Set</v>
          </cell>
        </row>
        <row r="170">
          <cell r="D170" t="str">
            <v>Wooden Door-3 Set</v>
          </cell>
        </row>
        <row r="171">
          <cell r="D171" t="str">
            <v>Wooden Window Set</v>
          </cell>
        </row>
        <row r="172">
          <cell r="D172" t="str">
            <v>Wooden Window-1 Set w/ Steel Grilles</v>
          </cell>
        </row>
        <row r="173">
          <cell r="D173" t="str">
            <v>Wooden Window Set w/ Steel Grilles</v>
          </cell>
        </row>
        <row r="174">
          <cell r="D174" t="str">
            <v>Wooden Window Set w/ Steel Grilles</v>
          </cell>
        </row>
        <row r="175">
          <cell r="D175" t="str">
            <v>Wooden Window-1 Set w/ Steel Grilles</v>
          </cell>
        </row>
        <row r="176">
          <cell r="D176" t="str">
            <v>Wooden Window-2 Set w/ Steel Grilles</v>
          </cell>
        </row>
        <row r="178">
          <cell r="D178" t="str">
            <v>( FLAT &amp; ROUND STEEL BARS )</v>
          </cell>
        </row>
        <row r="179">
          <cell r="D179" t="str">
            <v>Deformed Bars, Grade 40</v>
          </cell>
        </row>
        <row r="180">
          <cell r="D180" t="str">
            <v>( FLAT &amp; ROUND STEEL BARS )</v>
          </cell>
        </row>
        <row r="181">
          <cell r="D181" t="str">
            <v>( FLAT &amp; ROUND STEEL BARS )</v>
          </cell>
        </row>
        <row r="182">
          <cell r="D182" t="str">
            <v>Deformed Bars, Grade 40</v>
          </cell>
        </row>
        <row r="183">
          <cell r="D183" t="str">
            <v>Deformed Bars, Grade 33</v>
          </cell>
        </row>
        <row r="184">
          <cell r="D184" t="str">
            <v xml:space="preserve">6mmØ x 6m. RSB </v>
          </cell>
        </row>
        <row r="185">
          <cell r="D185" t="str">
            <v xml:space="preserve">8mmØ x 6m. RSB </v>
          </cell>
        </row>
        <row r="186">
          <cell r="D186" t="str">
            <v xml:space="preserve">10mmØ x 6m. RSB </v>
          </cell>
        </row>
        <row r="187">
          <cell r="D187" t="str">
            <v xml:space="preserve">12mmØ x 6m. RSB </v>
          </cell>
        </row>
        <row r="188">
          <cell r="D188" t="str">
            <v>Deformed Bars, (276 Mpa)</v>
          </cell>
        </row>
        <row r="189">
          <cell r="D189" t="str">
            <v>Deformed Bars, (230 Mpa)</v>
          </cell>
        </row>
        <row r="190">
          <cell r="D190" t="str">
            <v>Plain Round Bars, Grade 33</v>
          </cell>
        </row>
        <row r="191">
          <cell r="D191" t="str">
            <v>12mm  Suction Rod with Threaded Coupling</v>
          </cell>
        </row>
        <row r="192">
          <cell r="D192" t="str">
            <v>Square Bar</v>
          </cell>
        </row>
        <row r="193">
          <cell r="D193" t="str">
            <v>¼" X 2½" Flat Bar</v>
          </cell>
        </row>
        <row r="194">
          <cell r="D194" t="str">
            <v>36mmØ Splicing Bar</v>
          </cell>
        </row>
        <row r="195">
          <cell r="D195" t="str">
            <v>10mmØ x 6m. RSB Grade 33</v>
          </cell>
        </row>
        <row r="196">
          <cell r="D196" t="str">
            <v>10mmØ x 6m. RSB Grade 33</v>
          </cell>
        </row>
        <row r="197">
          <cell r="D197" t="str">
            <v>10mmØ x 7.5m. RSB Grade 33</v>
          </cell>
        </row>
        <row r="198">
          <cell r="D198" t="str">
            <v>10mmØ x 9m. RSB Grade 33</v>
          </cell>
        </row>
        <row r="199">
          <cell r="D199" t="str">
            <v>12mmØ x 6m. RSB Grade 33</v>
          </cell>
        </row>
        <row r="200">
          <cell r="D200" t="str">
            <v>12mmØ x 7.5m. RSB Grade 33</v>
          </cell>
        </row>
        <row r="201">
          <cell r="D201" t="str">
            <v>12mmØ x 9m. RSB Grade 33</v>
          </cell>
        </row>
        <row r="202">
          <cell r="D202" t="str">
            <v>16mmØ x 6m. RSB Grade 33</v>
          </cell>
        </row>
        <row r="203">
          <cell r="D203" t="str">
            <v>16mmØ x 7.5m. RSB Grade 33</v>
          </cell>
        </row>
        <row r="204">
          <cell r="D204" t="str">
            <v>16mmØ x 9m. RSB Grade 33</v>
          </cell>
        </row>
        <row r="205">
          <cell r="D205" t="str">
            <v>20mmØ x 6m. RSB Grade 33</v>
          </cell>
        </row>
        <row r="206">
          <cell r="D206" t="str">
            <v>20mmØ x 7.5m. RSB Grade 33</v>
          </cell>
        </row>
        <row r="207">
          <cell r="D207" t="str">
            <v>20mmØ x 9m. RSB Grade 33</v>
          </cell>
        </row>
        <row r="208">
          <cell r="D208" t="str">
            <v>25mmØ x 6m. RSB Grade 33</v>
          </cell>
        </row>
        <row r="209">
          <cell r="D209" t="str">
            <v>25mmØ x 7.5m. RSB Grade 33</v>
          </cell>
        </row>
        <row r="210">
          <cell r="D210" t="str">
            <v>25mmØ x 9m. RSB Grade 33</v>
          </cell>
        </row>
        <row r="211">
          <cell r="D211" t="str">
            <v>28mmØ x 6m. RSB Grade 33</v>
          </cell>
        </row>
        <row r="212">
          <cell r="D212" t="str">
            <v>3/16"x1½"x1½" Angle Bar</v>
          </cell>
        </row>
        <row r="213">
          <cell r="D213" t="str">
            <v>( STRUCTURAL STEEL )</v>
          </cell>
        </row>
        <row r="214">
          <cell r="D214" t="str">
            <v>( STRUCTURAL STEEL )</v>
          </cell>
        </row>
        <row r="215">
          <cell r="D215" t="str">
            <v>3/16"x1½"x1½" Angle Bar</v>
          </cell>
        </row>
        <row r="216">
          <cell r="D216" t="str">
            <v>1/8" x 2" x 2" Angle Bar</v>
          </cell>
        </row>
        <row r="217">
          <cell r="D217" t="str">
            <v>3/16" x 2" x 2" Angle Bar</v>
          </cell>
        </row>
        <row r="218">
          <cell r="D218" t="str">
            <v>3/16" x 1" x1" Angle Bar</v>
          </cell>
        </row>
        <row r="219">
          <cell r="D219" t="str">
            <v>1" x 1/4" Flat Bar</v>
          </cell>
        </row>
        <row r="220">
          <cell r="D220" t="str">
            <v>38mm x 38mmx 5mm Angle Bar</v>
          </cell>
        </row>
        <row r="221">
          <cell r="D221" t="str">
            <v>38mm x 38mmx 6mm Angle Bar</v>
          </cell>
        </row>
        <row r="222">
          <cell r="D222" t="str">
            <v>40mm x 40mmx 6mm Angle Bar</v>
          </cell>
        </row>
        <row r="223">
          <cell r="D223" t="str">
            <v>25mm x 25mm x 3mm Angle Bar</v>
          </cell>
        </row>
        <row r="224">
          <cell r="D224" t="str">
            <v>25mm x 25mm x 6mm Angle Bar</v>
          </cell>
        </row>
        <row r="225">
          <cell r="D225" t="str">
            <v>50mm x 50mm x 4.5mm Angle Bar</v>
          </cell>
        </row>
        <row r="226">
          <cell r="D226" t="str">
            <v>3/16" x 2½" x2½" Angle Bar</v>
          </cell>
        </row>
        <row r="227">
          <cell r="D227" t="str">
            <v>100mm x 100mm x 8mm Angle Bar</v>
          </cell>
        </row>
        <row r="228">
          <cell r="D228" t="str">
            <v>100mm x 100mm x 10mm Angle Bar</v>
          </cell>
        </row>
        <row r="229">
          <cell r="D229" t="str">
            <v>100mm x 100mm x 12mm Angle Bar</v>
          </cell>
        </row>
        <row r="230">
          <cell r="D230" t="str">
            <v>Structural Steel, ASTM A36</v>
          </cell>
        </row>
        <row r="231">
          <cell r="D231" t="str">
            <v>Structural Steel Plate 9mm thk., ASTM A36</v>
          </cell>
        </row>
        <row r="232">
          <cell r="D232" t="str">
            <v>Structural Steel Plate 12mm thk., ASTM A36</v>
          </cell>
        </row>
        <row r="233">
          <cell r="D233" t="str">
            <v>Structural Steel Plate 16mm thk., ASTM A36</v>
          </cell>
        </row>
        <row r="234">
          <cell r="D234" t="str">
            <v>Structural Steel Plate 25mm thk., ASTM A36</v>
          </cell>
        </row>
        <row r="235">
          <cell r="D235" t="str">
            <v>Structural Steel 50mm x 50mm x 6m., ASTM A36</v>
          </cell>
        </row>
        <row r="236">
          <cell r="D236" t="str">
            <v>Steel Channel, 4 x 7.25</v>
          </cell>
        </row>
        <row r="237">
          <cell r="D237" t="str">
            <v>Steel Channel, 6 x 13</v>
          </cell>
        </row>
        <row r="238">
          <cell r="D238" t="str">
            <v>Steel Channel, C10 x 30</v>
          </cell>
        </row>
        <row r="239">
          <cell r="D239" t="str">
            <v>2" x 4" C-Purlin, Ga.16</v>
          </cell>
        </row>
        <row r="240">
          <cell r="D240" t="str">
            <v>LC 100x50x15x2.0 Purlins</v>
          </cell>
        </row>
        <row r="241">
          <cell r="D241" t="str">
            <v>12mmØ x 210mm A325 Bolts</v>
          </cell>
        </row>
        <row r="242">
          <cell r="D242" t="str">
            <v>20mmØ x 210mm A325 Bolts</v>
          </cell>
        </row>
        <row r="243">
          <cell r="D243" t="str">
            <v>25mmØ x 300mm A325 Bolts</v>
          </cell>
        </row>
        <row r="244">
          <cell r="D244" t="str">
            <v>32mmØ Standard Turn Buckle</v>
          </cell>
        </row>
        <row r="245">
          <cell r="D245" t="str">
            <v>32mmØ Standard Ring Joint</v>
          </cell>
        </row>
        <row r="246">
          <cell r="D246" t="str">
            <v>32mmØ Tie Rod</v>
          </cell>
        </row>
        <row r="247">
          <cell r="D247" t="str">
            <v>25mmØ x 500mm A325 Bolts</v>
          </cell>
        </row>
        <row r="248">
          <cell r="D248" t="str">
            <v>16mmØ x 250mm A325 Bolts</v>
          </cell>
        </row>
        <row r="249">
          <cell r="D249" t="str">
            <v>16mmØ x 50mm A325 Bolts</v>
          </cell>
        </row>
        <row r="250">
          <cell r="D250" t="str">
            <v>12mmØ x 75mm A325 Bolts</v>
          </cell>
        </row>
        <row r="251">
          <cell r="D251" t="str">
            <v>Steel Plate</v>
          </cell>
        </row>
        <row r="252">
          <cell r="D252" t="str">
            <v>Steel Plate</v>
          </cell>
        </row>
        <row r="253">
          <cell r="D253" t="str">
            <v>Consumables</v>
          </cell>
        </row>
        <row r="254">
          <cell r="D254" t="str">
            <v>Joint Sealer</v>
          </cell>
        </row>
        <row r="257">
          <cell r="D257" t="str">
            <v>( NAILS, BOLTS and FASTENERS )</v>
          </cell>
        </row>
        <row r="258">
          <cell r="D258" t="str">
            <v>Common Wire Nails</v>
          </cell>
        </row>
        <row r="259">
          <cell r="D259" t="str">
            <v>( NAILS, BOLTS and FASTENERS )</v>
          </cell>
        </row>
        <row r="260">
          <cell r="D260" t="str">
            <v>( NAILS, BOLTS and FASTENERS )</v>
          </cell>
        </row>
        <row r="261">
          <cell r="D261" t="str">
            <v>Common Wire Nails</v>
          </cell>
        </row>
        <row r="262">
          <cell r="D262" t="str">
            <v>Common Wire Nails (Keg)</v>
          </cell>
        </row>
        <row r="263">
          <cell r="D263" t="str">
            <v>Finishing Nails</v>
          </cell>
        </row>
        <row r="264">
          <cell r="D264" t="str">
            <v>Roofing Nails umbrella type</v>
          </cell>
        </row>
        <row r="265">
          <cell r="D265" t="str">
            <v>Concrete Nail</v>
          </cell>
        </row>
        <row r="266">
          <cell r="D266" t="str">
            <v>13mm, High-Strength Bolt, 4"</v>
          </cell>
        </row>
        <row r="267">
          <cell r="D267" t="str">
            <v>Machine Bolt w/ nut &amp; washer</v>
          </cell>
        </row>
        <row r="268">
          <cell r="D268" t="str">
            <v>16mmØ x 229 Machine Bolt w/ nut &amp; washer</v>
          </cell>
        </row>
        <row r="269">
          <cell r="D269" t="str">
            <v>20mmØ GI Machine Bolt w/ nut &amp; washer</v>
          </cell>
        </row>
        <row r="270">
          <cell r="D270" t="str">
            <v>16mmØ GI Machine Bolt w/ nut &amp; washer</v>
          </cell>
        </row>
        <row r="271">
          <cell r="D271" t="str">
            <v>12mmØ GI Machine Bolt w/ nut &amp; washer</v>
          </cell>
        </row>
        <row r="272">
          <cell r="D272" t="str">
            <v>Boat Spike (Nail)</v>
          </cell>
        </row>
        <row r="273">
          <cell r="D273" t="str">
            <v>7/8" Anchor Bolt, 10"</v>
          </cell>
        </row>
        <row r="274">
          <cell r="D274" t="str">
            <v>16mmØ x 250mm Anchor Bolt</v>
          </cell>
        </row>
        <row r="275">
          <cell r="D275" t="str">
            <v>12mmØ x 38mm Anchor Bolt</v>
          </cell>
        </row>
        <row r="276">
          <cell r="D276" t="str">
            <v>20mm, Turn Buckle</v>
          </cell>
        </row>
        <row r="277">
          <cell r="D277" t="str">
            <v>16mm, Turn Buckle</v>
          </cell>
        </row>
        <row r="278">
          <cell r="D278" t="str">
            <v>12mm  Turnbuckle</v>
          </cell>
        </row>
        <row r="279">
          <cell r="D279" t="str">
            <v>13mm, U-Bolt</v>
          </cell>
        </row>
        <row r="280">
          <cell r="D280" t="str">
            <v>13mm, Cable Clip</v>
          </cell>
        </row>
        <row r="281">
          <cell r="D281" t="str">
            <v>32mm, Cable Clip</v>
          </cell>
        </row>
        <row r="282">
          <cell r="D282" t="str">
            <v>13mm,  Thimble</v>
          </cell>
        </row>
        <row r="283">
          <cell r="D283" t="str">
            <v>12mm  Stainless Screw, 1/2"</v>
          </cell>
        </row>
        <row r="284">
          <cell r="D284" t="str">
            <v>Tekscrew</v>
          </cell>
        </row>
        <row r="285">
          <cell r="D285" t="str">
            <v>Post Strap Flat Bar</v>
          </cell>
        </row>
        <row r="286">
          <cell r="D286" t="str">
            <v>( GI WIRES )</v>
          </cell>
        </row>
        <row r="287">
          <cell r="D287" t="str">
            <v>( GI WIRES )</v>
          </cell>
        </row>
        <row r="288">
          <cell r="D288" t="str">
            <v>Ga.16 GI Tie Wire</v>
          </cell>
        </row>
        <row r="289">
          <cell r="D289" t="str">
            <v>G.I. Rivets</v>
          </cell>
        </row>
        <row r="290">
          <cell r="D290" t="str">
            <v>( ROOFING SHEET )</v>
          </cell>
        </row>
        <row r="291">
          <cell r="D291" t="str">
            <v>( ROOFING SHEET )</v>
          </cell>
        </row>
        <row r="292">
          <cell r="D292" t="str">
            <v>GI Sheet Roofing</v>
          </cell>
        </row>
        <row r="293">
          <cell r="D293" t="str">
            <v>CORR. G.I.sheets, Ga.26 x 10ft.</v>
          </cell>
        </row>
        <row r="294">
          <cell r="D294" t="str">
            <v>CORR. G.I.sheets, Ga.31</v>
          </cell>
        </row>
        <row r="295">
          <cell r="D295" t="str">
            <v>CORR. G.I.sheets x 6' , Ga.26</v>
          </cell>
        </row>
        <row r="296">
          <cell r="D296" t="str">
            <v>CORR. G.I.sheets x 8' , Ga.26</v>
          </cell>
        </row>
        <row r="297">
          <cell r="D297" t="str">
            <v>3' x 8' Plain G.I. Sheet, Ga.26</v>
          </cell>
        </row>
        <row r="298">
          <cell r="D298" t="str">
            <v>3' x 8' Plain G.I. Sheet, Ga.31</v>
          </cell>
        </row>
        <row r="299">
          <cell r="D299" t="str">
            <v>Plain G.I. Sheet, Ga.26 x 10ft.</v>
          </cell>
        </row>
        <row r="300">
          <cell r="D300" t="str">
            <v>Pre-Painted Corr. GI Sht, Ga.26</v>
          </cell>
        </row>
        <row r="301">
          <cell r="D301" t="str">
            <v>24" Prefab GI Gutter</v>
          </cell>
        </row>
        <row r="302">
          <cell r="D302" t="str">
            <v>12" Prefab GI Ridge Roll</v>
          </cell>
        </row>
        <row r="303">
          <cell r="D303" t="str">
            <v>18" Prefab GI Flashing</v>
          </cell>
        </row>
        <row r="304">
          <cell r="D304" t="str">
            <v>3' x 8' Plain G.I. Sheet, Ga.24</v>
          </cell>
        </row>
        <row r="305">
          <cell r="D305" t="str">
            <v>0.40mm x 0.830m Durawide Rib Type Roofing Sheet (Phil Metal)</v>
          </cell>
        </row>
        <row r="306">
          <cell r="D306" t="str">
            <v>0.40mm x 0.45m x 3.66m) Pre-painted ridge roll (Phil Metal)</v>
          </cell>
        </row>
        <row r="307">
          <cell r="D307" t="str">
            <v>0.40mm x 0.915 x 3.66m) Spanish End Flashing (Phil Metal)</v>
          </cell>
        </row>
        <row r="308">
          <cell r="D308" t="str">
            <v>0.40mm x 0.915 x 3.66m) Spanish Gutter (Phil Metal)</v>
          </cell>
        </row>
        <row r="309">
          <cell r="D309" t="str">
            <v>Teks 4 #12-24 x 45mm Hex w/ Neo</v>
          </cell>
        </row>
        <row r="310">
          <cell r="D310" t="str">
            <v>Prepainted Galvallum Corr..sheets , 0.35mm thk.</v>
          </cell>
        </row>
        <row r="311">
          <cell r="D311" t="str">
            <v>Prepainted Galvallum Plain sheets, 0.35mm thk.</v>
          </cell>
        </row>
        <row r="312">
          <cell r="D312" t="str">
            <v>Prepainted Galvallum Corr..sheets x 6' , 0.35mm thk.</v>
          </cell>
        </row>
        <row r="313">
          <cell r="D313" t="str">
            <v>Prepainted Galvallum Corr..sheets x 8' , 0.35mm thk.</v>
          </cell>
        </row>
        <row r="314">
          <cell r="D314" t="str">
            <v>Prepainted Galvallum Plain sheets x 10' , 0.35mm thk.</v>
          </cell>
        </row>
        <row r="315">
          <cell r="D315" t="str">
            <v>Blind Rivets</v>
          </cell>
        </row>
        <row r="316">
          <cell r="D316" t="str">
            <v>Silicon Rubber Sealant</v>
          </cell>
        </row>
        <row r="317">
          <cell r="D317" t="str">
            <v>Blind Rivets</v>
          </cell>
        </row>
        <row r="318">
          <cell r="D318" t="str">
            <v>Blind Rivets</v>
          </cell>
        </row>
        <row r="319">
          <cell r="D319" t="str">
            <v>Silicon Rubber Sealant</v>
          </cell>
        </row>
        <row r="320">
          <cell r="D320" t="str">
            <v>Touch-up Acrylic Paint</v>
          </cell>
        </row>
        <row r="321">
          <cell r="D321" t="str">
            <v>( HARDWARES )</v>
          </cell>
        </row>
        <row r="322">
          <cell r="D322" t="str">
            <v>( HARDWARES )</v>
          </cell>
        </row>
        <row r="323">
          <cell r="D323" t="str">
            <v>Gutter seal</v>
          </cell>
        </row>
        <row r="324">
          <cell r="D324" t="str">
            <v>4'-wide Cyclone  Wire x 8m</v>
          </cell>
        </row>
        <row r="325">
          <cell r="D325" t="str">
            <v>1¼ "dia. X 6" Double Type Pulley Level</v>
          </cell>
        </row>
        <row r="326">
          <cell r="D326" t="str">
            <v>1¼ "dia. X 6" Steel Ring Bolt Adaptor</v>
          </cell>
        </row>
        <row r="327">
          <cell r="D327" t="str">
            <v>1¼ "dia. X 1¼" Steel Ring Bolt Adaptor</v>
          </cell>
        </row>
        <row r="328">
          <cell r="D328" t="str">
            <v>1" Cylindrical Ejector Assembly, 32"</v>
          </cell>
        </row>
        <row r="329">
          <cell r="D329" t="str">
            <v>1½" " Cylindrical Ejector Assembly, 32"</v>
          </cell>
        </row>
        <row r="330">
          <cell r="D330" t="str">
            <v>Cylindrical Door Knob</v>
          </cell>
        </row>
        <row r="331">
          <cell r="D331" t="str">
            <v>4" Barrel Bolts</v>
          </cell>
        </row>
        <row r="332">
          <cell r="D332" t="str">
            <v>4" x 4" Loose Pin Butt Hinges</v>
          </cell>
        </row>
        <row r="333">
          <cell r="D333" t="str">
            <v>3" x 3" Loose Pin Butt Hinges</v>
          </cell>
        </row>
        <row r="334">
          <cell r="D334" t="str">
            <v>4" Hasp Lock Hinges</v>
          </cell>
        </row>
        <row r="335">
          <cell r="D335" t="str">
            <v>Alum. Mesh Wire, 1/8" eye x 3'</v>
          </cell>
        </row>
        <row r="336">
          <cell r="D336" t="str">
            <v>Alum. Mesh Wire, 1/2" eye x 3'</v>
          </cell>
        </row>
        <row r="337">
          <cell r="D337" t="str">
            <v>Alum. Mesh Wire, 1" eye x 3'</v>
          </cell>
        </row>
        <row r="338">
          <cell r="D338" t="str">
            <v>Aluminum Mosquito Screen, 3ft-wide</v>
          </cell>
        </row>
        <row r="339">
          <cell r="D339" t="str">
            <v>Aukom Rug</v>
          </cell>
        </row>
        <row r="340">
          <cell r="D340" t="str">
            <v>Welding Rods 1/8"ø E60</v>
          </cell>
        </row>
        <row r="341">
          <cell r="D341" t="str">
            <v>Welding Rods 1/8"ø E70XX</v>
          </cell>
        </row>
        <row r="342">
          <cell r="D342" t="str">
            <v>Welwood Glue</v>
          </cell>
        </row>
        <row r="343">
          <cell r="D343" t="str">
            <v>Solvent Cement</v>
          </cell>
        </row>
        <row r="344">
          <cell r="D344" t="str">
            <v xml:space="preserve">1½"   Cylindrical Ejector Assmbly, CLAYTON USA </v>
          </cell>
        </row>
        <row r="345">
          <cell r="D345" t="str">
            <v xml:space="preserve">1¼" Cylindrical Ejector Assmbly, CLAYTON USA </v>
          </cell>
        </row>
        <row r="346">
          <cell r="D346" t="str">
            <v>½" Teflon Tape</v>
          </cell>
        </row>
        <row r="347">
          <cell r="D347" t="str">
            <v>¾" Teflon Tape</v>
          </cell>
        </row>
        <row r="348">
          <cell r="D348" t="str">
            <v>1"  Teflon Tape</v>
          </cell>
        </row>
        <row r="349">
          <cell r="D349" t="str">
            <v>Cabinet Door Handle</v>
          </cell>
        </row>
        <row r="350">
          <cell r="D350" t="str">
            <v>½" dia. x 3/4"  Pillow Block</v>
          </cell>
        </row>
        <row r="351">
          <cell r="D351" t="str">
            <v>#6203  Bearing</v>
          </cell>
        </row>
        <row r="352">
          <cell r="D352" t="str">
            <v>3/4"dia. x 4"  Steel Spring</v>
          </cell>
        </row>
        <row r="353">
          <cell r="D353" t="str">
            <v>1¼" Foot Valve, Brass</v>
          </cell>
        </row>
        <row r="354">
          <cell r="D354" t="str">
            <v>1" x 2" Cabinet Hinges</v>
          </cell>
        </row>
        <row r="355">
          <cell r="D355" t="str">
            <v>16 blades 4" Alum. Jal. Frame</v>
          </cell>
        </row>
        <row r="356">
          <cell r="D356" t="str">
            <v>14 blades 4" Alum. Jal. Frame</v>
          </cell>
        </row>
        <row r="357">
          <cell r="D357" t="str">
            <v>7 blades 4" Alum. Jal. Frame</v>
          </cell>
        </row>
        <row r="358">
          <cell r="D358" t="str">
            <v>Gabion Mattress</v>
          </cell>
        </row>
        <row r="359">
          <cell r="D359" t="str">
            <v>( STRUCTURAL STEEL WIRES AND CABLES )</v>
          </cell>
        </row>
        <row r="360">
          <cell r="D360" t="str">
            <v>( STRUCTURAL STEEL WIRES AND CABLES )</v>
          </cell>
        </row>
        <row r="361">
          <cell r="D361" t="str">
            <v>6mm,  IWRC (6 x  25)</v>
          </cell>
        </row>
        <row r="362">
          <cell r="D362" t="str">
            <v>8mm,  IWRC (6 x  25)</v>
          </cell>
        </row>
        <row r="363">
          <cell r="D363" t="str">
            <v>10mm,  IWRC (6 x  25)</v>
          </cell>
        </row>
        <row r="364">
          <cell r="D364" t="str">
            <v>11mm,  IWRC (6 x  25)</v>
          </cell>
        </row>
        <row r="365">
          <cell r="D365" t="str">
            <v>13mm,  IWRC (6 x  25)</v>
          </cell>
        </row>
        <row r="366">
          <cell r="D366" t="str">
            <v>14mm,  IWRC (6 x  25)</v>
          </cell>
        </row>
        <row r="367">
          <cell r="D367" t="str">
            <v>16mm,  IWRC (6 x  25)</v>
          </cell>
        </row>
        <row r="368">
          <cell r="D368" t="str">
            <v>20mm,  IWRC (6 x  25)</v>
          </cell>
        </row>
        <row r="369">
          <cell r="D369" t="str">
            <v>22mm,  IWRC (6 x  25)</v>
          </cell>
        </row>
        <row r="370">
          <cell r="D370" t="str">
            <v>25mm,  IWRC (6 x  25)</v>
          </cell>
        </row>
        <row r="371">
          <cell r="D371" t="str">
            <v>29mm,  IWRC (6 x  25)</v>
          </cell>
        </row>
        <row r="372">
          <cell r="D372" t="str">
            <v>32mm,  IWRC (6 x  25)</v>
          </cell>
        </row>
        <row r="373">
          <cell r="D373" t="str">
            <v>35mm, ,  IWRC (6 x  25)</v>
          </cell>
        </row>
        <row r="374">
          <cell r="D374" t="str">
            <v>38mm,  IWRC (6 x  25)</v>
          </cell>
        </row>
        <row r="375">
          <cell r="D375" t="str">
            <v>41mm,  IWRC (6 x  25)</v>
          </cell>
        </row>
        <row r="376">
          <cell r="D376" t="str">
            <v>44mm,  IWRC (6 x  25)</v>
          </cell>
        </row>
        <row r="377">
          <cell r="D377" t="str">
            <v>48mm,  IWRC (6 x  25)</v>
          </cell>
        </row>
        <row r="378">
          <cell r="D378" t="str">
            <v>51mm,  IWRC (6 x  25)</v>
          </cell>
        </row>
        <row r="379">
          <cell r="D379" t="str">
            <v>54mm,  IWRC (6 x  25)</v>
          </cell>
        </row>
        <row r="380">
          <cell r="D380" t="str">
            <v>57mm,  IWRC (6 x  25)</v>
          </cell>
        </row>
        <row r="381">
          <cell r="D381" t="str">
            <v>5mm, Wire Rope Fiber Core (6 x 25)</v>
          </cell>
        </row>
        <row r="382">
          <cell r="D382" t="str">
            <v>6mm, Wire Rope Fiber Core (6 x 25)</v>
          </cell>
        </row>
        <row r="383">
          <cell r="D383" t="str">
            <v>8mm, Wire Rope Fiber Core (6 x 25)</v>
          </cell>
        </row>
        <row r="384">
          <cell r="D384" t="str">
            <v>10mm, Wire Rope Fiber Core (6 x 25)</v>
          </cell>
        </row>
        <row r="385">
          <cell r="D385" t="str">
            <v>11mm, Wire Rope Fiber Core (6 x 25)</v>
          </cell>
        </row>
        <row r="386">
          <cell r="D386" t="str">
            <v>13mm, Wire Rope Fiber Core (6 x 25)</v>
          </cell>
        </row>
        <row r="387">
          <cell r="D387" t="str">
            <v>14mm, Wire Rope Fiber Core (6 x 25)</v>
          </cell>
        </row>
        <row r="388">
          <cell r="D388" t="str">
            <v>16mm, Wire Rope Fiber Core (6 x 25)</v>
          </cell>
        </row>
        <row r="389">
          <cell r="D389" t="str">
            <v>20mm, Wire Rope Fiber Core (6 x 25)</v>
          </cell>
        </row>
        <row r="390">
          <cell r="D390" t="str">
            <v>22mm, Wire Rope Fiber Core (6 x 25)</v>
          </cell>
        </row>
        <row r="391">
          <cell r="D391" t="str">
            <v>25mm, Wire Rope Fiber Core (6 x 25)</v>
          </cell>
        </row>
        <row r="392">
          <cell r="D392" t="str">
            <v>29mm, Wire Rope Fiber Core (6 x 25)</v>
          </cell>
        </row>
        <row r="393">
          <cell r="D393" t="str">
            <v>32mm, Wire Rope Fiber Core (6 x 25)</v>
          </cell>
        </row>
        <row r="394">
          <cell r="D394" t="str">
            <v>35mm, , Wire Rope Fiber Core (6 x 25)</v>
          </cell>
        </row>
        <row r="395">
          <cell r="D395" t="str">
            <v>38mm, Wire Rope Fiber Core (6 x 25)</v>
          </cell>
        </row>
        <row r="396">
          <cell r="D396" t="str">
            <v>41mm, Wire Rope Fiber Core (6 x 25)</v>
          </cell>
        </row>
        <row r="397">
          <cell r="D397" t="str">
            <v>44mm, Wire Rope Fiber Core (6 x 25)</v>
          </cell>
        </row>
        <row r="398">
          <cell r="D398" t="str">
            <v>48mm, Wire Rope Fiber Core (6 x 25)</v>
          </cell>
        </row>
        <row r="399">
          <cell r="D399" t="str">
            <v>51mm, Wire Rope Fiber Core (6 x 25)</v>
          </cell>
        </row>
        <row r="400">
          <cell r="D400" t="str">
            <v>54mm, Wire Rope Fiber Core (6 x 25)</v>
          </cell>
        </row>
        <row r="401">
          <cell r="D401" t="str">
            <v>57mm, Wire Rope Fiber Core (6 x 25)</v>
          </cell>
        </row>
        <row r="402">
          <cell r="D402" t="str">
            <v>10mm, High Grade Steel Cable</v>
          </cell>
        </row>
        <row r="403">
          <cell r="D403" t="str">
            <v>6mmØ Cable Clips</v>
          </cell>
        </row>
        <row r="404">
          <cell r="D404" t="str">
            <v>20mmØ Cable Clips</v>
          </cell>
        </row>
        <row r="405">
          <cell r="D405" t="str">
            <v>( STEEL PLATES )</v>
          </cell>
        </row>
        <row r="406">
          <cell r="D406" t="str">
            <v>( STEEL PLATES )</v>
          </cell>
        </row>
        <row r="407">
          <cell r="D407" t="str">
            <v>6mm, Expanded Metal Mesh</v>
          </cell>
        </row>
        <row r="408">
          <cell r="D408" t="str">
            <v>10mm, Steel Plate</v>
          </cell>
        </row>
        <row r="409">
          <cell r="D409" t="str">
            <v>6mm, Steel Plate</v>
          </cell>
        </row>
        <row r="410">
          <cell r="D410" t="str">
            <v>25mm, Steel Plate</v>
          </cell>
        </row>
        <row r="411">
          <cell r="D411" t="str">
            <v>200mm x 200mm x 6mm, Steel Plate</v>
          </cell>
        </row>
        <row r="412">
          <cell r="D412" t="str">
            <v>300mm x 300mm x 6mm, Steel Plate</v>
          </cell>
        </row>
        <row r="413">
          <cell r="D413" t="str">
            <v>Steel Plate</v>
          </cell>
        </row>
        <row r="414">
          <cell r="D414" t="str">
            <v>( STAINLESS STEEL CYLINDRICAL TANK )</v>
          </cell>
        </row>
        <row r="415">
          <cell r="D415" t="str">
            <v>( STAINLESS STEEL CYLINDRICAL TANK )</v>
          </cell>
        </row>
        <row r="416">
          <cell r="D416" t="str">
            <v>600L Ga. 18 Cylindrical H2O Tank</v>
          </cell>
        </row>
        <row r="417">
          <cell r="D417" t="str">
            <v>800L Ga. 18 Cylindrical H2O Tank</v>
          </cell>
        </row>
        <row r="418">
          <cell r="D418" t="str">
            <v>1000L Ga. 18 Cylindrical H2O Tank</v>
          </cell>
        </row>
        <row r="419">
          <cell r="D419" t="str">
            <v>( ALUMINUM AND GLASS )</v>
          </cell>
        </row>
        <row r="420">
          <cell r="D420" t="str">
            <v>( ALUMINUM AND GLASS )</v>
          </cell>
        </row>
        <row r="421">
          <cell r="D421" t="str">
            <v>Jalousie Glass Blade w/ Alum. Frame</v>
          </cell>
        </row>
        <row r="422">
          <cell r="D422" t="str">
            <v>Clear Glass</v>
          </cell>
        </row>
        <row r="423">
          <cell r="D423" t="str">
            <v>Smoke Glass</v>
          </cell>
        </row>
        <row r="424">
          <cell r="D424" t="str">
            <v>16 blades 4" Alum. Jal. Frame</v>
          </cell>
        </row>
        <row r="425">
          <cell r="D425" t="str">
            <v>14 blades 4" Alum. Jal. Frame</v>
          </cell>
        </row>
        <row r="426">
          <cell r="D426" t="str">
            <v>7 blades 4" Alum. Jal. Frame</v>
          </cell>
        </row>
        <row r="427">
          <cell r="D427" t="str">
            <v>( PLASTIC PRODUCTS )</v>
          </cell>
        </row>
        <row r="428">
          <cell r="D428" t="str">
            <v>( PLASTIC PRODUCTS )</v>
          </cell>
        </row>
        <row r="429">
          <cell r="D429" t="str">
            <v>25mm  Plastic Stranded Rope</v>
          </cell>
        </row>
        <row r="430">
          <cell r="D430" t="str">
            <v>PIPING &amp; EQUIPMENTS</v>
          </cell>
        </row>
        <row r="431">
          <cell r="D431" t="str">
            <v>PIPING &amp; EQUIPMENTS</v>
          </cell>
        </row>
        <row r="432">
          <cell r="D432" t="str">
            <v>Submersible Pumps &amp; its accessories</v>
          </cell>
        </row>
        <row r="433">
          <cell r="D433" t="str">
            <v>Submersible Pumps &amp; its accessories (3HP - 186S3.412)</v>
          </cell>
        </row>
        <row r="434">
          <cell r="D434" t="str">
            <v>Submersible Pumps &amp; its accessories (1HP - 136S10412)</v>
          </cell>
        </row>
        <row r="435">
          <cell r="D435" t="str">
            <v>3/4" G.I. Pipe, sch. 40</v>
          </cell>
        </row>
        <row r="436">
          <cell r="D436" t="str">
            <v>1" G.I. Pipe, sch. 40</v>
          </cell>
        </row>
        <row r="437">
          <cell r="D437" t="str">
            <v>1¼" G.I. Pipe, sch. 40</v>
          </cell>
        </row>
        <row r="438">
          <cell r="D438" t="str">
            <v>1½" G.I. Pipe, sch. 40</v>
          </cell>
        </row>
        <row r="439">
          <cell r="D439" t="str">
            <v>GI PIPES AND FITTINGS</v>
          </cell>
        </row>
        <row r="440">
          <cell r="D440" t="str">
            <v>GI PIPES AND FITTINGS</v>
          </cell>
        </row>
        <row r="441">
          <cell r="D441" t="str">
            <v>½" G.I. Pipe, sch. 40</v>
          </cell>
        </row>
        <row r="442">
          <cell r="D442" t="str">
            <v>3/4" G.I. Pipe, sch. 40</v>
          </cell>
        </row>
        <row r="443">
          <cell r="D443" t="str">
            <v>1" G.I. Pipe, sch. 40</v>
          </cell>
        </row>
        <row r="444">
          <cell r="D444" t="str">
            <v>1¼" G.I. Pipe, sch. 40</v>
          </cell>
        </row>
        <row r="445">
          <cell r="D445" t="str">
            <v>1½" G.I. Pipe, sch. 40</v>
          </cell>
        </row>
        <row r="446">
          <cell r="D446" t="str">
            <v>2" G.I. Pipe, sch. 40</v>
          </cell>
        </row>
        <row r="447">
          <cell r="D447" t="str">
            <v>2¼" G.I. Pipe, sch. 40</v>
          </cell>
        </row>
        <row r="448">
          <cell r="D448" t="str">
            <v>3" G.I. Pipe, sch. 40</v>
          </cell>
        </row>
        <row r="449">
          <cell r="D449" t="str">
            <v>4" G.I. Pipe, sch. 40</v>
          </cell>
        </row>
        <row r="450">
          <cell r="D450" t="str">
            <v>2½" G.I. Pipe, sch. 40</v>
          </cell>
        </row>
        <row r="451">
          <cell r="D451" t="str">
            <v>4" G.I. Pipe ,sch. 20</v>
          </cell>
        </row>
        <row r="452">
          <cell r="D452" t="str">
            <v>1½" G.I. Pipe ,sch. 20</v>
          </cell>
        </row>
        <row r="453">
          <cell r="D453" t="str">
            <v>½" G.I. Coupling, sch. 40</v>
          </cell>
        </row>
        <row r="454">
          <cell r="D454" t="str">
            <v>1" G.I. Coupling, sch. 40</v>
          </cell>
        </row>
        <row r="455">
          <cell r="D455" t="str">
            <v>1¼" G.I. Coupling, sch. 40</v>
          </cell>
        </row>
        <row r="456">
          <cell r="D456" t="str">
            <v>1½" G.I. Coupling, sch. 40</v>
          </cell>
        </row>
        <row r="457">
          <cell r="D457" t="str">
            <v>2"  G.I. Coupling, sch. 40</v>
          </cell>
        </row>
        <row r="458">
          <cell r="D458" t="str">
            <v>2¼" G.I. Coupling, sch. 40</v>
          </cell>
        </row>
        <row r="459">
          <cell r="D459" t="str">
            <v>3" G.I. Coupling, sch. 40</v>
          </cell>
        </row>
        <row r="460">
          <cell r="D460" t="str">
            <v>4"  G.I. Coupling, sch. 40</v>
          </cell>
        </row>
        <row r="461">
          <cell r="D461" t="str">
            <v>2½" G.I. Coupling, sch. 40</v>
          </cell>
        </row>
        <row r="462">
          <cell r="D462" t="str">
            <v>½" G.I. Elbow 45°, sch. 40</v>
          </cell>
        </row>
        <row r="463">
          <cell r="D463" t="str">
            <v>1"G.I. Elbow 45°, sch. 40</v>
          </cell>
        </row>
        <row r="464">
          <cell r="D464" t="str">
            <v>1¼"G.I. Elbow 45°, sch. 40</v>
          </cell>
        </row>
        <row r="465">
          <cell r="D465" t="str">
            <v>1½"G.I. Elbow 45°, sch. 40</v>
          </cell>
        </row>
        <row r="466">
          <cell r="D466" t="str">
            <v>2"G.I. Elbow 45°, sch. 40</v>
          </cell>
        </row>
        <row r="467">
          <cell r="D467" t="str">
            <v>2½" G.I. Elbow 45°, sch. 40</v>
          </cell>
        </row>
        <row r="468">
          <cell r="D468" t="str">
            <v>3" G.I. Elbow 45°, sch. 40</v>
          </cell>
        </row>
        <row r="469">
          <cell r="D469" t="str">
            <v>4" G.I. Elbow 45°, sch. 40</v>
          </cell>
        </row>
        <row r="470">
          <cell r="D470" t="str">
            <v>½" G.I. Elbow 90°, sch 40</v>
          </cell>
        </row>
        <row r="471">
          <cell r="D471" t="str">
            <v>1" G.I. Elbow 90°, sch 40</v>
          </cell>
        </row>
        <row r="472">
          <cell r="D472" t="str">
            <v>1¼" G.I. Elbow 90°, sch 40</v>
          </cell>
        </row>
        <row r="473">
          <cell r="D473" t="str">
            <v>1½"  G.I. Elbow 90°, sch 40</v>
          </cell>
        </row>
        <row r="474">
          <cell r="D474" t="str">
            <v>2" G.I. Elbow 90°, sch 40</v>
          </cell>
        </row>
        <row r="475">
          <cell r="D475" t="str">
            <v>2½" G.I. Elbow 90°, sch 40</v>
          </cell>
        </row>
        <row r="476">
          <cell r="D476" t="str">
            <v>3" G.I. Elbow 90°, sch 40</v>
          </cell>
        </row>
        <row r="477">
          <cell r="D477" t="str">
            <v>4" G.I. Elbow 90°, sch 40</v>
          </cell>
        </row>
        <row r="478">
          <cell r="D478" t="str">
            <v>2" G.I. Street Elbow, sch 40</v>
          </cell>
        </row>
        <row r="479">
          <cell r="D479" t="str">
            <v>3/4"  G.I. Elbow 90°, sch 40</v>
          </cell>
        </row>
        <row r="480">
          <cell r="D480" t="str">
            <v>½" G.I. TEE, sch 40</v>
          </cell>
        </row>
        <row r="481">
          <cell r="D481" t="str">
            <v>1" G.I. TEE, sch 40</v>
          </cell>
        </row>
        <row r="482">
          <cell r="D482" t="str">
            <v>1¼" G.I. TEE, sch 40</v>
          </cell>
        </row>
        <row r="483">
          <cell r="D483" t="str">
            <v>1½" G.I. TEE, sch 40</v>
          </cell>
        </row>
        <row r="484">
          <cell r="D484" t="str">
            <v>2"  G.I. TEE, sch 40</v>
          </cell>
        </row>
        <row r="485">
          <cell r="D485" t="str">
            <v>2½" G.I. TEE, sch 40</v>
          </cell>
        </row>
        <row r="486">
          <cell r="D486" t="str">
            <v>3" G.I. TEE, sch 40</v>
          </cell>
        </row>
        <row r="487">
          <cell r="D487" t="str">
            <v>4" G.I. TEE, sch 40</v>
          </cell>
        </row>
        <row r="488">
          <cell r="D488" t="str">
            <v>½" G.I. Nipples, 12"</v>
          </cell>
        </row>
        <row r="489">
          <cell r="D489" t="str">
            <v>1" G.I. Nipples, 12"</v>
          </cell>
        </row>
        <row r="490">
          <cell r="D490" t="str">
            <v>1" G.I. Nipple, 10"</v>
          </cell>
        </row>
        <row r="491">
          <cell r="D491" t="str">
            <v>1¼" G.I. Nipples, 4"</v>
          </cell>
        </row>
        <row r="492">
          <cell r="D492" t="str">
            <v>1¼" G.I. Nipples, 12"</v>
          </cell>
        </row>
        <row r="493">
          <cell r="D493" t="str">
            <v>½" G.I. Nipples, 4"</v>
          </cell>
        </row>
        <row r="494">
          <cell r="D494" t="str">
            <v>½" G.I. Nipples, 8"</v>
          </cell>
        </row>
        <row r="495">
          <cell r="D495" t="str">
            <v>3/4"  G.I. Nipples, 4"</v>
          </cell>
        </row>
        <row r="496">
          <cell r="D496" t="str">
            <v>63mmØ Gate Valve</v>
          </cell>
        </row>
        <row r="497">
          <cell r="D497" t="str">
            <v>63mmØ x 90° G.I. Elbow</v>
          </cell>
        </row>
        <row r="498">
          <cell r="D498" t="str">
            <v>63mmØ x 63mmØ Female Adaptor</v>
          </cell>
        </row>
        <row r="499">
          <cell r="D499" t="str">
            <v>63mmØ GI Union Patente</v>
          </cell>
        </row>
        <row r="500">
          <cell r="D500" t="str">
            <v>63mmØ GI Pipe</v>
          </cell>
        </row>
        <row r="501">
          <cell r="D501" t="str">
            <v>50mmØ GI Pipe</v>
          </cell>
        </row>
        <row r="502">
          <cell r="D502" t="str">
            <v>50mmØ GI Union Patente</v>
          </cell>
        </row>
        <row r="503">
          <cell r="D503" t="str">
            <v>50mmØ x 90° G.I. Elbow</v>
          </cell>
        </row>
        <row r="504">
          <cell r="D504" t="str">
            <v>50mmØ G.I. Nipples x 600mm</v>
          </cell>
        </row>
        <row r="505">
          <cell r="D505" t="str">
            <v>50mmØ G.I. Nipples x 500mm</v>
          </cell>
        </row>
        <row r="506">
          <cell r="D506" t="str">
            <v>50mmØ G.I. Nipples x 300mm</v>
          </cell>
        </row>
        <row r="507">
          <cell r="D507" t="str">
            <v>50mmØ G.I. Nipples x 200mm</v>
          </cell>
        </row>
        <row r="508">
          <cell r="D508" t="str">
            <v>50mmØ G.I. Gate Valve</v>
          </cell>
        </row>
        <row r="509">
          <cell r="D509" t="str">
            <v>50mmØ G.I. End Cap</v>
          </cell>
        </row>
        <row r="510">
          <cell r="D510" t="str">
            <v>50mmØ G.I. Perforated w/ Strainer</v>
          </cell>
        </row>
        <row r="511">
          <cell r="D511" t="str">
            <v>40mmØ x 50mmØ Female Adaptor</v>
          </cell>
        </row>
        <row r="512">
          <cell r="D512" t="str">
            <v>40mmØ x 90° G.I. Elbow</v>
          </cell>
        </row>
        <row r="513">
          <cell r="D513" t="str">
            <v>40mmØ G.I. Gate Valve</v>
          </cell>
        </row>
        <row r="514">
          <cell r="D514" t="str">
            <v>40mmØ G.I. Tee</v>
          </cell>
        </row>
        <row r="515">
          <cell r="D515" t="str">
            <v>40mmØ G.I. Coupling</v>
          </cell>
        </row>
        <row r="516">
          <cell r="D516" t="str">
            <v>38mmØ G.I. Nipples x 400mm</v>
          </cell>
        </row>
        <row r="517">
          <cell r="D517" t="str">
            <v>38mmØ G.I. Nipples x 100mm</v>
          </cell>
        </row>
        <row r="518">
          <cell r="D518" t="str">
            <v>38mmØ x 90° G.I. Elbow</v>
          </cell>
        </row>
        <row r="519">
          <cell r="D519" t="str">
            <v>12mmØ Brass Faucet</v>
          </cell>
        </row>
        <row r="520">
          <cell r="D520" t="str">
            <v>12mmØ Globe Valve</v>
          </cell>
        </row>
        <row r="521">
          <cell r="D521" t="str">
            <v>12mmØ Gate Valve</v>
          </cell>
        </row>
        <row r="522">
          <cell r="D522" t="str">
            <v>12mmØ Saddle Clamp</v>
          </cell>
        </row>
        <row r="523">
          <cell r="D523" t="str">
            <v>12mmØ PE Pipe</v>
          </cell>
        </row>
        <row r="524">
          <cell r="D524" t="str">
            <v>12mmØ GI Pipe</v>
          </cell>
        </row>
        <row r="525">
          <cell r="D525" t="str">
            <v>12mmØ x 90° GI Elbow</v>
          </cell>
        </row>
        <row r="526">
          <cell r="D526" t="str">
            <v>100mmØ PVC Pipe</v>
          </cell>
        </row>
        <row r="527">
          <cell r="D527" t="str">
            <v>½" G.I. Cap</v>
          </cell>
        </row>
        <row r="528">
          <cell r="D528" t="str">
            <v>½" G.I. Cap</v>
          </cell>
        </row>
        <row r="529">
          <cell r="D529" t="str">
            <v>1¼" G.I. Cap</v>
          </cell>
        </row>
        <row r="530">
          <cell r="D530" t="str">
            <v>2" G.I. Cap</v>
          </cell>
        </row>
        <row r="531">
          <cell r="D531" t="str">
            <v>2"x3/4", Saddle Clamp</v>
          </cell>
        </row>
        <row r="532">
          <cell r="D532" t="str">
            <v>½" Gate Valve</v>
          </cell>
        </row>
        <row r="533">
          <cell r="D533" t="str">
            <v>2" Gate Valve</v>
          </cell>
        </row>
        <row r="534">
          <cell r="D534" t="str">
            <v>3/4"  Gate Valve</v>
          </cell>
        </row>
        <row r="535">
          <cell r="D535" t="str">
            <v>½" Check Valve</v>
          </cell>
        </row>
        <row r="536">
          <cell r="D536" t="str">
            <v xml:space="preserve">½"  G.I. Union Patent </v>
          </cell>
        </row>
        <row r="537">
          <cell r="D537" t="str">
            <v xml:space="preserve">2" G.I. Union Patent </v>
          </cell>
        </row>
        <row r="538">
          <cell r="D538" t="str">
            <v xml:space="preserve">2½" G.I. Union Patent </v>
          </cell>
        </row>
        <row r="539">
          <cell r="D539" t="str">
            <v xml:space="preserve">1¼" x 3/4"  G.I. Bushing </v>
          </cell>
        </row>
        <row r="540">
          <cell r="D540" t="str">
            <v xml:space="preserve">1"x2", G.I. Bushing </v>
          </cell>
        </row>
        <row r="541">
          <cell r="D541" t="str">
            <v>1½" GI Male Adapter</v>
          </cell>
        </row>
        <row r="542">
          <cell r="D542" t="str">
            <v xml:space="preserve">2" x ½"  G.I. Bushing </v>
          </cell>
        </row>
        <row r="543">
          <cell r="D543" t="str">
            <v>2" x 1½" Reducer, Bell Cap</v>
          </cell>
        </row>
        <row r="544">
          <cell r="D544" t="str">
            <v>3/4" x ½" Reducer, Bell Cap</v>
          </cell>
        </row>
        <row r="545">
          <cell r="D545" t="str">
            <v>50mmØ G.I. Check Valve</v>
          </cell>
        </row>
        <row r="546">
          <cell r="D546" t="str">
            <v>50mmØ G.I. End Cap</v>
          </cell>
        </row>
        <row r="547">
          <cell r="D547" t="str">
            <v>2" PVC TEE</v>
          </cell>
        </row>
        <row r="548">
          <cell r="D548" t="str">
            <v>( PVC AND UPVC PIPES AND FITTINGS )</v>
          </cell>
        </row>
        <row r="549">
          <cell r="D549" t="str">
            <v>PVC AND UPVC PIPES AND FITTINGS - Blue Pipes (WaterPipes)</v>
          </cell>
        </row>
        <row r="550">
          <cell r="D550" t="str">
            <v>1/2" PVC Blue Pipe</v>
          </cell>
        </row>
        <row r="551">
          <cell r="D551" t="str">
            <v>4" PVC Pipe</v>
          </cell>
        </row>
        <row r="552">
          <cell r="D552" t="str">
            <v>( PVC AND UPVC PIPES AND FITTINGS )</v>
          </cell>
        </row>
        <row r="553">
          <cell r="D553" t="str">
            <v>2" PVC Pipe</v>
          </cell>
        </row>
        <row r="554">
          <cell r="D554" t="str">
            <v>3" PVC Pipe</v>
          </cell>
        </row>
        <row r="555">
          <cell r="D555" t="str">
            <v>4" PVC Pipe</v>
          </cell>
        </row>
        <row r="556">
          <cell r="D556" t="str">
            <v>4" PVC Pipe (S-40)</v>
          </cell>
        </row>
        <row r="557">
          <cell r="D557" t="str">
            <v>2" PVC TEE</v>
          </cell>
        </row>
        <row r="558">
          <cell r="D558" t="str">
            <v>3" PVC TEE</v>
          </cell>
        </row>
        <row r="559">
          <cell r="D559" t="str">
            <v>4" PVC TEE</v>
          </cell>
        </row>
        <row r="560">
          <cell r="D560" t="str">
            <v>2" PVC Elbow 45°</v>
          </cell>
        </row>
        <row r="561">
          <cell r="D561" t="str">
            <v>3" PVC Elbow 45°</v>
          </cell>
        </row>
        <row r="562">
          <cell r="D562" t="str">
            <v>4" PVC Elbow 45°</v>
          </cell>
        </row>
        <row r="563">
          <cell r="D563" t="str">
            <v>2" PVC Elbow 90°</v>
          </cell>
        </row>
        <row r="564">
          <cell r="D564" t="str">
            <v>3" PVC Elbow 90°</v>
          </cell>
        </row>
        <row r="565">
          <cell r="D565" t="str">
            <v>4" PVC Elbow 90°</v>
          </cell>
        </row>
        <row r="566">
          <cell r="D566" t="str">
            <v>2" PVC WYE</v>
          </cell>
        </row>
        <row r="567">
          <cell r="D567" t="str">
            <v>3" PVC WYE</v>
          </cell>
        </row>
        <row r="568">
          <cell r="D568" t="str">
            <v>4"  PVC WYE</v>
          </cell>
        </row>
        <row r="569">
          <cell r="D569" t="str">
            <v>2" PVC 1/8" bend</v>
          </cell>
        </row>
        <row r="570">
          <cell r="D570" t="str">
            <v>3"  PVC 1/8" bend</v>
          </cell>
        </row>
        <row r="571">
          <cell r="D571" t="str">
            <v>4"  PVC 1/8" bend</v>
          </cell>
        </row>
        <row r="572">
          <cell r="D572" t="str">
            <v>2" PVC clean-out</v>
          </cell>
        </row>
        <row r="573">
          <cell r="D573" t="str">
            <v>3" PVC clean-out</v>
          </cell>
        </row>
        <row r="574">
          <cell r="D574" t="str">
            <v>4" PVC clean-out</v>
          </cell>
        </row>
        <row r="575">
          <cell r="D575" t="str">
            <v>4" PVC end cap</v>
          </cell>
        </row>
        <row r="576">
          <cell r="D576" t="str">
            <v>2" PVC P-Trap</v>
          </cell>
        </row>
        <row r="577">
          <cell r="D577" t="str">
            <v>3"  PVC P-Trap</v>
          </cell>
        </row>
        <row r="578">
          <cell r="D578" t="str">
            <v>4" PVC P-Trap</v>
          </cell>
        </row>
        <row r="579">
          <cell r="D579" t="str">
            <v>2"x3", PVC Reducer</v>
          </cell>
        </row>
        <row r="580">
          <cell r="D580" t="str">
            <v>3"x4", PVC Reducer</v>
          </cell>
        </row>
        <row r="581">
          <cell r="D581" t="str">
            <v>2"x4", PVC Reducer</v>
          </cell>
        </row>
        <row r="582">
          <cell r="D582" t="str">
            <v>4"x2", PVC TEE</v>
          </cell>
        </row>
        <row r="583">
          <cell r="D583" t="str">
            <v>4"x2", PVC  WYE</v>
          </cell>
        </row>
        <row r="584">
          <cell r="D584" t="str">
            <v>3"x4", PVC  WYE</v>
          </cell>
        </row>
        <row r="585">
          <cell r="D585" t="str">
            <v>3"x2", PVC  WYE</v>
          </cell>
        </row>
        <row r="586">
          <cell r="D586" t="str">
            <v>4" PVC Coupling</v>
          </cell>
        </row>
        <row r="587">
          <cell r="D587" t="str">
            <v>3/4" uPVC Elbow</v>
          </cell>
        </row>
        <row r="588">
          <cell r="D588" t="str">
            <v>3/4" uPVC Tee</v>
          </cell>
        </row>
        <row r="589">
          <cell r="D589" t="str">
            <v>3/4" uPVC Coupling</v>
          </cell>
        </row>
        <row r="590">
          <cell r="D590" t="str">
            <v>3" uPVC Coupling</v>
          </cell>
        </row>
        <row r="591">
          <cell r="D591" t="str">
            <v>3-1/2" uPVC Coupling</v>
          </cell>
        </row>
        <row r="592">
          <cell r="D592" t="str">
            <v>4" uPVC Coupling</v>
          </cell>
        </row>
        <row r="593">
          <cell r="D593" t="str">
            <v>3/4" uPVC Nipple</v>
          </cell>
        </row>
        <row r="594">
          <cell r="D594" t="str">
            <v>½"x3/4", uPVC Reducer</v>
          </cell>
        </row>
        <row r="595">
          <cell r="D595" t="str">
            <v xml:space="preserve">½" uPVC Water Pipe </v>
          </cell>
        </row>
        <row r="596">
          <cell r="D596" t="str">
            <v xml:space="preserve">3/4" uPVC Water Pipe </v>
          </cell>
        </row>
        <row r="597">
          <cell r="D597" t="str">
            <v xml:space="preserve">4" uPVC Water Pipe </v>
          </cell>
        </row>
        <row r="598">
          <cell r="D598" t="str">
            <v xml:space="preserve">3" uPVC Water Pipe </v>
          </cell>
        </row>
        <row r="599">
          <cell r="D599" t="str">
            <v xml:space="preserve">2" uPVC Water Pipe </v>
          </cell>
        </row>
        <row r="600">
          <cell r="D600" t="str">
            <v xml:space="preserve">1-1/2" uPVC Water Pipe </v>
          </cell>
        </row>
        <row r="601">
          <cell r="D601" t="str">
            <v xml:space="preserve">1" uPVC Water Pipe </v>
          </cell>
        </row>
        <row r="602">
          <cell r="D602" t="str">
            <v xml:space="preserve">2-1/2" uPVC Water Pipe </v>
          </cell>
        </row>
        <row r="603">
          <cell r="D603" t="str">
            <v>PE Pipe, SDR 9  1"</v>
          </cell>
        </row>
        <row r="604">
          <cell r="D604" t="str">
            <v>( PE PIPES AND FITTINGS )</v>
          </cell>
        </row>
        <row r="605">
          <cell r="D605" t="str">
            <v>PE Pipe, SDR 9  3/8"</v>
          </cell>
        </row>
        <row r="606">
          <cell r="D606" t="str">
            <v>PE Pipe, SDR 9  1/2"</v>
          </cell>
        </row>
        <row r="607">
          <cell r="D607" t="str">
            <v>PE Pipe, SDR 9  3/4"</v>
          </cell>
        </row>
        <row r="608">
          <cell r="D608" t="str">
            <v>PE Pipe, SDR 9  1"</v>
          </cell>
        </row>
        <row r="609">
          <cell r="D609" t="str">
            <v>PE Pipe, SDR 9  1-1/4"</v>
          </cell>
        </row>
        <row r="610">
          <cell r="D610" t="str">
            <v>PE Pipe, SDR 9  1-1/2"</v>
          </cell>
        </row>
        <row r="611">
          <cell r="D611" t="str">
            <v>PE Pipe, SDR 9  2"</v>
          </cell>
        </row>
        <row r="612">
          <cell r="D612" t="str">
            <v>PE Pipe, SDR 9  2-1/2"</v>
          </cell>
        </row>
        <row r="613">
          <cell r="D613" t="str">
            <v>PE Pipe, SDR 9  3"</v>
          </cell>
        </row>
        <row r="614">
          <cell r="D614" t="str">
            <v>PE Pipe, SDR 9  4"</v>
          </cell>
        </row>
        <row r="615">
          <cell r="D615" t="str">
            <v>PE Pipe, SDR 9  6"</v>
          </cell>
        </row>
        <row r="616">
          <cell r="D616" t="str">
            <v>PE Pipe, SDR 11  3/8"</v>
          </cell>
        </row>
        <row r="617">
          <cell r="D617" t="str">
            <v>PE Pipe, SDR 11  1/2"</v>
          </cell>
        </row>
        <row r="618">
          <cell r="D618" t="str">
            <v>PE Pipe, SDR 11  3/4"</v>
          </cell>
        </row>
        <row r="619">
          <cell r="D619" t="str">
            <v>PE Pipe, SDR 11  1"</v>
          </cell>
        </row>
        <row r="620">
          <cell r="D620" t="str">
            <v>PE Pipe, SDR 11  1-1/4"</v>
          </cell>
        </row>
        <row r="621">
          <cell r="D621" t="str">
            <v>PE Pipe, SDR 11  1-1/2"</v>
          </cell>
        </row>
        <row r="622">
          <cell r="D622" t="str">
            <v>PE Pipe, SDR 11  2"</v>
          </cell>
        </row>
        <row r="623">
          <cell r="D623" t="str">
            <v>PE Pipe, SDR 11  2-1/2"</v>
          </cell>
        </row>
        <row r="624">
          <cell r="D624" t="str">
            <v>PE Pipe, SDR 11  3"</v>
          </cell>
        </row>
        <row r="625">
          <cell r="D625" t="str">
            <v>PE Pipe, SDR 11  4"</v>
          </cell>
        </row>
        <row r="626">
          <cell r="D626" t="str">
            <v>PE Pipe, SDR 11  6"</v>
          </cell>
        </row>
        <row r="627">
          <cell r="D627" t="str">
            <v>PE Pipe, SDR 13.5   3/8"</v>
          </cell>
        </row>
        <row r="628">
          <cell r="D628" t="str">
            <v>PE Pipe, SDR 13.5   1/2"</v>
          </cell>
        </row>
        <row r="629">
          <cell r="D629" t="str">
            <v>PE Pipe, SDR 13.5   3/4"</v>
          </cell>
        </row>
        <row r="630">
          <cell r="D630" t="str">
            <v>PE Pipe, SDR 13.5   1"</v>
          </cell>
        </row>
        <row r="631">
          <cell r="D631" t="str">
            <v>PE Pipe, SDR 13.5   1-1/4"</v>
          </cell>
        </row>
        <row r="632">
          <cell r="D632" t="str">
            <v>PE Pipe, SDR 13.5   1-1/2"</v>
          </cell>
        </row>
        <row r="633">
          <cell r="D633" t="str">
            <v>PE Pipe, SDR 13.5   2"</v>
          </cell>
        </row>
        <row r="634">
          <cell r="D634" t="str">
            <v>PE Pipe, SDR 13.5   2-1/2"</v>
          </cell>
        </row>
        <row r="635">
          <cell r="D635" t="str">
            <v>PE Pipe, SDR 13.5   3"</v>
          </cell>
        </row>
        <row r="636">
          <cell r="D636" t="str">
            <v>PE Pipe, SDR 13.5   4"</v>
          </cell>
        </row>
        <row r="637">
          <cell r="D637" t="str">
            <v>PE Pipe, SDR 13.5   6"</v>
          </cell>
        </row>
        <row r="638">
          <cell r="D638" t="str">
            <v>PE Pipe, SDR 17   3/8"</v>
          </cell>
        </row>
        <row r="639">
          <cell r="D639" t="str">
            <v>PE Pipe, SDR 17   1/2"</v>
          </cell>
        </row>
        <row r="640">
          <cell r="D640" t="str">
            <v>PE Pipe, SDR 17   3/4"</v>
          </cell>
        </row>
        <row r="641">
          <cell r="D641" t="str">
            <v>PE Pipe, SDR 17   1"</v>
          </cell>
        </row>
        <row r="642">
          <cell r="D642" t="str">
            <v>PE Pipe, SDR 17   1-1/4"</v>
          </cell>
        </row>
        <row r="643">
          <cell r="D643" t="str">
            <v>PE Pipe, SDR 17   1-1/2"</v>
          </cell>
        </row>
        <row r="644">
          <cell r="D644" t="str">
            <v>PE Pipe, SDR 17   2"</v>
          </cell>
        </row>
        <row r="645">
          <cell r="D645" t="str">
            <v>PE Pipe, SDR 17   2-1/2"</v>
          </cell>
        </row>
        <row r="646">
          <cell r="D646" t="str">
            <v>PE Pipe, SDR 17   3"</v>
          </cell>
        </row>
        <row r="647">
          <cell r="D647" t="str">
            <v>PE Pipe, SDR 17   4"</v>
          </cell>
        </row>
        <row r="648">
          <cell r="D648" t="str">
            <v>PE Pipe, SDR 17   6"</v>
          </cell>
        </row>
        <row r="649">
          <cell r="D649" t="str">
            <v>PE Pipe Male Thread Adaptor - 25mm x 3/4"</v>
          </cell>
        </row>
        <row r="650">
          <cell r="D650" t="str">
            <v>PE PIPES FITTINGS FACTOR =</v>
          </cell>
        </row>
        <row r="651">
          <cell r="D651" t="str">
            <v>PE Pipe Male Thread Adaptor - 40mm x 1-1/4"</v>
          </cell>
        </row>
        <row r="652">
          <cell r="D652" t="str">
            <v>PE PIPE MALE ADAPTOR</v>
          </cell>
        </row>
        <row r="653">
          <cell r="D653" t="str">
            <v>PE Pipe Male Thread Adaptor - 20mm x 1/2"</v>
          </cell>
        </row>
        <row r="654">
          <cell r="D654" t="str">
            <v>PE Pipe Male Thread Adaptor - 25mm x 3/4"</v>
          </cell>
        </row>
        <row r="655">
          <cell r="D655" t="str">
            <v>PE Pipe Male Thread Adaptor - 32mm x 1"</v>
          </cell>
        </row>
        <row r="656">
          <cell r="D656" t="str">
            <v>PE Pipe Male Thread Adaptor - 40mm x 1-1/4"</v>
          </cell>
        </row>
        <row r="657">
          <cell r="D657" t="str">
            <v>PE Pipe Male Thread Adaptor - 50mm x 1-1/2"</v>
          </cell>
        </row>
        <row r="658">
          <cell r="D658" t="str">
            <v>PE Pipe Male Thread Adaptor - 63mm x 2"</v>
          </cell>
        </row>
        <row r="659">
          <cell r="D659" t="str">
            <v>PE Pipe Male Thread Adaptor - 90mm x 3"</v>
          </cell>
        </row>
        <row r="660">
          <cell r="D660" t="str">
            <v>PE Pipe Female Thread Adaptor - 50mm x 1-1/2"</v>
          </cell>
        </row>
        <row r="661">
          <cell r="D661" t="str">
            <v>PE PIPE FEMALE ADAPTOR</v>
          </cell>
        </row>
        <row r="662">
          <cell r="D662" t="str">
            <v>PE Pipe Female Thread Adaptor - 20mm x 1/2"</v>
          </cell>
        </row>
        <row r="663">
          <cell r="D663" t="str">
            <v>PE Pipe Female Thread Adaptor - 25mm x 3/4"</v>
          </cell>
        </row>
        <row r="664">
          <cell r="D664" t="str">
            <v>PE Pipe Female Thread Adaptor - 32mm x 1"</v>
          </cell>
        </row>
        <row r="665">
          <cell r="D665" t="str">
            <v>PE Pipe Female Thread Adaptor - 50mm x 1-1/2"</v>
          </cell>
        </row>
        <row r="666">
          <cell r="D666" t="str">
            <v>PE Pipe Female Thread Adaptor - 63mm x 2"</v>
          </cell>
        </row>
        <row r="667">
          <cell r="D667" t="str">
            <v>PE Pipe Female Thread Adaptor - 90mm x 3"</v>
          </cell>
        </row>
        <row r="668">
          <cell r="D668" t="str">
            <v>PE Pipe Straight Coupler - 40mm x 40mm</v>
          </cell>
        </row>
        <row r="669">
          <cell r="D669" t="str">
            <v>STRAIGHT COUPLER</v>
          </cell>
        </row>
        <row r="670">
          <cell r="D670" t="str">
            <v>PE Pipe Straight Coupler - 20mm x 20mm</v>
          </cell>
        </row>
        <row r="671">
          <cell r="D671" t="str">
            <v>PE Pipe Straight Coupler - 25mm x 25mm</v>
          </cell>
        </row>
        <row r="672">
          <cell r="D672" t="str">
            <v>PE Pipe Straight Coupler - 32mm x 32mm</v>
          </cell>
        </row>
        <row r="673">
          <cell r="D673" t="str">
            <v>PE Pipe Straight Coupler - 40mm x 40mm</v>
          </cell>
        </row>
        <row r="674">
          <cell r="D674" t="str">
            <v>PE Pipe Straight Coupler - 50mm x 50mm</v>
          </cell>
        </row>
        <row r="675">
          <cell r="D675" t="str">
            <v>PE Pipe Straight Coupler - 63mm x 63mm</v>
          </cell>
        </row>
        <row r="676">
          <cell r="D676" t="str">
            <v>PE Pipe Straight Coupler - 75mm x 75mm</v>
          </cell>
        </row>
        <row r="677">
          <cell r="D677" t="str">
            <v>PE Pipe Straight Coupler - 90mm x 90mm</v>
          </cell>
        </row>
        <row r="678">
          <cell r="D678" t="str">
            <v>PE Pipe Reducing Coupler - 40mm x 32mm</v>
          </cell>
        </row>
        <row r="679">
          <cell r="D679" t="str">
            <v>REDUCING COUPLER</v>
          </cell>
        </row>
        <row r="680">
          <cell r="D680" t="str">
            <v>PE Pipe Reducing Coupler - 25mm x 20mm</v>
          </cell>
        </row>
        <row r="681">
          <cell r="D681" t="str">
            <v>PE Pipe Reducing Coupler - 32mm x 20mm</v>
          </cell>
        </row>
        <row r="682">
          <cell r="D682" t="str">
            <v>PE Pipe Reducing Coupler - 32mm x 25mm</v>
          </cell>
        </row>
        <row r="683">
          <cell r="D683" t="str">
            <v>PE Pipe Reducing Coupler - 40mm x 32mm</v>
          </cell>
        </row>
        <row r="684">
          <cell r="D684" t="str">
            <v>PE Pipe Reducing Coupler - 50mm x 25mm</v>
          </cell>
        </row>
        <row r="685">
          <cell r="D685" t="str">
            <v>PE Pipe Reducing Coupler - 50mm x 32mm</v>
          </cell>
        </row>
        <row r="686">
          <cell r="D686" t="str">
            <v>PE Pipe Reducing Coupler - 50mm x 40mm</v>
          </cell>
        </row>
        <row r="687">
          <cell r="D687" t="str">
            <v>PE Pipe Reducing Coupler - 63mm x 32mm</v>
          </cell>
        </row>
        <row r="688">
          <cell r="D688" t="str">
            <v>PE Pipe Reducing Coupler - 63mm x 40mm</v>
          </cell>
        </row>
        <row r="689">
          <cell r="D689" t="str">
            <v>PE Pipe Reducing Coupler - 63mm x 50mm</v>
          </cell>
        </row>
        <row r="690">
          <cell r="D690" t="str">
            <v>PE Pipe Reducing Coupler - 90mm x 63mm</v>
          </cell>
        </row>
        <row r="691">
          <cell r="D691" t="str">
            <v>PE Pipe End Cap - 40mm</v>
          </cell>
        </row>
        <row r="692">
          <cell r="D692" t="str">
            <v>END CAP</v>
          </cell>
        </row>
        <row r="693">
          <cell r="D693" t="str">
            <v>PE Pipe End Cap - 20mm</v>
          </cell>
        </row>
        <row r="694">
          <cell r="D694" t="str">
            <v>PE Pipe End Cap - 25mm</v>
          </cell>
        </row>
        <row r="695">
          <cell r="D695" t="str">
            <v>PE Pipe End Cap - 32mm</v>
          </cell>
        </row>
        <row r="696">
          <cell r="D696" t="str">
            <v>PE Pipe End Cap - 40mm</v>
          </cell>
        </row>
        <row r="697">
          <cell r="D697" t="str">
            <v>PE Pipe End Cap - 50mm</v>
          </cell>
        </row>
        <row r="698">
          <cell r="D698" t="str">
            <v>PE Pipe End Cap - 63mm</v>
          </cell>
        </row>
        <row r="699">
          <cell r="D699" t="str">
            <v>PE Pipe End Cap - 90mm</v>
          </cell>
        </row>
        <row r="700">
          <cell r="D700" t="str">
            <v>PE Pipe Male Tee - 25mm x 3/4"</v>
          </cell>
        </row>
        <row r="701">
          <cell r="D701" t="str">
            <v>MALE TEE</v>
          </cell>
        </row>
        <row r="702">
          <cell r="D702" t="str">
            <v>PE Pipe Male Tee - 20mm x 1/2"</v>
          </cell>
        </row>
        <row r="703">
          <cell r="D703" t="str">
            <v>PE Pipe Male Tee - 20mm x 3/4"</v>
          </cell>
        </row>
        <row r="704">
          <cell r="D704" t="str">
            <v>PE Pipe Male Tee - 25mm x 1/2"</v>
          </cell>
        </row>
        <row r="705">
          <cell r="D705" t="str">
            <v>PE Pipe Male Tee - 25mm x 3/4"</v>
          </cell>
        </row>
        <row r="706">
          <cell r="D706" t="str">
            <v>PE Pipe Male Tee - 32mm x 3/4"</v>
          </cell>
        </row>
        <row r="707">
          <cell r="D707" t="str">
            <v>PE Pipe Male Tee - 32mm x 1"</v>
          </cell>
        </row>
        <row r="708">
          <cell r="D708" t="str">
            <v>PE Pipe Male Tee - 50mm x 1-1/2"</v>
          </cell>
        </row>
        <row r="709">
          <cell r="D709" t="str">
            <v>PE Pipe Male Tee - 63mm x 2"</v>
          </cell>
        </row>
        <row r="710">
          <cell r="D710" t="str">
            <v>PE Pipe Male Tee - 90mm x 3"</v>
          </cell>
        </row>
        <row r="711">
          <cell r="D711" t="str">
            <v>PE Pipe Female Tee - 25mm x 3/4"</v>
          </cell>
        </row>
        <row r="712">
          <cell r="D712" t="str">
            <v>FEMALE TEE</v>
          </cell>
        </row>
        <row r="713">
          <cell r="D713" t="str">
            <v>PE Pipe Female Tee - 20mm x 1/2"</v>
          </cell>
        </row>
        <row r="714">
          <cell r="D714" t="str">
            <v>PE Pipe Female Tee - 20mm x 3/4"</v>
          </cell>
        </row>
        <row r="715">
          <cell r="D715" t="str">
            <v>PE Pipe Female Tee - 25mm x 1/2"</v>
          </cell>
        </row>
        <row r="716">
          <cell r="D716" t="str">
            <v>PE Pipe Female Tee - 25mm x 3/4"</v>
          </cell>
        </row>
        <row r="717">
          <cell r="D717" t="str">
            <v>PE Pipe Female Tee - 32mm x 3/4"</v>
          </cell>
        </row>
        <row r="718">
          <cell r="D718" t="str">
            <v>PE Pipe Female Tee - 32mm x 1"</v>
          </cell>
        </row>
        <row r="719">
          <cell r="D719" t="str">
            <v>PE Pipe Female Tee - 50mm x 1-1/2"</v>
          </cell>
        </row>
        <row r="720">
          <cell r="D720" t="str">
            <v>PE Pipe Female Tee - 63mm x 2"</v>
          </cell>
        </row>
        <row r="721">
          <cell r="D721" t="str">
            <v>PE Pipe Female Tee - 90mm x 3"</v>
          </cell>
        </row>
        <row r="722">
          <cell r="D722" t="str">
            <v>PE Pipe Reducing Tee - 40mm x 32mm</v>
          </cell>
        </row>
        <row r="723">
          <cell r="D723" t="str">
            <v>REDUCING TEE</v>
          </cell>
        </row>
        <row r="724">
          <cell r="D724" t="str">
            <v>PE Pipe Reducing Tee - 25mm x 20mm</v>
          </cell>
        </row>
        <row r="725">
          <cell r="D725" t="str">
            <v>PE Pipe Reducing Tee - 32mm x 20mm</v>
          </cell>
        </row>
        <row r="726">
          <cell r="D726" t="str">
            <v>PE Pipe Reducing Tee - 32mm x 25mm</v>
          </cell>
        </row>
        <row r="727">
          <cell r="D727" t="str">
            <v>PE Pipe Reducing Tee - 40mm x 32mm</v>
          </cell>
        </row>
        <row r="728">
          <cell r="D728" t="str">
            <v>PE Pipe Reducing Tee - 50mm x 32mm</v>
          </cell>
        </row>
        <row r="729">
          <cell r="D729" t="str">
            <v>PE Pipe Reducing Tee - 50mm x 40mm</v>
          </cell>
        </row>
        <row r="730">
          <cell r="D730" t="str">
            <v>PE Pipe Reducing Tee - 63mm x 50mm</v>
          </cell>
        </row>
        <row r="731">
          <cell r="D731" t="str">
            <v>PE Pipe Equal Tee - 40mm x 40mm</v>
          </cell>
        </row>
        <row r="732">
          <cell r="D732" t="str">
            <v>EQUAL TEE</v>
          </cell>
        </row>
        <row r="733">
          <cell r="D733" t="str">
            <v>PE Pipe Equal Tee - 20mm x 20mm</v>
          </cell>
        </row>
        <row r="734">
          <cell r="D734" t="str">
            <v>PE Pipe Equal Tee - 20mm x 25mm</v>
          </cell>
        </row>
        <row r="735">
          <cell r="D735" t="str">
            <v>PE Pipe Equal Tee - 32mm x 32mm</v>
          </cell>
        </row>
        <row r="736">
          <cell r="D736" t="str">
            <v>PE Pipe Equal Tee - 40mm x 40mm</v>
          </cell>
        </row>
        <row r="737">
          <cell r="D737" t="str">
            <v>PE Pipe Equal Tee - 50mm x 50mm</v>
          </cell>
        </row>
        <row r="738">
          <cell r="D738" t="str">
            <v>PE Pipe Equal Tee - 63mm x 63mm</v>
          </cell>
        </row>
        <row r="739">
          <cell r="D739" t="str">
            <v>PE Pipe Equal Tee - 90mm x 90mm</v>
          </cell>
        </row>
        <row r="740">
          <cell r="D740" t="str">
            <v>PE Pipe Equal Bend 90° - 40mm x 40mm</v>
          </cell>
        </row>
        <row r="741">
          <cell r="D741" t="str">
            <v>EQUAL BEND 90°</v>
          </cell>
        </row>
        <row r="742">
          <cell r="D742" t="str">
            <v>PE Pipe Equal Bend 90° - 20mm x 20mm</v>
          </cell>
        </row>
        <row r="743">
          <cell r="D743" t="str">
            <v>PE Pipe Equal Bend 90° - 20mm x 25mm</v>
          </cell>
        </row>
        <row r="744">
          <cell r="D744" t="str">
            <v>PE Pipe Equal Bend 90° - 32mm x 32mm</v>
          </cell>
        </row>
        <row r="745">
          <cell r="D745" t="str">
            <v>PE Pipe Equal Bend 90° - 40mm x 40mm</v>
          </cell>
        </row>
        <row r="746">
          <cell r="D746" t="str">
            <v>PE Pipe Equal Bend 90° - 50mm x 50mm</v>
          </cell>
        </row>
        <row r="747">
          <cell r="D747" t="str">
            <v>PE Pipe Equal Bend 90° - 63mm x 63mm</v>
          </cell>
        </row>
        <row r="748">
          <cell r="D748" t="str">
            <v>PE Pipe Equal Bend 90° - 90mm x 90mm</v>
          </cell>
        </row>
        <row r="749">
          <cell r="D749" t="str">
            <v>PE Pipe Female Bend 90° - 25mm x 3/4"</v>
          </cell>
        </row>
        <row r="750">
          <cell r="D750" t="str">
            <v>FEMALE BEND 90°</v>
          </cell>
        </row>
        <row r="751">
          <cell r="D751" t="str">
            <v>PE Pipe Female Bend 90° - 20mm x 1/2"</v>
          </cell>
        </row>
        <row r="752">
          <cell r="D752" t="str">
            <v>PE Pipe Female Bend 90° - 20mm x 3/4"</v>
          </cell>
        </row>
        <row r="753">
          <cell r="D753" t="str">
            <v>PE Pipe Female Bend 90° - 25mm x 1/2"</v>
          </cell>
        </row>
        <row r="754">
          <cell r="D754" t="str">
            <v>PE Pipe Female Bend 90° - 25mm x 3/4"</v>
          </cell>
        </row>
        <row r="755">
          <cell r="D755" t="str">
            <v>PE Pipe Female Bend 90° - 25mm x 1"</v>
          </cell>
        </row>
        <row r="756">
          <cell r="D756" t="str">
            <v>PE Pipe Female Bend 90° - 32mm x 3/4"</v>
          </cell>
        </row>
        <row r="757">
          <cell r="D757" t="str">
            <v>PE Pipe Female Bend 90° - 32mm x 1"</v>
          </cell>
        </row>
        <row r="758">
          <cell r="D758" t="str">
            <v>PE Pipe Female Bend 90° - 50mm x 1-1/2"</v>
          </cell>
        </row>
        <row r="759">
          <cell r="D759" t="str">
            <v>PE Pipe Female Bend 90° - 63mm x 2"</v>
          </cell>
        </row>
        <row r="760">
          <cell r="D760" t="str">
            <v>PE Pipe Female Bend 90° - 90mm x 3"</v>
          </cell>
        </row>
        <row r="761">
          <cell r="D761" t="str">
            <v>PE Pipe Male Bend 90° - 25mm x 3/4"</v>
          </cell>
        </row>
        <row r="762">
          <cell r="D762" t="str">
            <v>MALE BEND 90°</v>
          </cell>
        </row>
        <row r="763">
          <cell r="D763" t="str">
            <v>PE Pipe Male Bend 90° - 20mm x 1/2"</v>
          </cell>
        </row>
        <row r="764">
          <cell r="D764" t="str">
            <v>PE Pipe Male Bend 90° - 20mm x 3/4"</v>
          </cell>
        </row>
        <row r="765">
          <cell r="D765" t="str">
            <v>PE Pipe Male Bend 90° - 25mm x 1/2"</v>
          </cell>
        </row>
        <row r="766">
          <cell r="D766" t="str">
            <v>PE Pipe Male Bend 90° - 25mm x 3/4"</v>
          </cell>
        </row>
        <row r="767">
          <cell r="D767" t="str">
            <v>PE Pipe Male Bend 90° - 25mm x 1"</v>
          </cell>
        </row>
        <row r="768">
          <cell r="D768" t="str">
            <v>PE Pipe Male Bend 90° - 32mm x 3/4"</v>
          </cell>
        </row>
        <row r="769">
          <cell r="D769" t="str">
            <v>PE Pipe Male Bend 90° - 32mm x 1"</v>
          </cell>
        </row>
        <row r="770">
          <cell r="D770" t="str">
            <v>PE Pipe Male Bend 90° - 50mm x 1-1/2"</v>
          </cell>
        </row>
        <row r="771">
          <cell r="D771" t="str">
            <v>PE Pipe Male Bend 90° - 63mm x 2"</v>
          </cell>
        </row>
        <row r="772">
          <cell r="D772" t="str">
            <v>PE Pipe Male Bend 90° - 90mm x 3"</v>
          </cell>
        </row>
        <row r="773">
          <cell r="D773" t="str">
            <v>PE Pipe Single Outlet Saddle Clamp - 50mm x 3/4"</v>
          </cell>
        </row>
        <row r="774">
          <cell r="D774" t="str">
            <v>SINGLE OUTLET SADDLE CLAMP</v>
          </cell>
        </row>
        <row r="775">
          <cell r="D775" t="str">
            <v>PE Pipe Single Outlet Saddle Clamp - 32mm x 3/4"</v>
          </cell>
        </row>
        <row r="776">
          <cell r="D776" t="str">
            <v>PE Pipe Single Outlet Saddle Clamp - 32mm x 1"</v>
          </cell>
        </row>
        <row r="777">
          <cell r="D777" t="str">
            <v>PE Pipe Single Outlet Saddle Clamp - 40mm x 1"</v>
          </cell>
        </row>
        <row r="778">
          <cell r="D778" t="str">
            <v>PE Pipe Single Outlet Saddle Clamp - 50mm x 3/4"</v>
          </cell>
        </row>
        <row r="779">
          <cell r="D779" t="str">
            <v>PE Pipe Single Outlet Saddle Clamp - 50mm x 1"</v>
          </cell>
        </row>
        <row r="780">
          <cell r="D780" t="str">
            <v>PE Pipe Single Outlet Saddle Clamp - 63mm x 3/4"</v>
          </cell>
        </row>
        <row r="781">
          <cell r="D781" t="str">
            <v>PE Pipe Single Outlet Saddle Clamp - 63mm x 1"</v>
          </cell>
        </row>
        <row r="782">
          <cell r="D782" t="str">
            <v>PE Pipe Single Outlet Saddle Clamp - 73mm x 1"</v>
          </cell>
        </row>
        <row r="783">
          <cell r="D783" t="str">
            <v>PE Pipe Single Outlet Saddle Clamp - 90mm x 3/4"</v>
          </cell>
        </row>
        <row r="784">
          <cell r="D784" t="str">
            <v>PE Pipe Single Outlet Saddle Clamp - 90mm x 1"</v>
          </cell>
        </row>
        <row r="785">
          <cell r="D785" t="str">
            <v>PE Pipe Single Outlet Saddle Clamp - 90mm x 2"</v>
          </cell>
        </row>
        <row r="786">
          <cell r="D786" t="str">
            <v>PE Pipe Single Outlet Saddle Clamp - 110mm x 3/4"</v>
          </cell>
        </row>
        <row r="787">
          <cell r="D787" t="str">
            <v>PE Pipe Single Outlet Saddle Clamp - 110mm x 1"</v>
          </cell>
        </row>
        <row r="788">
          <cell r="D788" t="str">
            <v>PE Pipe Single Outlet Saddle Clamp - 110mm x 1-1/4"</v>
          </cell>
        </row>
        <row r="789">
          <cell r="D789" t="str">
            <v>PE Pipe Single Outlet Saddle Clamp - 110mm x 2"</v>
          </cell>
        </row>
        <row r="790">
          <cell r="D790" t="str">
            <v>PE Pipe Single Outlet Saddle Clamp - 160mm x 3/4"</v>
          </cell>
        </row>
        <row r="791">
          <cell r="D791" t="str">
            <v>PE Pipe Single Outlet Saddle Clamp - 160mm x 1"</v>
          </cell>
        </row>
        <row r="792">
          <cell r="D792" t="str">
            <v>PE Pipe Single Outlet Saddle Clamp - 160mm x 2"</v>
          </cell>
        </row>
        <row r="793">
          <cell r="D793" t="str">
            <v>PE Pipe Double Outlet Saddle Clamp - 50mm x 1" x 1"</v>
          </cell>
        </row>
        <row r="794">
          <cell r="D794" t="str">
            <v>DOUBLE OUTLET SADDLE CLAMP</v>
          </cell>
        </row>
        <row r="795">
          <cell r="D795" t="str">
            <v>PE Pipe Double Outlet Saddle Clamp - 32mm x 3/4" x 3/4"</v>
          </cell>
        </row>
        <row r="796">
          <cell r="D796" t="str">
            <v>PE Pipe Double Outlet Saddle Clamp - 32mm x 1" x 1"</v>
          </cell>
        </row>
        <row r="797">
          <cell r="D797" t="str">
            <v>PE Pipe Double Outlet Saddle Clamp - 50mm x 3/4" x 3/4"</v>
          </cell>
        </row>
        <row r="798">
          <cell r="D798" t="str">
            <v>PE Pipe Double Outlet Saddle Clamp - 50mm x 1" x 1"</v>
          </cell>
        </row>
        <row r="799">
          <cell r="D799" t="str">
            <v>PE Pipe Double Outlet Saddle Clamp - 63mm x 3/4" x 3/4"</v>
          </cell>
        </row>
        <row r="800">
          <cell r="D800" t="str">
            <v>PE Pipe Double Outlet Saddle Clamp - 63mm x 1" x 1"</v>
          </cell>
        </row>
        <row r="801">
          <cell r="D801" t="str">
            <v>PE Pipe Double Outlet Saddle Clamp - 90mm x 3/4" x 3/4"</v>
          </cell>
        </row>
        <row r="802">
          <cell r="D802" t="str">
            <v>PE Pipe Double Outlet Saddle Clamp - 90mm x 1" x 1"</v>
          </cell>
        </row>
        <row r="803">
          <cell r="D803" t="str">
            <v>PE Pipe Double Outlet Saddle Clamp - 90mm x 2" x 2"</v>
          </cell>
        </row>
        <row r="804">
          <cell r="D804" t="str">
            <v>PE Pipe Double Outlet Saddle Clamp - 110mm x 3/4" x 3/4"</v>
          </cell>
        </row>
        <row r="805">
          <cell r="D805" t="str">
            <v>PE Pipe Double Outlet Saddle Clamp - 110mm x 1" x 1"</v>
          </cell>
        </row>
        <row r="806">
          <cell r="D806" t="str">
            <v>PE Pipe Double Outlet Saddle Clamp - 110mm x 2" x 2"</v>
          </cell>
        </row>
        <row r="807">
          <cell r="D807" t="str">
            <v>PE Pipe Double Outlet Saddle Clamp - 160mm x 3/4" x 3/4"</v>
          </cell>
        </row>
        <row r="808">
          <cell r="D808" t="str">
            <v>PE Pipe Double Outlet Saddle Clamp - 160mm x 1" x 1"</v>
          </cell>
        </row>
        <row r="809">
          <cell r="D809" t="str">
            <v>PE Pipe Double Outlet Saddle Clamp - 160mm x 2" x 2"</v>
          </cell>
        </row>
        <row r="810">
          <cell r="D810" t="str">
            <v>PE Pipe Stub End Long Collar - 160mm x 110mm</v>
          </cell>
        </row>
        <row r="811">
          <cell r="D811" t="str">
            <v>SPIGOT - Stub End</v>
          </cell>
        </row>
        <row r="812">
          <cell r="D812" t="str">
            <v>PE Pipe Stub End Long Collar - 90mm x 63mm</v>
          </cell>
        </row>
        <row r="813">
          <cell r="D813" t="str">
            <v>PE Pipe Stub End Long Collar - 110mm x 63mm</v>
          </cell>
        </row>
        <row r="814">
          <cell r="D814" t="str">
            <v>PE Pipe Stub End Long Collar - 160mm x 63mm</v>
          </cell>
        </row>
        <row r="815">
          <cell r="D815" t="str">
            <v>PE Pipe Stub End Long Collar - 160mm x 110mm</v>
          </cell>
        </row>
        <row r="816">
          <cell r="D816" t="str">
            <v>PE Pipe (Spigot) Reducer - 160mm</v>
          </cell>
        </row>
        <row r="817">
          <cell r="D817" t="str">
            <v>SPIGOT - Reducer</v>
          </cell>
        </row>
        <row r="818">
          <cell r="D818" t="str">
            <v>PE Pipe (Spigot) Reducer - 63mm</v>
          </cell>
        </row>
        <row r="819">
          <cell r="D819" t="str">
            <v>PE Pipe (Spigot) Reducer - 90mm</v>
          </cell>
        </row>
        <row r="820">
          <cell r="D820" t="str">
            <v>PE Pipe (Spigot) Reducer - 110mm</v>
          </cell>
        </row>
        <row r="821">
          <cell r="D821" t="str">
            <v>PE Pipe (Spigot) Reducer - 160mm</v>
          </cell>
        </row>
        <row r="822">
          <cell r="D822" t="str">
            <v>PE Pipe Male Thread Adaptor - 63mm x 2"</v>
          </cell>
        </row>
        <row r="823">
          <cell r="D823" t="str">
            <v>PE Pipe Male Thread Adaptor - 90mm x 3"</v>
          </cell>
        </row>
        <row r="824">
          <cell r="D824" t="str">
            <v>PE Pipe, SDR 17  75mmØ</v>
          </cell>
        </row>
        <row r="825">
          <cell r="D825" t="str">
            <v>PE Pipe Male Thread Adaptor - 40mm x 1-1/4"</v>
          </cell>
        </row>
        <row r="826">
          <cell r="D826" t="str">
            <v>PE Pipe Male Thread Adaptor - 50mm x 1-1/2"</v>
          </cell>
        </row>
        <row r="827">
          <cell r="D827" t="str">
            <v>PE Pipe Male Thread Adaptor - 63mm x 2"</v>
          </cell>
        </row>
        <row r="828">
          <cell r="D828" t="str">
            <v>PE Pipe Male Thread Adaptor - 90mm x 3"</v>
          </cell>
        </row>
        <row r="829">
          <cell r="D829" t="str">
            <v>PE Pipe, SDR 17   63mmØ</v>
          </cell>
        </row>
        <row r="830">
          <cell r="D830" t="str">
            <v>PE Pipe, SDR 17   25mmØ</v>
          </cell>
        </row>
        <row r="831">
          <cell r="D831" t="str">
            <v>PE Pipe, SDR 17   32mmØ</v>
          </cell>
        </row>
        <row r="832">
          <cell r="D832" t="str">
            <v>PE Pipe, SDR 17   40mmØ</v>
          </cell>
        </row>
        <row r="833">
          <cell r="D833" t="str">
            <v>PE Pipe, SDR 17   50mmØ</v>
          </cell>
        </row>
        <row r="834">
          <cell r="D834" t="str">
            <v>PE Pipe, SDR 17   63mmØ</v>
          </cell>
        </row>
        <row r="835">
          <cell r="D835" t="str">
            <v>PE Pipe, SDR 17  75mmØ</v>
          </cell>
        </row>
        <row r="836">
          <cell r="D836" t="str">
            <v>PE Pipe, SDR 17  90mmØ</v>
          </cell>
        </row>
        <row r="837">
          <cell r="D837" t="str">
            <v>1¼" PE Pipe Coupling/Connector</v>
          </cell>
        </row>
        <row r="838">
          <cell r="D838" t="str">
            <v>3/8" PE Pipe Coupling/Connector</v>
          </cell>
        </row>
        <row r="839">
          <cell r="D839" t="str">
            <v>½" PE Pipe Coupling/Connector</v>
          </cell>
        </row>
        <row r="840">
          <cell r="D840" t="str">
            <v>3/4" PE Pipe Coupling/Connector</v>
          </cell>
        </row>
        <row r="841">
          <cell r="D841" t="str">
            <v>1" PE Pipe Coupling/Connector</v>
          </cell>
        </row>
        <row r="842">
          <cell r="D842" t="str">
            <v>1¼" PE Pipe Coupling/Connector</v>
          </cell>
        </row>
        <row r="843">
          <cell r="D843" t="str">
            <v>1½" PE Pipe Coupling/Connector</v>
          </cell>
        </row>
        <row r="844">
          <cell r="D844" t="str">
            <v>2" PE Pipe Coupling/Connector</v>
          </cell>
        </row>
        <row r="845">
          <cell r="D845" t="str">
            <v>2½" PE Pipe Coupling/Connector</v>
          </cell>
        </row>
        <row r="846">
          <cell r="D846" t="str">
            <v>3" PE Pipe Coupling/Connector</v>
          </cell>
        </row>
        <row r="847">
          <cell r="D847" t="str">
            <v>63mm X 2"dia. Male Adaptor, PLASSON</v>
          </cell>
        </row>
        <row r="848">
          <cell r="D848" t="str">
            <v>75mm X 2½"dia. Male Adaptor, PLASSON</v>
          </cell>
        </row>
        <row r="849">
          <cell r="D849" t="str">
            <v>PE Pipe Butt Fussion - 50mmØ</v>
          </cell>
        </row>
        <row r="850">
          <cell r="D850" t="str">
            <v>Butt Fusion</v>
          </cell>
        </row>
        <row r="851">
          <cell r="D851" t="str">
            <v>PE Pipe Butt Fussion - 25mmØ</v>
          </cell>
        </row>
        <row r="852">
          <cell r="D852" t="str">
            <v>PE Pipe Butt Fussion - 32mmØ</v>
          </cell>
        </row>
        <row r="853">
          <cell r="D853" t="str">
            <v>PE Pipe Butt Fussion - 40mmØ</v>
          </cell>
        </row>
        <row r="854">
          <cell r="D854" t="str">
            <v>PE Pipe Butt Fussion - 50mmØ</v>
          </cell>
        </row>
        <row r="855">
          <cell r="D855" t="str">
            <v>PE Pipe Butt Fussion - 63mmØ</v>
          </cell>
        </row>
        <row r="856">
          <cell r="D856" t="str">
            <v>PE Pipe Butt Fussion - 75mmØ</v>
          </cell>
        </row>
        <row r="857">
          <cell r="D857" t="str">
            <v>PE Pipe Butt Fussion - 90mmØ</v>
          </cell>
        </row>
        <row r="858">
          <cell r="D858" t="str">
            <v>PE Pipe Butt Fussion - 50mm x 32mm</v>
          </cell>
        </row>
        <row r="859">
          <cell r="D859" t="str">
            <v>PE Pipe Butt Fussion - 25mm x 20mm</v>
          </cell>
        </row>
        <row r="860">
          <cell r="D860" t="str">
            <v>PE Pipe Butt Fussion - 32mm x 20mm</v>
          </cell>
        </row>
        <row r="861">
          <cell r="D861" t="str">
            <v>PE Pipe Butt Fussion - 32mm x 25mm</v>
          </cell>
        </row>
        <row r="862">
          <cell r="D862" t="str">
            <v>PE Pipe Butt Fussion - 50mm x 25mm</v>
          </cell>
        </row>
        <row r="863">
          <cell r="D863" t="str">
            <v>PE Pipe Butt Fussion - 50mm x 32mm</v>
          </cell>
        </row>
        <row r="864">
          <cell r="D864" t="str">
            <v>PE Pipe Butt Fussion - 50mm x 40mm</v>
          </cell>
        </row>
        <row r="865">
          <cell r="D865" t="str">
            <v>PE Pipe Butt Fussion - 63mm x 32mm</v>
          </cell>
        </row>
        <row r="866">
          <cell r="D866" t="str">
            <v>PE Pipe Butt Fussion - 63mm x 40mm</v>
          </cell>
        </row>
        <row r="867">
          <cell r="D867" t="str">
            <v>PE Pipe Butt Fussion - 63mm x 50mm</v>
          </cell>
        </row>
        <row r="868">
          <cell r="D868" t="str">
            <v>PE Pipe Butt Fussion - 90mm x 63mm</v>
          </cell>
        </row>
        <row r="869">
          <cell r="D869" t="str">
            <v>Lavatory, porcelain</v>
          </cell>
        </row>
        <row r="870">
          <cell r="D870" t="str">
            <v>( SANITARY FIXTURES )</v>
          </cell>
        </row>
        <row r="871">
          <cell r="D871" t="str">
            <v>½" Brass Faucet, Plain Bibb</v>
          </cell>
        </row>
        <row r="872">
          <cell r="D872" t="str">
            <v>Water closet (ordinary)</v>
          </cell>
        </row>
        <row r="873">
          <cell r="D873" t="str">
            <v>Water closet</v>
          </cell>
        </row>
        <row r="874">
          <cell r="D874" t="str">
            <v>Water seal bowl (Pail Flush)</v>
          </cell>
        </row>
        <row r="875">
          <cell r="D875" t="str">
            <v>( SANITARY FIXTURES )</v>
          </cell>
        </row>
        <row r="876">
          <cell r="D876" t="str">
            <v>½" Brass Faucet, Plain Bibb</v>
          </cell>
        </row>
        <row r="877">
          <cell r="D877" t="str">
            <v>Water closet (ordinary)</v>
          </cell>
        </row>
        <row r="878">
          <cell r="D878" t="str">
            <v>Water closet</v>
          </cell>
        </row>
        <row r="879">
          <cell r="D879" t="str">
            <v>Water seal bowl (Pail Flush)</v>
          </cell>
        </row>
        <row r="880">
          <cell r="D880" t="str">
            <v>Lavatory, porcelain</v>
          </cell>
        </row>
        <row r="881">
          <cell r="D881" t="str">
            <v xml:space="preserve">Kitchen sink ( Aluminum) </v>
          </cell>
        </row>
        <row r="882">
          <cell r="D882" t="str">
            <v>Kitchen sink ( Aluminum) 16x24</v>
          </cell>
        </row>
        <row r="883">
          <cell r="D883" t="str">
            <v>Soap Holder (ceramic)</v>
          </cell>
        </row>
        <row r="884">
          <cell r="D884" t="str">
            <v>Paper Holder (ceramic)</v>
          </cell>
        </row>
        <row r="885">
          <cell r="D885" t="str">
            <v>4x4 Floor drain plate</v>
          </cell>
        </row>
        <row r="886">
          <cell r="D886" t="str">
            <v>6x6 Floor drain plate</v>
          </cell>
        </row>
        <row r="887">
          <cell r="D887" t="str">
            <v>1¼" Jetmatic Pump, Heavy Duty</v>
          </cell>
        </row>
        <row r="888">
          <cell r="D888" t="str">
            <v>Sink Strainer</v>
          </cell>
        </row>
        <row r="889">
          <cell r="D889" t="str">
            <v>Dome Type Roof Drain</v>
          </cell>
        </row>
        <row r="890">
          <cell r="D890" t="str">
            <v>Kitchen sink (Stainless)</v>
          </cell>
        </row>
        <row r="891">
          <cell r="D891" t="str">
            <v>Kitchen sink (Stainless) 16x24</v>
          </cell>
        </row>
        <row r="892">
          <cell r="D892" t="str">
            <v>Brass Faucet</v>
          </cell>
        </row>
        <row r="893">
          <cell r="D893" t="str">
            <v>Stainless Lavatory Faucet</v>
          </cell>
        </row>
        <row r="894">
          <cell r="D894" t="str">
            <v>150mm PVC Sanitary/Sewer Pipe x 3000</v>
          </cell>
        </row>
        <row r="895">
          <cell r="D895" t="str">
            <v>#14 AWG TW Wire solid</v>
          </cell>
        </row>
        <row r="896">
          <cell r="D896" t="str">
            <v>( ELECTRICAL WIRES &amp; APURTENANCES )</v>
          </cell>
        </row>
        <row r="897">
          <cell r="D897" t="str">
            <v>#8 AWG TW Wire solid</v>
          </cell>
        </row>
        <row r="898">
          <cell r="D898" t="str">
            <v>#10 AWG TW Wire solid</v>
          </cell>
        </row>
        <row r="899">
          <cell r="D899" t="str">
            <v>#12 AWG TW Wire solid</v>
          </cell>
        </row>
        <row r="900">
          <cell r="D900" t="str">
            <v>#14 AWG TW Wire solid</v>
          </cell>
        </row>
        <row r="901">
          <cell r="D901" t="str">
            <v>#10 AWG TW Wire stranded</v>
          </cell>
        </row>
        <row r="902">
          <cell r="D902" t="str">
            <v>#12 AWG TW Wire stranded</v>
          </cell>
        </row>
        <row r="903">
          <cell r="D903" t="str">
            <v>#14 AWG TW Wire stranded</v>
          </cell>
        </row>
        <row r="904">
          <cell r="D904" t="str">
            <v>#10  PDX Wire</v>
          </cell>
        </row>
        <row r="905">
          <cell r="D905" t="str">
            <v>#12 PDX Wire</v>
          </cell>
        </row>
        <row r="906">
          <cell r="D906" t="str">
            <v>#14 PDX Wire</v>
          </cell>
        </row>
        <row r="907">
          <cell r="D907" t="str">
            <v>3/4" PolyFlex Pipe</v>
          </cell>
        </row>
        <row r="908">
          <cell r="D908" t="str">
            <v>½" Flexible conduit</v>
          </cell>
        </row>
        <row r="909">
          <cell r="D909" t="str">
            <v>1" Flexible conduit</v>
          </cell>
        </row>
        <row r="910">
          <cell r="D910" t="str">
            <v>½" Entrance Cap</v>
          </cell>
        </row>
        <row r="911">
          <cell r="D911" t="str">
            <v>20A Circuit Breakers</v>
          </cell>
        </row>
        <row r="912">
          <cell r="D912" t="str">
            <v>30A Circuit Breakers</v>
          </cell>
        </row>
        <row r="913">
          <cell r="D913" t="str">
            <v>40A Circuit Breakers</v>
          </cell>
        </row>
        <row r="914">
          <cell r="D914" t="str">
            <v>60ACircuit Breakers</v>
          </cell>
        </row>
        <row r="915">
          <cell r="D915" t="str">
            <v>100A Circuit Breakers</v>
          </cell>
        </row>
        <row r="916">
          <cell r="D916" t="str">
            <v>15A Fuse</v>
          </cell>
        </row>
        <row r="917">
          <cell r="D917" t="str">
            <v>20A Fuse</v>
          </cell>
        </row>
        <row r="918">
          <cell r="D918" t="str">
            <v>30A Fuse</v>
          </cell>
        </row>
        <row r="919">
          <cell r="D919" t="str">
            <v>60A Fuse</v>
          </cell>
        </row>
        <row r="920">
          <cell r="D920" t="str">
            <v>30A kWh Meter</v>
          </cell>
        </row>
        <row r="921">
          <cell r="D921" t="str">
            <v>60A kWh Meter</v>
          </cell>
        </row>
        <row r="922">
          <cell r="D922" t="str">
            <v>100A kWh Meter</v>
          </cell>
        </row>
        <row r="923">
          <cell r="D923" t="str">
            <v>2X4, Utility Box</v>
          </cell>
        </row>
        <row r="924">
          <cell r="D924" t="str">
            <v>4X4, Junction Box with cover</v>
          </cell>
        </row>
        <row r="925">
          <cell r="D925" t="str">
            <v>Porcelain Ceiling Outlet</v>
          </cell>
        </row>
        <row r="926">
          <cell r="D926" t="str">
            <v>Duplex convenience outlet (surface type)</v>
          </cell>
        </row>
        <row r="927">
          <cell r="D927" t="str">
            <v>Rubber female plug</v>
          </cell>
        </row>
        <row r="928">
          <cell r="D928" t="str">
            <v>Electrical Tape</v>
          </cell>
        </row>
        <row r="929">
          <cell r="D929" t="str">
            <v>Panel Board, 6-Breakers</v>
          </cell>
        </row>
        <row r="930">
          <cell r="D930" t="str">
            <v>One Gang Switch (flush type)</v>
          </cell>
        </row>
        <row r="931">
          <cell r="D931" t="str">
            <v>Two Gang Swicth (flush type)</v>
          </cell>
        </row>
        <row r="932">
          <cell r="D932" t="str">
            <v>Three Gang Swicth (flush type)</v>
          </cell>
        </row>
        <row r="933">
          <cell r="D933" t="str">
            <v>One Gang Outlet (flush type)</v>
          </cell>
        </row>
        <row r="934">
          <cell r="D934" t="str">
            <v>Two Gang Outlet (flush type)</v>
          </cell>
        </row>
        <row r="935">
          <cell r="D935" t="str">
            <v>Three Gang Outlet (flush type)</v>
          </cell>
        </row>
        <row r="936">
          <cell r="D936" t="str">
            <v>1/2" Metal Conduit Pipe, 3.0m</v>
          </cell>
        </row>
        <row r="937">
          <cell r="D937" t="str">
            <v>20mmØ PVC Conduit Pipes, 3.0m</v>
          </cell>
        </row>
        <row r="938">
          <cell r="D938" t="str">
            <v>Main Switch Box, 2P, Double-Throw</v>
          </cell>
        </row>
        <row r="939">
          <cell r="D939" t="str">
            <v>Porcelain Wire Holder</v>
          </cell>
        </row>
        <row r="940">
          <cell r="D940" t="str">
            <v>10W Incandescent Bulb</v>
          </cell>
        </row>
        <row r="941">
          <cell r="D941" t="str">
            <v>( LIGHTS AND LAMPS )</v>
          </cell>
        </row>
        <row r="942">
          <cell r="D942" t="str">
            <v>20W 220 V Flourescent Lamp</v>
          </cell>
        </row>
        <row r="943">
          <cell r="D943" t="str">
            <v>40W 220 V Flourescent Lamp</v>
          </cell>
        </row>
        <row r="944">
          <cell r="D944" t="str">
            <v>20W 220 V Reflectorized Flourescent Lamp, Single Housing</v>
          </cell>
        </row>
        <row r="945">
          <cell r="D945" t="str">
            <v>10W Incandescent Bulb</v>
          </cell>
        </row>
        <row r="946">
          <cell r="D946" t="str">
            <v>15W Incandescent Bulb</v>
          </cell>
        </row>
        <row r="947">
          <cell r="D947" t="str">
            <v>20W Incandescent Bulb</v>
          </cell>
        </row>
        <row r="948">
          <cell r="D948" t="str">
            <v>25W Incandescent Bulb</v>
          </cell>
        </row>
        <row r="949">
          <cell r="D949" t="str">
            <v>50W Incandescent Bulb</v>
          </cell>
        </row>
        <row r="950">
          <cell r="D950" t="str">
            <v>100W Incandescent Bulb</v>
          </cell>
        </row>
        <row r="951">
          <cell r="D951" t="str">
            <v>18 W SL 2000 Flourescent Bulb</v>
          </cell>
        </row>
        <row r="952">
          <cell r="D952" t="str">
            <v>Acrylic Gloss Latex</v>
          </cell>
        </row>
        <row r="953">
          <cell r="D953" t="str">
            <v>( PAINTS &amp; ACCESSORIES )</v>
          </cell>
        </row>
        <row r="954">
          <cell r="D954" t="str">
            <v>Latex Paint Flat</v>
          </cell>
        </row>
        <row r="955">
          <cell r="D955" t="str">
            <v>Acrylic Latex Paint Flat</v>
          </cell>
        </row>
        <row r="956">
          <cell r="D956" t="str">
            <v>Acrylic Semi-Gloss Paint Latex</v>
          </cell>
        </row>
        <row r="957">
          <cell r="D957" t="str">
            <v>Acrylic Gloss Latex</v>
          </cell>
        </row>
        <row r="958">
          <cell r="D958" t="str">
            <v>Acrylic Clear Gloss Emulsion</v>
          </cell>
        </row>
        <row r="959">
          <cell r="D959" t="str">
            <v>Latex High Gloss Enamel</v>
          </cell>
        </row>
        <row r="960">
          <cell r="D960" t="str">
            <v>Latex Tinting Color (Water-based)</v>
          </cell>
        </row>
        <row r="961">
          <cell r="D961" t="str">
            <v>Quick Drying Enamel</v>
          </cell>
        </row>
        <row r="962">
          <cell r="D962" t="str">
            <v>Interior Semi-Gloss Enamel</v>
          </cell>
        </row>
        <row r="963">
          <cell r="D963" t="str">
            <v>Flat Wall Enamel</v>
          </cell>
        </row>
        <row r="964">
          <cell r="D964" t="str">
            <v>Conc. Primer Sealer</v>
          </cell>
        </row>
        <row r="965">
          <cell r="D965" t="str">
            <v>Interior Primer Sealer</v>
          </cell>
        </row>
        <row r="966">
          <cell r="D966" t="str">
            <v>Exterior Wood Primer</v>
          </cell>
        </row>
        <row r="967">
          <cell r="D967" t="str">
            <v>Prepakote Red Oxide Primer</v>
          </cell>
        </row>
        <row r="968">
          <cell r="D968" t="str">
            <v>Zinc Chromate Primer.</v>
          </cell>
        </row>
        <row r="969">
          <cell r="D969" t="str">
            <v>Red Lead Primer</v>
          </cell>
        </row>
        <row r="970">
          <cell r="D970" t="str">
            <v>Blackboard Paint green</v>
          </cell>
        </row>
        <row r="971">
          <cell r="D971" t="str">
            <v>Portland Roofing Paint</v>
          </cell>
        </row>
        <row r="972">
          <cell r="D972" t="str">
            <v>Galva wash zinc remover</v>
          </cell>
        </row>
        <row r="973">
          <cell r="D973" t="str">
            <v>Sanding Sealer</v>
          </cell>
        </row>
        <row r="974">
          <cell r="D974" t="str">
            <v>Clear Gloss Lacquer</v>
          </cell>
        </row>
        <row r="975">
          <cell r="D975" t="str">
            <v>Paint Thinner</v>
          </cell>
        </row>
        <row r="976">
          <cell r="D976" t="str">
            <v>Concrete Neutralizer</v>
          </cell>
        </row>
        <row r="977">
          <cell r="D977" t="str">
            <v>Coal Tar</v>
          </cell>
        </row>
        <row r="978">
          <cell r="D978" t="str">
            <v>Wood Stain</v>
          </cell>
        </row>
        <row r="979">
          <cell r="D979" t="str">
            <v>Kalsomine powder</v>
          </cell>
        </row>
        <row r="980">
          <cell r="D980" t="str">
            <v>Sanding Paper</v>
          </cell>
        </row>
        <row r="981">
          <cell r="D981" t="str">
            <v>Epoxy Primer, Boysen</v>
          </cell>
        </row>
        <row r="982">
          <cell r="D982" t="str">
            <v>Roller Brush w/ Tray</v>
          </cell>
        </row>
        <row r="983">
          <cell r="D983" t="str">
            <v>Paint Brush</v>
          </cell>
        </row>
        <row r="984">
          <cell r="D984" t="str">
            <v>Reflectorized Paint</v>
          </cell>
        </row>
        <row r="985">
          <cell r="D985" t="str">
            <v>Marine Paint</v>
          </cell>
        </row>
        <row r="986">
          <cell r="D986" t="str">
            <v>Unglazed Tiles  4-1/4" x 4-1/4"</v>
          </cell>
        </row>
        <row r="987">
          <cell r="D987" t="str">
            <v>( PRESERVATIVES )</v>
          </cell>
        </row>
        <row r="988">
          <cell r="D988" t="str">
            <v>Wood preservative (Solignum)</v>
          </cell>
        </row>
        <row r="989">
          <cell r="D989" t="str">
            <v>Glazed Tiles  4" x 4"</v>
          </cell>
        </row>
        <row r="990">
          <cell r="D990" t="str">
            <v>( TILES )</v>
          </cell>
        </row>
        <row r="991">
          <cell r="D991" t="str">
            <v>Unglazed Tiles  4-1/4" x 4-1/4"</v>
          </cell>
        </row>
        <row r="992">
          <cell r="D992" t="str">
            <v>Glazed Tile (Plain Color)  4-1/4" x 4-1/4"</v>
          </cell>
        </row>
        <row r="993">
          <cell r="D993" t="str">
            <v>Mosaic Floor Tiles  12 x 12</v>
          </cell>
        </row>
        <row r="994">
          <cell r="D994" t="str">
            <v>Glazed Tiles  4" x 4"</v>
          </cell>
        </row>
        <row r="995">
          <cell r="D995" t="str">
            <v>Vitirified Tiles  4" x 8"</v>
          </cell>
        </row>
        <row r="996">
          <cell r="D996" t="str">
            <v>Floor Tiles (Plain Color)  8" x 8"</v>
          </cell>
        </row>
        <row r="997">
          <cell r="D997" t="str">
            <v>Glazed Tiles (Plain Color)  8" x 8"</v>
          </cell>
        </row>
        <row r="998">
          <cell r="D998" t="str">
            <v>Vinyl Tiles  8" x 8"</v>
          </cell>
        </row>
        <row r="999">
          <cell r="D999" t="str">
            <v>Capping</v>
          </cell>
        </row>
        <row r="1000">
          <cell r="D1000" t="str">
            <v>Internal Bead  4"</v>
          </cell>
        </row>
        <row r="1001">
          <cell r="D1001" t="str">
            <v xml:space="preserve">External Bead  4" </v>
          </cell>
        </row>
        <row r="1002">
          <cell r="D1002" t="str">
            <v>Internal Corner bead</v>
          </cell>
        </row>
        <row r="1003">
          <cell r="D1003" t="str">
            <v>External Corner bead</v>
          </cell>
        </row>
        <row r="1004">
          <cell r="D1004" t="str">
            <v>Unglazed Tiles  4" x 4"</v>
          </cell>
        </row>
        <row r="1005">
          <cell r="D1005" t="str">
            <v>Medical Trolley w/glass container</v>
          </cell>
        </row>
        <row r="1006">
          <cell r="D1006" t="str">
            <v>( INSTRUMENTS )</v>
          </cell>
        </row>
        <row r="1007">
          <cell r="D1007" t="str">
            <v>Weighing Scale w Ht Measurement (Adult)</v>
          </cell>
        </row>
        <row r="1008">
          <cell r="D1008" t="str">
            <v>Weighing Scale (Newborn)</v>
          </cell>
        </row>
        <row r="1009">
          <cell r="D1009" t="str">
            <v>Stethoscope</v>
          </cell>
        </row>
        <row r="1010">
          <cell r="D1010" t="str">
            <v>Medical Trolley w/glass container</v>
          </cell>
        </row>
        <row r="1011">
          <cell r="D1011" t="str">
            <v>Sphygmomanometer (Mercury)</v>
          </cell>
        </row>
        <row r="1012">
          <cell r="D1012" t="str">
            <v>Thermometer</v>
          </cell>
        </row>
        <row r="1013">
          <cell r="D1013" t="str">
            <v>Scissors (Surgical)</v>
          </cell>
        </row>
        <row r="1014">
          <cell r="D1014" t="str">
            <v>Scissors (Bandage)</v>
          </cell>
        </row>
        <row r="1015">
          <cell r="D1015" t="str">
            <v>Forceps (Curve)</v>
          </cell>
        </row>
        <row r="1016">
          <cell r="D1016" t="str">
            <v>Forceps (Straight)</v>
          </cell>
        </row>
        <row r="1017">
          <cell r="D1017" t="str">
            <v>Kidney Basin (Stainless)</v>
          </cell>
        </row>
        <row r="1018">
          <cell r="D1018" t="str">
            <v>Bed Pan (Metal)</v>
          </cell>
        </row>
        <row r="1019">
          <cell r="D1019" t="str">
            <v>Male Urinal</v>
          </cell>
        </row>
        <row r="1020">
          <cell r="D1020" t="str">
            <v>O.B. Bed with Stirrups</v>
          </cell>
        </row>
        <row r="1021">
          <cell r="D1021" t="str">
            <v>Hot Water Bag</v>
          </cell>
        </row>
        <row r="1022">
          <cell r="D1022" t="str">
            <v>Blackboard</v>
          </cell>
        </row>
        <row r="1023">
          <cell r="D1023" t="str">
            <v>( FURNITURES )</v>
          </cell>
        </row>
        <row r="1024">
          <cell r="D1024" t="str">
            <v>Monoblock Student Chair</v>
          </cell>
        </row>
        <row r="1025">
          <cell r="D1025" t="str">
            <v>Monoblock Chair</v>
          </cell>
        </row>
        <row r="1026">
          <cell r="D1026" t="str">
            <v>Standard Office Table, Wood (SZOPAD Standard)</v>
          </cell>
        </row>
        <row r="1027">
          <cell r="D1027" t="str">
            <v>Blackboard</v>
          </cell>
        </row>
        <row r="1028">
          <cell r="D1028" t="str">
            <v>Kitchen Table, Wood (SZOPAD Standard)</v>
          </cell>
        </row>
        <row r="1029">
          <cell r="D1029" t="str">
            <v>Monoblock Bench (2-seater)</v>
          </cell>
        </row>
        <row r="1030">
          <cell r="D1030" t="str">
            <v>Mooring Bitt 15T</v>
          </cell>
        </row>
        <row r="1031">
          <cell r="D1031" t="str">
            <v>( MOORING &amp; FENDERS )</v>
          </cell>
        </row>
        <row r="1032">
          <cell r="D1032" t="str">
            <v>Mooring Bollard 25T</v>
          </cell>
        </row>
        <row r="1033">
          <cell r="D1033" t="str">
            <v>Mooring Bollard 15T</v>
          </cell>
        </row>
        <row r="1034">
          <cell r="D1034" t="str">
            <v>Mooring Bitt 10T</v>
          </cell>
        </row>
        <row r="1035">
          <cell r="D1035" t="str">
            <v>Mooring Bitt 15T</v>
          </cell>
        </row>
        <row r="1036">
          <cell r="D1036" t="str">
            <v>Mooring Cleat 5T</v>
          </cell>
        </row>
        <row r="1037">
          <cell r="D1037" t="str">
            <v>V-Type Rubber Fender (200x1500) incl. its appurtenances</v>
          </cell>
        </row>
        <row r="1038">
          <cell r="D1038" t="str">
            <v>V-Type Rubber Fender (300x1500) incl. its appurtenances</v>
          </cell>
        </row>
        <row r="1039">
          <cell r="D1039" t="str">
            <v>V-Type Rubber Fender (400x1000) incl. its appurtenances</v>
          </cell>
        </row>
        <row r="1040">
          <cell r="D1040" t="str">
            <v>V-Type Rubber Fender (400x2000) incl. its appurtenances</v>
          </cell>
        </row>
        <row r="1041">
          <cell r="D1041" t="str">
            <v>L Corner Type Rubber Fender (250Hx1000Lx1000L) incl. its appurtenances</v>
          </cell>
        </row>
        <row r="1042">
          <cell r="D1042" t="str">
            <v>Used Tires (800mmØ)</v>
          </cell>
        </row>
        <row r="1043">
          <cell r="D1043" t="str">
            <v>Used Tires (1000mmØ) and its appurtenances</v>
          </cell>
        </row>
        <row r="1044">
          <cell r="D1044" t="str">
            <v>Gasoline, Regular</v>
          </cell>
        </row>
        <row r="1045">
          <cell r="D1045" t="str">
            <v>Ga#24 GI Sht Caps</v>
          </cell>
        </row>
        <row r="1046">
          <cell r="D1046" t="str">
            <v>( LUBRICANT AND OIL )</v>
          </cell>
        </row>
        <row r="1047">
          <cell r="D1047" t="str">
            <v>Used Oil</v>
          </cell>
        </row>
        <row r="1048">
          <cell r="D1048" t="str">
            <v>Oil, No. 110</v>
          </cell>
        </row>
        <row r="1049">
          <cell r="D1049" t="str">
            <v>Gasoline, Regular</v>
          </cell>
        </row>
        <row r="1050">
          <cell r="D1050" t="str">
            <v xml:space="preserve">Shop-made Door Lock, 5/8" Plain Bar </v>
          </cell>
        </row>
        <row r="1051">
          <cell r="D1051" t="str">
            <v>( JUNKS &amp; JOB ORDER )</v>
          </cell>
        </row>
        <row r="1052">
          <cell r="D1052" t="str">
            <v>Tension Rod</v>
          </cell>
        </row>
        <row r="1053">
          <cell r="D1053" t="str">
            <v>Steel Plate Cover 0.65 X 0.65 m</v>
          </cell>
        </row>
        <row r="1054">
          <cell r="D1054" t="str">
            <v>Window Grill, Steel</v>
          </cell>
        </row>
        <row r="1055">
          <cell r="D1055" t="str">
            <v xml:space="preserve">Shop-made Door Lock, 5/8" Plain Bar </v>
          </cell>
        </row>
        <row r="1056">
          <cell r="D1056" t="str">
            <v>Fabricated Clamp, 5mm thk x 3"</v>
          </cell>
        </row>
        <row r="1057">
          <cell r="D1057" t="str">
            <v>Used Tires</v>
          </cell>
        </row>
        <row r="1058">
          <cell r="D1058" t="str">
            <v>2.0m X 2.40m  GI Vertical Roll-Up Door</v>
          </cell>
        </row>
        <row r="1059">
          <cell r="D1059" t="str">
            <v>30"  Spherical Roof Vent, Turbine Type</v>
          </cell>
        </row>
        <row r="1060">
          <cell r="D1060" t="str">
            <v>Ga#24 GI Sht Caps</v>
          </cell>
        </row>
        <row r="1061">
          <cell r="D1061" t="str">
            <v>Hard Asphalt Filler</v>
          </cell>
        </row>
        <row r="1062">
          <cell r="D1062" t="str">
            <v>250 x 250 x 3000 Rubbing Timber (Yakal)</v>
          </cell>
        </row>
        <row r="1063">
          <cell r="D1063" t="str">
            <v>Creosoted Wooden Pole 300mmØ x 15m.</v>
          </cell>
        </row>
        <row r="1064">
          <cell r="D1064" t="str">
            <v>Creosoted Wooden Pole 300mmØ x 18m.</v>
          </cell>
        </row>
        <row r="1065">
          <cell r="D1065" t="str">
            <v>Steel Stapples 10mmØ</v>
          </cell>
        </row>
        <row r="1066">
          <cell r="D1066" t="str">
            <v>Fire Extinguishers</v>
          </cell>
        </row>
        <row r="1067">
          <cell r="D1067" t="str">
            <v>Water Proofing Compound &amp; Accessories</v>
          </cell>
        </row>
        <row r="1068">
          <cell r="D1068" t="str">
            <v>Gate Accessories</v>
          </cell>
        </row>
        <row r="1069">
          <cell r="D1069" t="str">
            <v>Electrical &amp; Fixtures</v>
          </cell>
        </row>
        <row r="1070">
          <cell r="D1070" t="str">
            <v>Regulatory Sign</v>
          </cell>
        </row>
        <row r="1071">
          <cell r="D1071" t="str">
            <v>Elastomeric Bearing Pad Duro 60 (Complete Set)</v>
          </cell>
        </row>
        <row r="1072">
          <cell r="D1072" t="str">
            <v>Restrainer Bolt (25mmØx800</v>
          </cell>
        </row>
        <row r="1073">
          <cell r="D1073" t="str">
            <v>Ga#10 GI Pre-Fab Steel Flex Beam</v>
          </cell>
        </row>
        <row r="1074">
          <cell r="D1074" t="str">
            <v>Ga#10 GI Pre-Fab Steel Flex Beam end</v>
          </cell>
        </row>
        <row r="1075">
          <cell r="D1075" t="str">
            <v>Restrainer Bolt (25mmØx800)</v>
          </cell>
        </row>
        <row r="1076">
          <cell r="D1076" t="str">
            <v>Water Meter</v>
          </cell>
        </row>
        <row r="1077">
          <cell r="D1077" t="str">
            <v>Filter Fabric</v>
          </cell>
        </row>
        <row r="1078">
          <cell r="D1078" t="str">
            <v>Ga# 18 Stainless Steel Tank and Accessories</v>
          </cell>
        </row>
        <row r="1079">
          <cell r="D1079" t="str">
            <v>Window 1 - Community Center 1</v>
          </cell>
        </row>
        <row r="1080">
          <cell r="D1080" t="str">
            <v>Window 2 - Community Center 1</v>
          </cell>
        </row>
        <row r="1081">
          <cell r="D1081" t="str">
            <v>FENESTRATION</v>
          </cell>
        </row>
        <row r="1082">
          <cell r="D1082" t="str">
            <v>Door 1 - Community Center 1</v>
          </cell>
        </row>
        <row r="1083">
          <cell r="D1083" t="str">
            <v>Door 2 - Community Center 1</v>
          </cell>
        </row>
        <row r="1084">
          <cell r="D1084" t="str">
            <v>Window 1 - Community Center 1</v>
          </cell>
        </row>
        <row r="1085">
          <cell r="D1085" t="str">
            <v>Window 2 - Community Center 1</v>
          </cell>
        </row>
        <row r="1086">
          <cell r="D1086" t="str">
            <v>Window 3 - Community Center 1</v>
          </cell>
        </row>
        <row r="1087">
          <cell r="D1087" t="str">
            <v>Window 3 - Community Center 2</v>
          </cell>
        </row>
        <row r="1088">
          <cell r="D1088" t="str">
            <v>Door 1 - Community Center 2</v>
          </cell>
        </row>
        <row r="1089">
          <cell r="D1089" t="str">
            <v>Door 2 - Community Center 2</v>
          </cell>
        </row>
        <row r="1090">
          <cell r="D1090" t="str">
            <v>Window 1 - Community Center 2</v>
          </cell>
        </row>
        <row r="1091">
          <cell r="D1091" t="str">
            <v>Window 2 - Community Center 2</v>
          </cell>
        </row>
        <row r="1092">
          <cell r="D1092" t="str">
            <v>Window 3 - Community Center 2</v>
          </cell>
        </row>
        <row r="1093">
          <cell r="D1093" t="str">
            <v>Window 2 - Trading Center</v>
          </cell>
        </row>
        <row r="1094">
          <cell r="D1094" t="str">
            <v xml:space="preserve">Door 1 - Trading Center </v>
          </cell>
        </row>
        <row r="1095">
          <cell r="D1095" t="str">
            <v xml:space="preserve">Door 2 - Trading Center </v>
          </cell>
        </row>
        <row r="1096">
          <cell r="D1096" t="str">
            <v xml:space="preserve">Panel Door  - Trading Center </v>
          </cell>
        </row>
        <row r="1097">
          <cell r="D1097" t="str">
            <v>Window 1 - Trading Center</v>
          </cell>
        </row>
        <row r="1098">
          <cell r="D1098" t="str">
            <v>Window 2 - Trading Center</v>
          </cell>
        </row>
        <row r="1099">
          <cell r="D1099" t="str">
            <v>Window 3 - Trading Center</v>
          </cell>
        </row>
        <row r="1100">
          <cell r="D1100" t="str">
            <v>Computer Pentium 4 w/ HP Deskject Printer (Latest Model)</v>
          </cell>
        </row>
        <row r="1101">
          <cell r="D1101" t="str">
            <v>FACILITIES FOR ENGINEER</v>
          </cell>
        </row>
        <row r="1102">
          <cell r="D1102" t="str">
            <v>Temporary Field Office/Quarter (2 Container Van w/ Shed)</v>
          </cell>
        </row>
        <row r="1103">
          <cell r="D1103" t="str">
            <v>Temporary Field Office/Quarter</v>
          </cell>
        </row>
        <row r="1104">
          <cell r="D1104" t="str">
            <v>Airconditioning Unit</v>
          </cell>
        </row>
        <row r="1105">
          <cell r="D1105" t="str">
            <v>Computer Pentium 4 w/ HP Deskject Printer (Latest Model)</v>
          </cell>
        </row>
        <row r="1106">
          <cell r="D1106" t="str">
            <v>Office Furnitures/Equipment (Items 81.70, 81.80 and 81.90)</v>
          </cell>
        </row>
        <row r="1107">
          <cell r="D1107" t="str">
            <v>Office Supplies/Water/Electricity</v>
          </cell>
        </row>
        <row r="1108">
          <cell r="D1108" t="str">
            <v>Furnishing on Rental Basis (Mat'ls Laboratory, Operations &amp; Maintenance)</v>
          </cell>
        </row>
        <row r="1109">
          <cell r="D1109" t="str">
            <v>Progress Photographed</v>
          </cell>
        </row>
        <row r="1110">
          <cell r="D1110" t="str">
            <v>Plywood Board</v>
          </cell>
        </row>
        <row r="1111">
          <cell r="D1111" t="str">
            <v>OFFICE FURNITURES</v>
          </cell>
        </row>
        <row r="1112">
          <cell r="D1112" t="str">
            <v>Office Table</v>
          </cell>
        </row>
        <row r="1113">
          <cell r="D1113" t="str">
            <v>Office Chairs</v>
          </cell>
        </row>
        <row r="1114">
          <cell r="D1114" t="str">
            <v>Bench</v>
          </cell>
        </row>
        <row r="1115">
          <cell r="D1115" t="str">
            <v>Plywood Board</v>
          </cell>
        </row>
        <row r="1116">
          <cell r="D1116" t="str">
            <v>Stainless Steel Plaque w/ Concrete Pedestal</v>
          </cell>
        </row>
        <row r="1117">
          <cell r="D1117" t="str">
            <v>SIGNAGES</v>
          </cell>
        </row>
        <row r="1118">
          <cell r="D1118" t="str">
            <v>Plate Marker</v>
          </cell>
        </row>
        <row r="1119">
          <cell r="D1119" t="str">
            <v>Marker Pedestal</v>
          </cell>
        </row>
        <row r="1120">
          <cell r="D1120" t="str">
            <v>Stainless Steel Plaque</v>
          </cell>
        </row>
        <row r="1121">
          <cell r="D1121" t="str">
            <v>Stainless Steel Plaque w/ Concrete Pedestal</v>
          </cell>
        </row>
        <row r="1122">
          <cell r="D1122" t="str">
            <v>Wooden Type Project Information Signboard</v>
          </cell>
        </row>
        <row r="1123">
          <cell r="D1123" t="str">
            <v>Steel Type Project Information Signboard</v>
          </cell>
        </row>
        <row r="1124">
          <cell r="D1124" t="str">
            <v>Steel Type w/ Canvass Project Information Signboard</v>
          </cell>
        </row>
        <row r="1125">
          <cell r="D1125" t="str">
            <v>Signage</v>
          </cell>
        </row>
        <row r="1126">
          <cell r="D1126" t="str">
            <v>Plate Marker w/ Pedestal</v>
          </cell>
        </row>
        <row r="1127">
          <cell r="D1127" t="str">
            <v>Community Center 1</v>
          </cell>
        </row>
        <row r="1129">
          <cell r="D1129" t="str">
            <v>PERMITS &amp; LICENSES</v>
          </cell>
        </row>
        <row r="1130">
          <cell r="D1130" t="str">
            <v>Warehouse</v>
          </cell>
        </row>
        <row r="1131">
          <cell r="D1131" t="str">
            <v>Solar Dryer</v>
          </cell>
        </row>
        <row r="1132">
          <cell r="D1132" t="str">
            <v>Community Center 1</v>
          </cell>
        </row>
        <row r="1134">
          <cell r="D1134" t="str">
            <v>( LIQUIFIED AND PRESSURE GASES )</v>
          </cell>
        </row>
        <row r="1135">
          <cell r="D1135" t="str">
            <v>Oxygen Gas</v>
          </cell>
        </row>
        <row r="1136">
          <cell r="D1136" t="str">
            <v>Acetylene Gas</v>
          </cell>
        </row>
        <row r="1137">
          <cell r="D1137" t="str">
            <v>20mmØ Deformed Bars</v>
          </cell>
        </row>
        <row r="1138">
          <cell r="D1138" t="str">
            <v>16mmØ Deformed Bars</v>
          </cell>
        </row>
        <row r="1139">
          <cell r="D1139" t="str">
            <v>REBARS</v>
          </cell>
        </row>
        <row r="1140">
          <cell r="D1140" t="str">
            <v>28mmØ Deformed Bars</v>
          </cell>
        </row>
        <row r="1141">
          <cell r="D1141" t="str">
            <v>25mmØ Deformed Bars</v>
          </cell>
        </row>
        <row r="1142">
          <cell r="D1142" t="str">
            <v>20mmØ Deformed Bars</v>
          </cell>
        </row>
        <row r="1143">
          <cell r="D1143" t="str">
            <v>16mmØ Deformed Bars</v>
          </cell>
        </row>
        <row r="1144">
          <cell r="D1144" t="str">
            <v>12mmØ Deformed Bars</v>
          </cell>
        </row>
        <row r="1145">
          <cell r="D1145" t="str">
            <v>10mmØ Deformed Bars</v>
          </cell>
        </row>
        <row r="1146">
          <cell r="D1146" t="str">
            <v>8mmØ Deformed Bars</v>
          </cell>
        </row>
        <row r="1147">
          <cell r="D1147" t="str">
            <v>6mmØ Deformed Bars</v>
          </cell>
        </row>
        <row r="1148">
          <cell r="D1148" t="str">
            <v>10mmØ x 6m Square Bar</v>
          </cell>
        </row>
        <row r="1149">
          <cell r="D1149" t="str">
            <v>12mmØ x 6m Square Bar</v>
          </cell>
        </row>
        <row r="1150">
          <cell r="D1150" t="str">
            <v>10mmØ Plain Round Bars</v>
          </cell>
        </row>
        <row r="1151">
          <cell r="D1151" t="str">
            <v>12mmØ Plain Round Bars</v>
          </cell>
        </row>
        <row r="1153">
          <cell r="D1153" t="str">
            <v>( ADHESSIVE )</v>
          </cell>
        </row>
        <row r="1154">
          <cell r="D1154" t="str">
            <v>SQUARE BAR</v>
          </cell>
        </row>
        <row r="1155">
          <cell r="D1155" t="str">
            <v>10mmØ x 6m Square Bar</v>
          </cell>
        </row>
        <row r="1156">
          <cell r="D1156" t="str">
            <v>12mmØ x 6m Square Bar</v>
          </cell>
        </row>
        <row r="1157">
          <cell r="D1157" t="str">
            <v>16mmØ x 6m Square Bar</v>
          </cell>
        </row>
        <row r="1158">
          <cell r="D1158" t="str">
            <v>Steel Channel, 6 x 13</v>
          </cell>
        </row>
        <row r="1159">
          <cell r="D1159" t="str">
            <v>1.2mm x 2"x 6" C-Purlins</v>
          </cell>
        </row>
        <row r="1160">
          <cell r="D1160" t="str">
            <v>( ADHESSIVE )</v>
          </cell>
        </row>
        <row r="1161">
          <cell r="D1161" t="str">
            <v>Epoxy Pioner</v>
          </cell>
        </row>
        <row r="1162">
          <cell r="D1162" t="str">
            <v>1.2mm x 2"x 3" C-Purlins</v>
          </cell>
        </row>
        <row r="1163">
          <cell r="D1163" t="str">
            <v>( STEEL CHANNEL)</v>
          </cell>
        </row>
        <row r="1164">
          <cell r="D1164" t="str">
            <v>Steel Channel, 4 x 7.25</v>
          </cell>
        </row>
        <row r="1165">
          <cell r="D1165" t="str">
            <v>Steel Channel, 6 x 13</v>
          </cell>
        </row>
        <row r="1166">
          <cell r="D1166" t="str">
            <v>1.2mm x 2"x 6" C-Purlins</v>
          </cell>
        </row>
        <row r="1167">
          <cell r="D1167" t="str">
            <v>1.2mm x 2"x 4" C-Purlins</v>
          </cell>
        </row>
        <row r="1168">
          <cell r="D1168" t="str">
            <v>1.2mm x 1-1/2"x 4" C-Purlins</v>
          </cell>
        </row>
        <row r="1169">
          <cell r="D1169" t="str">
            <v>1.2mm x 2"x 3" C-Purlins</v>
          </cell>
        </row>
        <row r="1170">
          <cell r="D1170" t="str">
            <v>1.0mm x 2"x 3" C-Purlins</v>
          </cell>
        </row>
        <row r="1171">
          <cell r="D1171" t="str">
            <v>1.0mm x 1-1/2"x 3" C-Purlins</v>
          </cell>
        </row>
        <row r="1172">
          <cell r="D1172" t="str">
            <v>0.9mm x 2"x 6" C-Purlins</v>
          </cell>
        </row>
        <row r="1173">
          <cell r="D1173" t="str">
            <v>0.9mm x 1"x 4" C-Purlins</v>
          </cell>
        </row>
        <row r="1174">
          <cell r="D1174" t="str">
            <v>0.9mm x 2"x 4" C-Purlins</v>
          </cell>
        </row>
        <row r="1175">
          <cell r="D1175" t="str">
            <v>0.8mm x 2"x 3" C-Purlins</v>
          </cell>
        </row>
        <row r="1176">
          <cell r="D1176" t="str">
            <v>0.8mm x 1-1/2"x 4" C-Purlins</v>
          </cell>
        </row>
        <row r="1177">
          <cell r="D1177" t="str">
            <v>0.8mm x 1-1/2"x 3" C-Purlins</v>
          </cell>
        </row>
        <row r="1179">
          <cell r="D1179" t="str">
            <v>(ROOFING)</v>
          </cell>
        </row>
        <row r="1181">
          <cell r="D1181" t="str">
            <v>Corr. Galvalum Sheets, x 8'</v>
          </cell>
        </row>
        <row r="1182">
          <cell r="D1182" t="str">
            <v>Corr. Galvalum Sheets, x 10'</v>
          </cell>
        </row>
        <row r="1183">
          <cell r="D1183" t="str">
            <v>Corr. Galvalum Sheets, x 12'</v>
          </cell>
        </row>
      </sheetData>
      <sheetData sheetId="7" refreshError="1">
        <row r="7">
          <cell r="D7" t="str">
            <v>Civil Engineer</v>
          </cell>
        </row>
        <row r="8">
          <cell r="D8" t="str">
            <v>Foreman</v>
          </cell>
        </row>
        <row r="9">
          <cell r="D9" t="str">
            <v>Carpenter</v>
          </cell>
        </row>
        <row r="10">
          <cell r="D10" t="str">
            <v>Mason</v>
          </cell>
        </row>
        <row r="11">
          <cell r="D11" t="str">
            <v>Steelman</v>
          </cell>
        </row>
        <row r="12">
          <cell r="D12" t="str">
            <v>Electrician</v>
          </cell>
        </row>
        <row r="13">
          <cell r="D13" t="str">
            <v>Tinsmith</v>
          </cell>
        </row>
        <row r="14">
          <cell r="D14" t="str">
            <v>Welder</v>
          </cell>
        </row>
        <row r="15">
          <cell r="D15" t="str">
            <v>Plumber</v>
          </cell>
        </row>
        <row r="16">
          <cell r="D16" t="str">
            <v>Painter</v>
          </cell>
        </row>
        <row r="17">
          <cell r="D17" t="str">
            <v>HE Operator</v>
          </cell>
        </row>
        <row r="18">
          <cell r="D18" t="str">
            <v>Backhoe Operator</v>
          </cell>
        </row>
        <row r="19">
          <cell r="D19" t="str">
            <v>Road Grader Operator</v>
          </cell>
        </row>
        <row r="20">
          <cell r="D20" t="str">
            <v>Water Truck Operator</v>
          </cell>
        </row>
        <row r="21">
          <cell r="D21" t="str">
            <v>Dump Truck Operator</v>
          </cell>
        </row>
        <row r="22">
          <cell r="D22" t="str">
            <v>Road Roller Operator</v>
          </cell>
        </row>
        <row r="23">
          <cell r="D23" t="str">
            <v>Payloader Operator</v>
          </cell>
        </row>
        <row r="24">
          <cell r="D24" t="str">
            <v>Bulldozer Operator</v>
          </cell>
        </row>
        <row r="25">
          <cell r="D25" t="str">
            <v>Transit Mixer Operator</v>
          </cell>
        </row>
        <row r="26">
          <cell r="D26" t="str">
            <v>Cement Batching Plant Crew</v>
          </cell>
        </row>
        <row r="27">
          <cell r="D27" t="str">
            <v>Transit Mixer Helper</v>
          </cell>
        </row>
        <row r="28">
          <cell r="D28" t="str">
            <v>Barge Mounted Crane Operator</v>
          </cell>
        </row>
        <row r="29">
          <cell r="D29" t="str">
            <v>Truck Mounted Crane Operator</v>
          </cell>
        </row>
        <row r="30">
          <cell r="D30" t="str">
            <v>Tile Setter</v>
          </cell>
        </row>
        <row r="31">
          <cell r="D31" t="str">
            <v>Laborer (Bagger Mixer Crew)</v>
          </cell>
        </row>
        <row r="32">
          <cell r="D32" t="str">
            <v>Laborer</v>
          </cell>
        </row>
        <row r="33">
          <cell r="D33" t="str">
            <v>Laborer (Spreading/Grading)</v>
          </cell>
        </row>
        <row r="34">
          <cell r="D34" t="str">
            <v>Laborer (Tampering/Compacting)</v>
          </cell>
        </row>
        <row r="35">
          <cell r="D35" t="str">
            <v>Laborer (Rock laying/filing)</v>
          </cell>
        </row>
        <row r="36">
          <cell r="D36" t="str">
            <v>Laborer (Hauling)</v>
          </cell>
        </row>
        <row r="37">
          <cell r="D37" t="str">
            <v>Instrument Man</v>
          </cell>
        </row>
        <row r="38">
          <cell r="D38" t="str">
            <v>Survey Aide</v>
          </cell>
        </row>
        <row r="39">
          <cell r="D39" t="str">
            <v>Concrete Vibrator Operator</v>
          </cell>
        </row>
        <row r="40">
          <cell r="D40" t="str">
            <v>Concrete Vibrator Operator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enter"/>
      <sheetName val="Project List"/>
      <sheetName val="Extracted Information"/>
      <sheetName val="Numbers"/>
      <sheetName val="Materials"/>
      <sheetName val="Manpower"/>
      <sheetName val="Equipment"/>
      <sheetName val="Scope of Works"/>
      <sheetName val="Sour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.E.D."/>
      <sheetName val="ABC (3)"/>
      <sheetName val="3.) DUPA"/>
      <sheetName val="2.) BRKDWN OF EXPNDTRE"/>
      <sheetName val="1.) COVER PAGE"/>
      <sheetName val="QTS"/>
      <sheetName val="BC(MCFC)"/>
      <sheetName val="BC(7)"/>
      <sheetName val="BC(23)"/>
      <sheetName val="BC(39)"/>
      <sheetName val="BC(MatPang)"/>
      <sheetName val="BC(BagoAPL)"/>
      <sheetName val="BC(BagoGAL)"/>
      <sheetName val="BC(RRImatinacross)"/>
      <sheetName val="bar"/>
      <sheetName val="bar1"/>
      <sheetName val="Hauling"/>
      <sheetName val="list A"/>
      <sheetName val="list B"/>
      <sheetName val="Source"/>
      <sheetName val="1"/>
      <sheetName val="2"/>
      <sheetName val="Sheet4"/>
      <sheetName val="FRONT PAGE"/>
      <sheetName val="2ND PAGE"/>
      <sheetName val="Sheet1"/>
      <sheetName val="spl 1"/>
      <sheetName val="302"/>
      <sheetName val="310"/>
      <sheetName val="101(3)"/>
      <sheetName val="102(2)A"/>
      <sheetName val="105"/>
      <sheetName val="201 A"/>
      <sheetName val="311 A"/>
      <sheetName val="605(1)"/>
      <sheetName val="612(1)"/>
      <sheetName val="612(2)"/>
      <sheetName val="spl-2"/>
      <sheetName val="SPL-3"/>
      <sheetName val="spl-4"/>
      <sheetName val="spl-5"/>
      <sheetName val="tma rd"/>
      <sheetName val="tma FC"/>
      <sheetName val="TMA 1"/>
      <sheetName val="TMA"/>
      <sheetName val="bare month equip"/>
      <sheetName val="abc"/>
      <sheetName val="DRAINAGE"/>
      <sheetName val="101(3)1"/>
      <sheetName val="Sheet2"/>
      <sheetName val="102(1)"/>
      <sheetName val="104(2)"/>
      <sheetName val="200"/>
      <sheetName val="300a"/>
      <sheetName val="BAR CHART"/>
      <sheetName val="310 tma"/>
      <sheetName val="311"/>
      <sheetName val="705"/>
      <sheetName val="tma 2"/>
      <sheetName val="camphouse"/>
      <sheetName val="Temfacil"/>
      <sheetName val="SV_A"/>
      <sheetName val="SV_B"/>
      <sheetName val="traffic control"/>
      <sheetName val="605(3)"/>
      <sheetName val="Calendar Days"/>
      <sheetName val="SUMMARY OF MATERIALS"/>
      <sheetName val="mob.&amp; dem"/>
      <sheetName val="Equipment"/>
      <sheetName val="Sheet14"/>
      <sheetName val="bollard 1"/>
      <sheetName val="traffic services"/>
      <sheetName val="102(2)"/>
      <sheetName val="104(1)"/>
      <sheetName val="105(1)"/>
      <sheetName val="310 A"/>
      <sheetName val="311(1)A"/>
      <sheetName val="spl-1"/>
      <sheetName val="101(3)B"/>
      <sheetName val="102(2)B"/>
      <sheetName val="103(1)B"/>
      <sheetName val="104(1)B"/>
      <sheetName val="105(B)"/>
      <sheetName val="200(B)"/>
      <sheetName val="311(B)"/>
      <sheetName val="605(3)B"/>
      <sheetName val="103(3)"/>
      <sheetName val="404"/>
      <sheetName val="405"/>
      <sheetName val="504(1)"/>
      <sheetName val="101(3) C"/>
      <sheetName val="102(2) C"/>
      <sheetName val="104(1)C"/>
      <sheetName val="105(1) C"/>
      <sheetName val="200 C"/>
      <sheetName val="311(1) C"/>
      <sheetName val="603(3) C"/>
      <sheetName val="605(3) C"/>
      <sheetName val="101(3) D"/>
      <sheetName val="102(2)D"/>
      <sheetName val="105(1)D"/>
      <sheetName val="200( D)"/>
      <sheetName val="201 D"/>
      <sheetName val="310 D"/>
      <sheetName val="311 D"/>
      <sheetName val="603(3) D"/>
      <sheetName val="605(3) D"/>
      <sheetName val="SPL-D"/>
      <sheetName val="101(3) E"/>
      <sheetName val="102(2)E"/>
      <sheetName val="104(1)E"/>
      <sheetName val="105 E"/>
      <sheetName val="200 E"/>
      <sheetName val="311 E"/>
      <sheetName val="605(3) E"/>
      <sheetName val="SPL E"/>
      <sheetName val="101(3) F"/>
      <sheetName val="102(2) F"/>
      <sheetName val="104(1)F"/>
      <sheetName val="105 F"/>
      <sheetName val="200 F"/>
      <sheetName val="311 F"/>
      <sheetName val="605(3) F"/>
      <sheetName val="SPL-F"/>
      <sheetName val="safety 2"/>
      <sheetName val="safety"/>
      <sheetName val="temfacil 6 x 8"/>
      <sheetName val="temfacil 6 x 6"/>
      <sheetName val="BILLBOARD2"/>
      <sheetName val="BB"/>
      <sheetName val="vehicle b"/>
      <sheetName val="veh comp"/>
      <sheetName val="VEHICLE A"/>
      <sheetName val="TMA DAV-COT"/>
      <sheetName val="SUMMARY 2"/>
      <sheetName val="railing sidewalk rebars qty"/>
      <sheetName val="BR FC APP"/>
      <sheetName val="bridge &amp; FCy"/>
      <sheetName val="STO NINO 1"/>
      <sheetName val="STO NINO 2"/>
      <sheetName val="NANAGA"/>
      <sheetName val="GABUYAN"/>
      <sheetName val="KIPALIKO"/>
      <sheetName val="Lasang"/>
      <sheetName val="FC STO NINO 1"/>
      <sheetName val="FC STO NINO 2"/>
      <sheetName val="FC NANAGA"/>
      <sheetName val="FC GABUYAN"/>
      <sheetName val="FC LASANG"/>
      <sheetName val="FC KIPALIKO"/>
      <sheetName val="BILLBOARD"/>
      <sheetName val="VEHICLE"/>
      <sheetName val="TMA KIPALIKO"/>
      <sheetName val="TMA LASANG"/>
      <sheetName val="Overflow Gabuyan"/>
      <sheetName val="SAFETY GABUYAN"/>
      <sheetName val="SAFETY KIPALIKO"/>
      <sheetName val="SAFETY LASANG"/>
      <sheetName val="SAFETY NANAGA"/>
      <sheetName val="SAFETY STO NINO 2"/>
      <sheetName val="SAFETY STO NINO 1"/>
      <sheetName val="comparison"/>
      <sheetName val="RD TMA"/>
      <sheetName val="new camp"/>
      <sheetName val="RDWAY"/>
      <sheetName val="RDWAYFRONPAGE"/>
      <sheetName val="RDWAY2ND PAGE"/>
      <sheetName val="computer"/>
      <sheetName val="EMBANKMENT BORROW"/>
      <sheetName val="Sheet7"/>
      <sheetName val="BRIDGE"/>
      <sheetName val="rev road"/>
      <sheetName val="detour"/>
      <sheetName val="FLOOD CONTROL"/>
      <sheetName val="detour half lane"/>
      <sheetName val="cofferdam"/>
      <sheetName val="Sheet3"/>
      <sheetName val="craneway"/>
      <sheetName val="CRANEWAY@ DETOUR"/>
      <sheetName val="disposal"/>
      <sheetName val="AQUA GEL"/>
      <sheetName val="tma detour"/>
      <sheetName val="ROAD"/>
      <sheetName val="TRAFFIC"/>
      <sheetName val="Sheet6"/>
      <sheetName val="Sheet5"/>
      <sheetName val="detour summary"/>
      <sheetName val="Street lighting"/>
      <sheetName val="summary"/>
      <sheetName val="sum to complte vs 293"/>
      <sheetName val="tma ups"/>
      <sheetName val="404 ups"/>
      <sheetName val="405 ups"/>
      <sheetName val="505(5)"/>
      <sheetName val="506"/>
      <sheetName val="102(2) ups"/>
      <sheetName val="tma cement"/>
      <sheetName val="507 ups"/>
      <sheetName val="509 ups"/>
      <sheetName val="boulders ups"/>
      <sheetName val="desilting"/>
      <sheetName val="tma desilting"/>
      <sheetName val="mob.&amp; dem."/>
      <sheetName val="CAMPHOUSE 6 X6"/>
      <sheetName val="BAC"/>
      <sheetName val="working days"/>
      <sheetName val="Page 1"/>
      <sheetName val="Page 2"/>
      <sheetName val="Page 2 (2)"/>
      <sheetName val="MATL"/>
      <sheetName val="LABOR"/>
      <sheetName val="ACEL"/>
      <sheetName val="Target"/>
      <sheetName val="TMA (102-2)"/>
      <sheetName val="102(3)rippable"/>
      <sheetName val="TMA (200)"/>
      <sheetName val="311(1)"/>
      <sheetName val="103(1)"/>
      <sheetName val="TMA (103)"/>
      <sheetName val="404(a)"/>
      <sheetName val="404(b)"/>
      <sheetName val="405(1)"/>
      <sheetName val="101(2)"/>
      <sheetName val="FC 103(1)"/>
      <sheetName val="FC TMA (103-1)"/>
      <sheetName val="FC 103(3)"/>
      <sheetName val="FC 103(6)"/>
      <sheetName val="500(1)a"/>
      <sheetName val="500(1)d"/>
      <sheetName val="504(3)"/>
      <sheetName val="FC 505(5)"/>
      <sheetName val="FC 506"/>
      <sheetName val="519(1)"/>
      <sheetName val="519(2)"/>
      <sheetName val="Mob&amp;Demob"/>
      <sheetName val="Warning Signs"/>
      <sheetName val="Informatory"/>
      <sheetName val="Guide"/>
      <sheetName val="TMA (sand)"/>
      <sheetName val="TMA (gravel)"/>
      <sheetName val="102(3)solid"/>
      <sheetName val="101(3)A"/>
      <sheetName val="101(3b)"/>
      <sheetName val="102(1)A"/>
      <sheetName val="103(1)A"/>
      <sheetName val="200 A"/>
      <sheetName val="505(5)A"/>
      <sheetName val="101(2)b"/>
      <sheetName val="101(4)"/>
      <sheetName val="103(6)"/>
      <sheetName val="500(1)"/>
      <sheetName val="500(1)b A"/>
      <sheetName val="502(1)"/>
      <sheetName val="502(3)"/>
      <sheetName val="504(2)"/>
      <sheetName val="519(2)A"/>
      <sheetName val="104(1) B"/>
      <sheetName val="105(1)B"/>
      <sheetName val="200 B"/>
      <sheetName val="311 B"/>
      <sheetName val="505(5)B"/>
      <sheetName val="612(1)B"/>
      <sheetName val="103(3) B"/>
      <sheetName val="103(6) B"/>
      <sheetName val="404B"/>
      <sheetName val="404(b)B"/>
      <sheetName val="405B"/>
      <sheetName val="500(1)B"/>
      <sheetName val="502(3)B"/>
      <sheetName val="506 B"/>
      <sheetName val="FC 505(5) b"/>
      <sheetName val="519(2)B"/>
      <sheetName val="LINE DITCH"/>
      <sheetName val="105(1)C"/>
      <sheetName val="612(1)C"/>
      <sheetName val="bollard"/>
      <sheetName val="TMA MAA-BANGKAL"/>
      <sheetName val="105(2)"/>
      <sheetName val="600(3)"/>
      <sheetName val="601"/>
      <sheetName val="605(2)"/>
      <sheetName val="101(2c)"/>
      <sheetName val="500(1)b1"/>
      <sheetName val="502(2)"/>
      <sheetName val="101(2)a"/>
      <sheetName val="201"/>
      <sheetName val="300"/>
      <sheetName val="301"/>
      <sheetName val="612"/>
      <sheetName val="100(4)"/>
      <sheetName val="103(1)R"/>
      <sheetName val="311(conventional)"/>
      <sheetName val="101(1)"/>
      <sheetName val="103(1)bridge"/>
      <sheetName val="104 bridge"/>
      <sheetName val="401"/>
      <sheetName val="405(2)"/>
      <sheetName val="400(4)"/>
      <sheetName val="400(5)"/>
      <sheetName val="400(14)"/>
      <sheetName val="400(16a"/>
      <sheetName val="400(15)"/>
      <sheetName val="400(16)"/>
      <sheetName val="ROADWAY"/>
      <sheetName val="100(1)"/>
      <sheetName val="101(3)c"/>
      <sheetName val="103(1) FC"/>
      <sheetName val="103(3)FC"/>
      <sheetName val="103(6) FC"/>
      <sheetName val="105(2)a"/>
      <sheetName val="105(2)b"/>
      <sheetName val="311(2)"/>
      <sheetName val="505"/>
      <sheetName val="603(3A)1"/>
      <sheetName val="cofferdam final"/>
      <sheetName val="craneway final"/>
      <sheetName val="103(2)"/>
      <sheetName val="406"/>
      <sheetName val="412"/>
      <sheetName val="103"/>
      <sheetName val="RW 103"/>
      <sheetName val="RW 404a"/>
      <sheetName val="RW 404b"/>
      <sheetName val="RW 405(1)"/>
      <sheetName val="RW 405 (2)"/>
      <sheetName val="103(1)FC"/>
      <sheetName val="505FC"/>
      <sheetName val="FC 507"/>
      <sheetName val="101(3)R"/>
      <sheetName val="102(1)R"/>
      <sheetName val="200(R)"/>
      <sheetName val="201(R)"/>
      <sheetName val="311(R)"/>
      <sheetName val="SPL1 R"/>
      <sheetName val="302 AO"/>
      <sheetName val="310 AO"/>
      <sheetName val="101(3) ATL"/>
      <sheetName val="102(1) ATL"/>
      <sheetName val="102(2)ATL"/>
      <sheetName val="104(1) ATL"/>
      <sheetName val="105 ATL"/>
      <sheetName val="200 ATL"/>
      <sheetName val="201 ATL"/>
      <sheetName val="311 ATL"/>
      <sheetName val="612(1) ATL"/>
      <sheetName val="605(1) ATL"/>
      <sheetName val="100(4) C"/>
      <sheetName val="102(20 C"/>
      <sheetName val="103(1)C"/>
      <sheetName val="200C"/>
      <sheetName val="201C"/>
      <sheetName val="505C"/>
      <sheetName val="311(1)C"/>
      <sheetName val="507C"/>
      <sheetName val="603(3)aC"/>
      <sheetName val="605(1)C"/>
      <sheetName val="611(1)"/>
      <sheetName val="BILLBOARD(C)"/>
      <sheetName val="CSH(C)"/>
      <sheetName val="Summary (Quantities)"/>
      <sheetName val="A"/>
      <sheetName val="B"/>
      <sheetName val="C"/>
      <sheetName val="D"/>
      <sheetName val="E"/>
      <sheetName val="F"/>
      <sheetName val="G"/>
      <sheetName val="H"/>
      <sheetName val="Mobil"/>
      <sheetName val="S"/>
      <sheetName val="T"/>
      <sheetName val="SV (Single Cabin)"/>
      <sheetName val="House"/>
      <sheetName val="Equip"/>
      <sheetName val="Specs"/>
      <sheetName val="CD"/>
      <sheetName val="Summ"/>
      <sheetName val="Worksite Signs"/>
      <sheetName val="Quarry"/>
      <sheetName val="roads"/>
      <sheetName val="sv A"/>
      <sheetName val="SV B"/>
      <sheetName val="SV (Pick-Up)"/>
      <sheetName val="TM"/>
      <sheetName val="Rock II"/>
      <sheetName val="Rock I"/>
      <sheetName val="RROW"/>
      <sheetName val="S. Vehicle (Pick-Up)"/>
      <sheetName val="S. Vehicle (Single Cabin)"/>
      <sheetName val="Reg.S."/>
      <sheetName val="NEW SOURCE"/>
      <sheetName val="410"/>
      <sheetName val="411"/>
      <sheetName val="100"/>
      <sheetName val="104(1)r"/>
      <sheetName val="603(3)a"/>
      <sheetName val="101"/>
      <sheetName val="507"/>
      <sheetName val="509"/>
      <sheetName val="temfacil 6x 6"/>
      <sheetName val="mob"/>
      <sheetName val="CAMP HOUSE"/>
      <sheetName val="Overflow"/>
      <sheetName val="FC"/>
      <sheetName val="bilboard"/>
      <sheetName val="Front Page1"/>
      <sheetName val="Front Page2"/>
      <sheetName val="Detailed Estimate"/>
      <sheetName val="Q_E_D_"/>
      <sheetName val="ABC_(3)"/>
      <sheetName val="3_)_DUPA"/>
      <sheetName val="2_)_BRKDWN_OF_EXPNDTRE"/>
      <sheetName val="1_)_COVER_PAGE"/>
      <sheetName val="list_A"/>
      <sheetName val="list_B"/>
      <sheetName val="FRONT_PAGE"/>
      <sheetName val="2ND_PAGE"/>
      <sheetName val="spl_1"/>
      <sheetName val="201_A"/>
      <sheetName val="311_A"/>
      <sheetName val="tma_rd"/>
      <sheetName val="tma_FC"/>
      <sheetName val="TMA_1"/>
      <sheetName val="bare_month_equip"/>
      <sheetName val="BAR_CHART"/>
      <sheetName val="310_tma"/>
      <sheetName val="tma_2"/>
      <sheetName val="traffic_control"/>
      <sheetName val="Calendar_Days"/>
      <sheetName val="SUMMARY_OF_MATERIALS"/>
      <sheetName val="mob_&amp;_dem"/>
      <sheetName val="bollard_1"/>
      <sheetName val="traffic_services"/>
      <sheetName val="310_A"/>
      <sheetName val="101(3)_C"/>
      <sheetName val="102(2)_C"/>
      <sheetName val="105(1)_C"/>
      <sheetName val="200_C"/>
      <sheetName val="311(1)_C"/>
      <sheetName val="603(3)_C"/>
      <sheetName val="605(3)_C"/>
      <sheetName val="101(3)_D"/>
      <sheetName val="200(_D)"/>
      <sheetName val="201_D"/>
      <sheetName val="310_D"/>
      <sheetName val="311_D"/>
      <sheetName val="603(3)_D"/>
      <sheetName val="605(3)_D"/>
      <sheetName val="101(3)_E"/>
      <sheetName val="105_E"/>
      <sheetName val="200_E"/>
      <sheetName val="311_E"/>
      <sheetName val="605(3)_E"/>
      <sheetName val="SPL_E"/>
      <sheetName val="101(3)_F"/>
      <sheetName val="102(2)_F"/>
      <sheetName val="105_F"/>
      <sheetName val="200_F"/>
      <sheetName val="311_F"/>
      <sheetName val="605(3)_F"/>
      <sheetName val="safety_2"/>
      <sheetName val="temfacil_6_x_8"/>
      <sheetName val="temfacil_6_x_6"/>
      <sheetName val="vehicle_b"/>
      <sheetName val="veh_comp"/>
      <sheetName val="VEHICLE_A"/>
      <sheetName val="TMA_DAV-COT"/>
      <sheetName val="SUMMARY_2"/>
      <sheetName val="railing_sidewalk_rebars_qty"/>
      <sheetName val="BR_FC_APP"/>
      <sheetName val="bridge_&amp;_FCy"/>
      <sheetName val="STO_NINO_1"/>
      <sheetName val="STO_NINO_2"/>
      <sheetName val="FC_STO_NINO_1"/>
      <sheetName val="FC_STO_NINO_2"/>
      <sheetName val="FC_NANAGA"/>
      <sheetName val="FC_GABUYAN"/>
      <sheetName val="FC_LASANG"/>
      <sheetName val="FC_KIPALIKO"/>
      <sheetName val="TMA_KIPALIKO"/>
      <sheetName val="TMA_LASANG"/>
      <sheetName val="Overflow_Gabuyan"/>
      <sheetName val="SAFETY_GABUYAN"/>
      <sheetName val="SAFETY_KIPALIKO"/>
      <sheetName val="SAFETY_LASANG"/>
      <sheetName val="SAFETY_NANAGA"/>
      <sheetName val="SAFETY_STO_NINO_2"/>
      <sheetName val="SAFETY_STO_NINO_1"/>
      <sheetName val="RD_TMA"/>
      <sheetName val="new_camp"/>
      <sheetName val="RDWAY2ND_PAGE"/>
      <sheetName val="EMBANKMENT_BORROW"/>
      <sheetName val="rev_road"/>
      <sheetName val="FLOOD_CONTROL"/>
      <sheetName val="detour_half_lane"/>
      <sheetName val="CRANEWAY@_DETOUR"/>
      <sheetName val="AQUA_GEL"/>
      <sheetName val="tma_detour"/>
      <sheetName val="detour_summary"/>
      <sheetName val="Street_lighting"/>
      <sheetName val="sum_to_complte_vs_293"/>
      <sheetName val="tma_ups"/>
      <sheetName val="404_ups"/>
      <sheetName val="405_ups"/>
      <sheetName val="102(2)_ups"/>
      <sheetName val="tma_cement"/>
      <sheetName val="507_ups"/>
      <sheetName val="509_ups"/>
      <sheetName val="boulders_ups"/>
      <sheetName val="tma_desilting"/>
      <sheetName val="mob_&amp;_dem_"/>
      <sheetName val="CAMPHOUSE_6_X6"/>
      <sheetName val="working_days"/>
      <sheetName val="Page_1"/>
      <sheetName val="Page_2"/>
      <sheetName val="Page_2_(2)"/>
      <sheetName val="TMA_(102-2)"/>
      <sheetName val="TMA_(200)"/>
      <sheetName val="TMA_(103)"/>
      <sheetName val="FC_103(1)"/>
      <sheetName val="FC_TMA_(103-1)"/>
      <sheetName val="FC_103(3)"/>
      <sheetName val="FC_103(6)"/>
      <sheetName val="FC_505(5)"/>
      <sheetName val="FC_506"/>
      <sheetName val="Warning_Signs"/>
      <sheetName val="TMA_(sand)"/>
      <sheetName val="TMA_(gravel)"/>
      <sheetName val="200_A"/>
      <sheetName val="500(1)b_A"/>
      <sheetName val="104(1)_B"/>
      <sheetName val="200_B"/>
      <sheetName val="311_B"/>
      <sheetName val="103(3)_B"/>
      <sheetName val="103(6)_B"/>
      <sheetName val="506_B"/>
      <sheetName val="FC_505(5)_b"/>
      <sheetName val="LINE_DITCH"/>
      <sheetName val="TMA_MAA-BANGKAL"/>
      <sheetName val="104_bridge"/>
      <sheetName val="103(1)_FC"/>
      <sheetName val="103(6)_FC"/>
      <sheetName val="cofferdam_final"/>
      <sheetName val="craneway_final"/>
      <sheetName val="RW_103"/>
      <sheetName val="RW_404a"/>
      <sheetName val="RW_404b"/>
      <sheetName val="RW_405(1)"/>
      <sheetName val="RW_405_(2)"/>
      <sheetName val="FC_507"/>
      <sheetName val="SPL1_R"/>
      <sheetName val="302_AO"/>
      <sheetName val="310_AO"/>
      <sheetName val="101(3)_ATL"/>
      <sheetName val="102(1)_ATL"/>
      <sheetName val="104(1)_ATL"/>
      <sheetName val="105_ATL"/>
      <sheetName val="200_ATL"/>
      <sheetName val="201_ATL"/>
      <sheetName val="311_ATL"/>
      <sheetName val="612(1)_ATL"/>
      <sheetName val="605(1)_ATL"/>
      <sheetName val="100(4)_C"/>
      <sheetName val="102(20_C"/>
      <sheetName val="Summary_(Quantities)"/>
      <sheetName val="SV_(Single_Cabin)"/>
      <sheetName val="Worksite_Signs"/>
      <sheetName val="SV_B1"/>
      <sheetName val="SV_(Pick-Up)"/>
      <sheetName val="Rock_II"/>
      <sheetName val="Rock_I"/>
      <sheetName val="S__Vehicle_(Pick-Up)"/>
      <sheetName val="S__Vehicle_(Single_Cabin)"/>
      <sheetName val="Reg_S_"/>
      <sheetName val="NEW_SOURCE"/>
      <sheetName val="temfacil_6x_6"/>
      <sheetName val="CAMP_HOUSE"/>
      <sheetName val="1st"/>
      <sheetName val="2nd"/>
      <sheetName val="3rd"/>
      <sheetName val="Materials"/>
      <sheetName val="Bar Computatio (kgs.)"/>
      <sheetName val="QS"/>
      <sheetName val="First-Page"/>
      <sheetName val="QSnew"/>
      <sheetName val="101(4)a"/>
      <sheetName val="102(3)a"/>
      <sheetName val="104(1)a"/>
      <sheetName val="104(1b)"/>
      <sheetName val="SPLB.4"/>
      <sheetName val="SPL1,2&amp;3"/>
      <sheetName val="SPL IV"/>
      <sheetName val="Boulder"/>
      <sheetName val="Sand &amp; Gravel"/>
      <sheetName val="WorkProgW-brdg"/>
      <sheetName val="cstng new"/>
      <sheetName val="DPWH"/>
      <sheetName val="cstng"/>
      <sheetName val="cstng (2)"/>
      <sheetName val="102(3)"/>
      <sheetName val="505(1)"/>
      <sheetName val="311(1)b"/>
      <sheetName val="101(4)b"/>
      <sheetName val="Cover Page"/>
      <sheetName val="2nd Page 2 "/>
      <sheetName val="ames"/>
      <sheetName val="bidsked"/>
      <sheetName val="ABC (2)"/>
      <sheetName val="Detailed"/>
      <sheetName val="101(4a)"/>
      <sheetName val="104"/>
      <sheetName val="SPLI"/>
      <sheetName val="SPL123"/>
      <sheetName val="SPL4"/>
      <sheetName val="code reference 2"/>
      <sheetName val="code reference1"/>
      <sheetName val="BACK-UP"/>
      <sheetName val="DRAINAGE SCHEDULE"/>
      <sheetName val="SUMMARY OF QUANTITIES"/>
      <sheetName val="cover"/>
      <sheetName val="cover (2)"/>
      <sheetName val="Q_E_D_1"/>
      <sheetName val="ABC_(3)1"/>
      <sheetName val="3_)_DUPA1"/>
      <sheetName val="2_)_BRKDWN_OF_EXPNDTRE1"/>
      <sheetName val="1_)_COVER_PAGE1"/>
      <sheetName val="list_A1"/>
      <sheetName val="list_B1"/>
      <sheetName val="FRONT_PAGE1"/>
      <sheetName val="2ND_PAGE1"/>
      <sheetName val="spl_11"/>
      <sheetName val="201_A1"/>
      <sheetName val="311_A1"/>
      <sheetName val="tma_rd1"/>
      <sheetName val="tma_FC1"/>
      <sheetName val="TMA_11"/>
      <sheetName val="bare_month_equip1"/>
      <sheetName val="BAR_CHART1"/>
      <sheetName val="310_tma1"/>
      <sheetName val="tma_21"/>
      <sheetName val="traffic_control1"/>
      <sheetName val="Calendar_Days1"/>
      <sheetName val="SUMMARY_OF_MATERIALS1"/>
      <sheetName val="mob_&amp;_dem1"/>
      <sheetName val="bollard_11"/>
      <sheetName val="traffic_services1"/>
      <sheetName val="310_A1"/>
      <sheetName val="101(3)_C1"/>
      <sheetName val="102(2)_C1"/>
      <sheetName val="105(1)_C1"/>
      <sheetName val="200_C1"/>
      <sheetName val="311(1)_C1"/>
      <sheetName val="603(3)_C1"/>
      <sheetName val="605(3)_C1"/>
      <sheetName val="101(3)_D1"/>
      <sheetName val="200(_D)1"/>
      <sheetName val="201_D1"/>
      <sheetName val="310_D1"/>
      <sheetName val="311_D1"/>
      <sheetName val="603(3)_D1"/>
      <sheetName val="605(3)_D1"/>
      <sheetName val="101(3)_E1"/>
      <sheetName val="105_E1"/>
      <sheetName val="200_E1"/>
      <sheetName val="311_E1"/>
      <sheetName val="605(3)_E1"/>
      <sheetName val="SPL_E1"/>
      <sheetName val="101(3)_F1"/>
      <sheetName val="102(2)_F1"/>
      <sheetName val="105_F1"/>
      <sheetName val="200_F1"/>
      <sheetName val="311_F1"/>
      <sheetName val="605(3)_F1"/>
      <sheetName val="safety_21"/>
      <sheetName val="temfacil_6_x_81"/>
      <sheetName val="temfacil_6_x_61"/>
      <sheetName val="vehicle_b1"/>
      <sheetName val="veh_comp1"/>
      <sheetName val="VEHICLE_A1"/>
      <sheetName val="TMA_DAV-COT1"/>
      <sheetName val="SUMMARY_21"/>
      <sheetName val="railing_sidewalk_rebars_qty1"/>
      <sheetName val="BR_FC_APP1"/>
      <sheetName val="bridge_&amp;_FCy1"/>
      <sheetName val="STO_NINO_11"/>
      <sheetName val="STO_NINO_21"/>
      <sheetName val="FC_STO_NINO_11"/>
      <sheetName val="FC_STO_NINO_21"/>
      <sheetName val="FC_NANAGA1"/>
      <sheetName val="FC_GABUYAN1"/>
      <sheetName val="FC_LASANG1"/>
      <sheetName val="FC_KIPALIKO1"/>
      <sheetName val="TMA_KIPALIKO1"/>
      <sheetName val="TMA_LASANG1"/>
      <sheetName val="Overflow_Gabuyan1"/>
      <sheetName val="SAFETY_GABUYAN1"/>
      <sheetName val="SAFETY_KIPALIKO1"/>
      <sheetName val="SAFETY_LASANG1"/>
      <sheetName val="SAFETY_NANAGA1"/>
      <sheetName val="SAFETY_STO_NINO_21"/>
      <sheetName val="SAFETY_STO_NINO_11"/>
      <sheetName val="RD_TMA1"/>
      <sheetName val="new_camp1"/>
      <sheetName val="RDWAY2ND_PAGE1"/>
      <sheetName val="EMBANKMENT_BORROW1"/>
      <sheetName val="rev_road1"/>
      <sheetName val="FLOOD_CONTROL1"/>
      <sheetName val="detour_half_lane1"/>
      <sheetName val="CRANEWAY@_DETOUR1"/>
      <sheetName val="AQUA_GEL1"/>
      <sheetName val="tma_detour1"/>
      <sheetName val="detour_summary1"/>
      <sheetName val="Street_lighting1"/>
      <sheetName val="sum_to_complte_vs_2931"/>
      <sheetName val="tma_ups1"/>
      <sheetName val="404_ups1"/>
      <sheetName val="405_ups1"/>
      <sheetName val="102(2)_ups1"/>
      <sheetName val="tma_cement1"/>
      <sheetName val="507_ups1"/>
      <sheetName val="509_ups1"/>
      <sheetName val="boulders_ups1"/>
      <sheetName val="tma_desilting1"/>
      <sheetName val="mob_&amp;_dem_1"/>
      <sheetName val="CAMPHOUSE_6_X61"/>
      <sheetName val="working_days1"/>
      <sheetName val="Page_11"/>
      <sheetName val="Page_21"/>
      <sheetName val="Page_2_(2)1"/>
      <sheetName val="TMA_(102-2)1"/>
      <sheetName val="TMA_(200)1"/>
      <sheetName val="TMA_(103)1"/>
      <sheetName val="FC_103(1)1"/>
      <sheetName val="FC_TMA_(103-1)1"/>
      <sheetName val="FC_103(3)1"/>
      <sheetName val="FC_103(6)1"/>
      <sheetName val="FC_505(5)1"/>
      <sheetName val="FC_5061"/>
      <sheetName val="Warning_Signs1"/>
      <sheetName val="TMA_(sand)1"/>
      <sheetName val="TMA_(gravel)1"/>
      <sheetName val="200_A1"/>
      <sheetName val="500(1)b_A1"/>
      <sheetName val="104(1)_B1"/>
      <sheetName val="200_B1"/>
      <sheetName val="311_B1"/>
      <sheetName val="103(3)_B1"/>
      <sheetName val="103(6)_B1"/>
      <sheetName val="506_B1"/>
      <sheetName val="FC_505(5)_b1"/>
      <sheetName val="LINE_DITCH1"/>
      <sheetName val="TMA_MAA-BANGKAL1"/>
      <sheetName val="104_bridge1"/>
      <sheetName val="103(1)_FC1"/>
      <sheetName val="103(6)_FC1"/>
      <sheetName val="cofferdam_final1"/>
      <sheetName val="craneway_final1"/>
      <sheetName val="RW_1031"/>
      <sheetName val="RW_404a1"/>
      <sheetName val="RW_404b1"/>
      <sheetName val="RW_405(1)1"/>
      <sheetName val="RW_405_(2)1"/>
      <sheetName val="FC_5071"/>
      <sheetName val="SPL1_R1"/>
      <sheetName val="302_AO1"/>
      <sheetName val="310_AO1"/>
      <sheetName val="101(3)_ATL1"/>
      <sheetName val="102(1)_ATL1"/>
      <sheetName val="104(1)_ATL1"/>
      <sheetName val="105_ATL1"/>
      <sheetName val="200_ATL1"/>
      <sheetName val="201_ATL1"/>
      <sheetName val="311_ATL1"/>
      <sheetName val="612(1)_ATL1"/>
      <sheetName val="605(1)_ATL1"/>
      <sheetName val="100(4)_C1"/>
      <sheetName val="102(20_C1"/>
      <sheetName val="Summary_(Quantities)1"/>
      <sheetName val="SV_(Single_Cabin)1"/>
      <sheetName val="Worksite_Signs1"/>
      <sheetName val="SV_B2"/>
      <sheetName val="SV_(Pick-Up)1"/>
      <sheetName val="Rock_II1"/>
      <sheetName val="Rock_I1"/>
      <sheetName val="S__Vehicle_(Pick-Up)1"/>
      <sheetName val="S__Vehicle_(Single_Cabin)1"/>
      <sheetName val="Reg_S_1"/>
      <sheetName val="NEW_SOURCE1"/>
      <sheetName val="temfacil_6x_61"/>
      <sheetName val="CAMP_HOUSE1"/>
      <sheetName val="Front_Page2"/>
      <sheetName val="Detailed_Estimate"/>
      <sheetName val="Q_E_D_2"/>
      <sheetName val="ABC_(3)2"/>
      <sheetName val="3_)_DUPA2"/>
      <sheetName val="2_)_BRKDWN_OF_EXPNDTRE2"/>
      <sheetName val="1_)_COVER_PAGE2"/>
      <sheetName val="list_A2"/>
      <sheetName val="list_B2"/>
      <sheetName val="2ND_PAGE2"/>
      <sheetName val="spl_12"/>
      <sheetName val="201_A2"/>
      <sheetName val="311_A2"/>
      <sheetName val="tma_rd2"/>
      <sheetName val="tma_FC2"/>
      <sheetName val="TMA_12"/>
      <sheetName val="bare_month_equip2"/>
      <sheetName val="BAR_CHART2"/>
      <sheetName val="310_tma2"/>
      <sheetName val="tma_22"/>
      <sheetName val="traffic_control2"/>
      <sheetName val="Calendar_Days2"/>
      <sheetName val="SUMMARY_OF_MATERIALS2"/>
      <sheetName val="mob_&amp;_dem2"/>
      <sheetName val="bollard_12"/>
      <sheetName val="traffic_services2"/>
      <sheetName val="310_A2"/>
      <sheetName val="101(3)_C2"/>
      <sheetName val="102(2)_C2"/>
      <sheetName val="105(1)_C2"/>
      <sheetName val="200_C2"/>
      <sheetName val="311(1)_C2"/>
      <sheetName val="603(3)_C2"/>
      <sheetName val="605(3)_C2"/>
      <sheetName val="101(3)_D2"/>
      <sheetName val="200(_D)2"/>
      <sheetName val="201_D2"/>
      <sheetName val="310_D2"/>
      <sheetName val="311_D2"/>
      <sheetName val="603(3)_D2"/>
      <sheetName val="605(3)_D2"/>
      <sheetName val="101(3)_E2"/>
      <sheetName val="105_E2"/>
      <sheetName val="200_E2"/>
      <sheetName val="311_E2"/>
      <sheetName val="605(3)_E2"/>
      <sheetName val="SPL_E2"/>
      <sheetName val="101(3)_F2"/>
      <sheetName val="102(2)_F2"/>
      <sheetName val="105_F2"/>
      <sheetName val="200_F2"/>
      <sheetName val="311_F2"/>
      <sheetName val="605(3)_F2"/>
      <sheetName val="safety_22"/>
      <sheetName val="temfacil_6_x_82"/>
      <sheetName val="temfacil_6_x_62"/>
      <sheetName val="vehicle_b2"/>
      <sheetName val="veh_comp2"/>
      <sheetName val="VEHICLE_A2"/>
      <sheetName val="TMA_DAV-COT2"/>
      <sheetName val="SUMMARY_22"/>
      <sheetName val="railing_sidewalk_rebars_qty2"/>
      <sheetName val="BR_FC_APP2"/>
      <sheetName val="bridge_&amp;_FCy2"/>
      <sheetName val="STO_NINO_12"/>
      <sheetName val="STO_NINO_22"/>
      <sheetName val="FC_STO_NINO_12"/>
      <sheetName val="FC_STO_NINO_22"/>
      <sheetName val="FC_NANAGA2"/>
      <sheetName val="FC_GABUYAN2"/>
      <sheetName val="FC_LASANG2"/>
      <sheetName val="FC_KIPALIKO2"/>
      <sheetName val="TMA_KIPALIKO2"/>
      <sheetName val="TMA_LASANG2"/>
      <sheetName val="Overflow_Gabuyan2"/>
      <sheetName val="SAFETY_GABUYAN2"/>
      <sheetName val="SAFETY_KIPALIKO2"/>
      <sheetName val="SAFETY_LASANG2"/>
      <sheetName val="SAFETY_NANAGA2"/>
      <sheetName val="SAFETY_STO_NINO_22"/>
      <sheetName val="SAFETY_STO_NINO_12"/>
      <sheetName val="RD_TMA2"/>
      <sheetName val="new_camp2"/>
      <sheetName val="RDWAY2ND_PAGE2"/>
      <sheetName val="EMBANKMENT_BORROW2"/>
      <sheetName val="rev_road2"/>
      <sheetName val="FLOOD_CONTROL2"/>
      <sheetName val="detour_half_lane2"/>
      <sheetName val="CRANEWAY@_DETOUR2"/>
      <sheetName val="AQUA_GEL2"/>
      <sheetName val="tma_detour2"/>
      <sheetName val="detour_summary2"/>
      <sheetName val="Street_lighting2"/>
      <sheetName val="sum_to_complte_vs_2932"/>
      <sheetName val="tma_ups2"/>
      <sheetName val="404_ups2"/>
      <sheetName val="405_ups2"/>
      <sheetName val="102(2)_ups2"/>
      <sheetName val="tma_cement2"/>
      <sheetName val="507_ups2"/>
      <sheetName val="509_ups2"/>
      <sheetName val="boulders_ups2"/>
      <sheetName val="tma_desilting2"/>
      <sheetName val="mob_&amp;_dem_2"/>
      <sheetName val="CAMPHOUSE_6_X62"/>
      <sheetName val="working_days2"/>
      <sheetName val="Page_12"/>
      <sheetName val="Page_22"/>
      <sheetName val="Page_2_(2)2"/>
      <sheetName val="TMA_(102-2)2"/>
      <sheetName val="TMA_(200)2"/>
      <sheetName val="TMA_(103)2"/>
      <sheetName val="FC_103(1)2"/>
      <sheetName val="FC_TMA_(103-1)2"/>
      <sheetName val="FC_103(3)2"/>
      <sheetName val="FC_103(6)2"/>
      <sheetName val="FC_505(5)2"/>
      <sheetName val="FC_5062"/>
      <sheetName val="Warning_Signs2"/>
      <sheetName val="TMA_(sand)2"/>
      <sheetName val="TMA_(gravel)2"/>
      <sheetName val="200_A2"/>
      <sheetName val="500(1)b_A2"/>
      <sheetName val="104(1)_B2"/>
      <sheetName val="200_B2"/>
      <sheetName val="311_B2"/>
      <sheetName val="103(3)_B2"/>
      <sheetName val="103(6)_B2"/>
      <sheetName val="506_B2"/>
      <sheetName val="FC_505(5)_b2"/>
      <sheetName val="LINE_DITCH2"/>
      <sheetName val="TMA_MAA-BANGKAL2"/>
      <sheetName val="104_bridge2"/>
      <sheetName val="103(1)_FC2"/>
      <sheetName val="103(6)_FC2"/>
      <sheetName val="cofferdam_final2"/>
      <sheetName val="craneway_final2"/>
      <sheetName val="RW_1032"/>
      <sheetName val="RW_404a2"/>
      <sheetName val="RW_404b2"/>
      <sheetName val="RW_405(1)2"/>
      <sheetName val="RW_405_(2)2"/>
      <sheetName val="FC_5072"/>
      <sheetName val="SPL1_R2"/>
      <sheetName val="302_AO2"/>
      <sheetName val="310_AO2"/>
      <sheetName val="101(3)_ATL2"/>
      <sheetName val="102(1)_ATL2"/>
      <sheetName val="104(1)_ATL2"/>
      <sheetName val="105_ATL2"/>
      <sheetName val="200_ATL2"/>
      <sheetName val="201_ATL2"/>
      <sheetName val="311_ATL2"/>
      <sheetName val="612(1)_ATL2"/>
      <sheetName val="605(1)_ATL2"/>
      <sheetName val="100(4)_C2"/>
      <sheetName val="102(20_C2"/>
      <sheetName val="Summary_(Quantities)2"/>
      <sheetName val="SV_(Single_Cabin)2"/>
      <sheetName val="Worksite_Signs2"/>
      <sheetName val="SV_B3"/>
      <sheetName val="SV_(Pick-Up)2"/>
      <sheetName val="Rock_II2"/>
      <sheetName val="Rock_I2"/>
      <sheetName val="S__Vehicle_(Pick-Up)2"/>
      <sheetName val="S__Vehicle_(Single_Cabin)2"/>
      <sheetName val="Reg_S_2"/>
      <sheetName val="NEW_SOURCE2"/>
      <sheetName val="temfacil_6x_62"/>
      <sheetName val="CAMP_HOUSE2"/>
      <sheetName val="Front_Page21"/>
      <sheetName val="Detailed_Estimate1"/>
      <sheetName val="RI - DAP"/>
      <sheetName val="RI - DAP (2)"/>
      <sheetName val="09.30.13 final"/>
      <sheetName val="12.31.13 DAP ONLY"/>
      <sheetName val="12.31.13 DAP ONLY (2)"/>
      <sheetName val="12.31.13 for COA ALL ACCTS"/>
      <sheetName val="PRDP"/>
      <sheetName val="MRDP"/>
      <sheetName val="MCP"/>
      <sheetName val="edited 12.31.13"/>
      <sheetName val="pay 471M 12.31.13"/>
      <sheetName val="pay 130M 12.31.13"/>
      <sheetName val="12.31.13"/>
      <sheetName val="all 09.30.13"/>
      <sheetName val="CFA"/>
      <sheetName val="DAP 09.30.13 with liquidation"/>
      <sheetName val="DAP 09.30.13 with liquidati (2"/>
      <sheetName val="edited 12.31.13 (2)"/>
      <sheetName val="alubijid"/>
      <sheetName val="v. sagun"/>
      <sheetName val="06.30.14 all accts"/>
      <sheetName val="MRDP (2)"/>
      <sheetName val="pay PRDP 320M"/>
      <sheetName val="pay PRDP 18.7M"/>
      <sheetName val="pay PRDP 196M"/>
      <sheetName val="MCP 2015"/>
      <sheetName val="earmarked PRs"/>
      <sheetName val="sum of obligations"/>
      <sheetName val="CY 2015 SPs"/>
      <sheetName val="sum of obligations (2)"/>
      <sheetName val="sum of obligations (3)"/>
      <sheetName val="OPB DERIVATION"/>
      <sheetName val="MENU"/>
      <sheetName val="PHASE 2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MAY15"/>
      <sheetName val="HSBC"/>
      <sheetName val="hsbc boq"/>
      <sheetName val="typical boq"/>
      <sheetName val="XXXX"/>
      <sheetName val="Ph 5B"/>
      <sheetName val="rd 9 only "/>
      <sheetName val="other bal.ofworks"/>
      <sheetName val="other rds"/>
      <sheetName val="PH 5A"/>
      <sheetName val="PH 5"/>
      <sheetName val="CFA BRKDWN"/>
      <sheetName val="NSC_CFA"/>
      <sheetName val="MDC_CFA"/>
      <sheetName val="EAST TOWER"/>
      <sheetName val="LOT G ANALYSIS"/>
      <sheetName val="BOQ"/>
      <sheetName val="FS"/>
      <sheetName val="BOQ(2)"/>
      <sheetName val="APRIL20"/>
      <sheetName val="APRIL24"/>
      <sheetName val="APRIL24 (2)"/>
      <sheetName val="with breakdown"/>
      <sheetName val="2.678M"/>
      <sheetName val="2.637M_due to adj FLS profit"/>
      <sheetName val="MAY08"/>
      <sheetName val="2.223M_due to adj profit"/>
      <sheetName val="2.165M_due to dist cooling EE"/>
      <sheetName val="May 11 presentation to JVM"/>
      <sheetName val="district cooling"/>
      <sheetName val="reference"/>
      <sheetName val="MEPS"/>
      <sheetName val="UC"/>
      <sheetName val="BOQ (hsbc) adjusted ht .15m"/>
      <sheetName val="BOQ-TYPICAL (AGREED)"/>
      <sheetName val="Land Dev't. Ph-1"/>
      <sheetName val="4-Lane bridge"/>
      <sheetName val="Spine Road"/>
      <sheetName val="Res.Lots"/>
      <sheetName val="Hac.Lots"/>
      <sheetName val="Farmlots"/>
      <sheetName val="4-Lane bridge sched rev"/>
      <sheetName val="Div Summary Updated Cost 06"/>
      <sheetName val="UC06-Caroline-TEX81"/>
      <sheetName val="UC06-Lorraine-TEX97"/>
      <sheetName val="TEX33"/>
      <sheetName val="TEX50"/>
      <sheetName val="Mat'l Prices Mar 06 frm SQM"/>
      <sheetName val="Estimated Labor Cost"/>
      <sheetName val="Cost Derivation for Manhours"/>
      <sheetName val="TEX40"/>
      <sheetName val="TEX49"/>
      <sheetName val="TEX66"/>
      <sheetName val="ActualCOst"/>
      <sheetName val="Permits &amp; Insurances"/>
      <sheetName val="Updtd Sum of Act Cost"/>
      <sheetName val="Savings"/>
      <sheetName val="Hse Unit Const. Cost"/>
      <sheetName val="Brkdwn of Prmts &amp; Fees"/>
      <sheetName val="Approx. Savings"/>
      <sheetName val="Permits _ Insurances"/>
      <sheetName val="data"/>
      <sheetName val="100mm CHB"/>
      <sheetName val="150chb LB"/>
      <sheetName val="150mm CHB"/>
      <sheetName val="Plastering"/>
      <sheetName val="Concrete Topping"/>
      <sheetName val="Tileworks"/>
      <sheetName val="Sum of Spine "/>
      <sheetName val="bi-monthly rep Spine"/>
      <sheetName val="Sum of Villa"/>
      <sheetName val="bi-mnthly rep Villa"/>
      <sheetName val="Sum of Hacienda"/>
      <sheetName val="bi-mnthly rep Hacienda"/>
      <sheetName val="Sum of Farm"/>
      <sheetName val="bi-mnthly rep Farm"/>
      <sheetName val="Sum of Bridge"/>
      <sheetName val="bi-mnthly rep Bridge"/>
      <sheetName val="#REF"/>
      <sheetName val="Summary of cost(final)"/>
      <sheetName val="swimming pool"/>
      <sheetName val="central park"/>
      <sheetName val="GFA"/>
      <sheetName val="Summary of cost"/>
      <sheetName val="MU "/>
      <sheetName val="BOQ "/>
      <sheetName val="BOQ  (2)"/>
      <sheetName val="BOQ(water tank)"/>
      <sheetName val="ST"/>
      <sheetName val="mepfs cost comparison"/>
      <sheetName val="Abstract All"/>
      <sheetName val="NSC"/>
      <sheetName val="SUM"/>
      <sheetName val="BRKDN PER CSI "/>
      <sheetName val="RSB_RATIO"/>
      <sheetName val="UC Updated1"/>
      <sheetName val="CP"/>
      <sheetName val="VC_reconciled amount"/>
      <sheetName val="Reconciled GFA"/>
      <sheetName val="BRKDN PER CSI"/>
      <sheetName val="BOQ Internal"/>
      <sheetName val="SUMMARY Interal"/>
      <sheetName val="BRKDN PER CSI External"/>
      <sheetName val="BOQ External "/>
      <sheetName val="SUMMARY External"/>
      <sheetName val="NSC External"/>
      <sheetName val="MU External"/>
      <sheetName val="SUM External"/>
      <sheetName val="CP External"/>
      <sheetName val="PROJSUM"/>
      <sheetName val="UC Updated"/>
      <sheetName val="OH revised"/>
      <sheetName val="Composite"/>
      <sheetName val="VE"/>
      <sheetName val=""/>
      <sheetName val="Summary (2)"/>
      <sheetName val="summary  GROSS"/>
      <sheetName val="NB 20"/>
      <sheetName val="villa c"/>
      <sheetName val="gm"/>
      <sheetName val="ND"/>
      <sheetName val="NF"/>
      <sheetName val="SF "/>
      <sheetName val="SGR"/>
      <sheetName val="mh_ boh_ ngr "/>
      <sheetName val="Main pool "/>
      <sheetName val="arrival Archl"/>
      <sheetName val="GUARDHOUSE"/>
      <sheetName val="POOL KITCHEN "/>
      <sheetName val="POOL RESTROOM "/>
      <sheetName val="Arrival struct"/>
      <sheetName val="POOL STAGE "/>
      <sheetName val="EE 4"/>
      <sheetName val="EE 1"/>
      <sheetName val="NB_ landscape"/>
      <sheetName val="Spa_Architectural"/>
      <sheetName val="Cart track"/>
      <sheetName val="batu candi"/>
      <sheetName val="STONES"/>
      <sheetName val="CONSOLIDATED DERIVE"/>
      <sheetName val="cost build up _2_"/>
      <sheetName val="DERIVE _BOQ_"/>
      <sheetName val="summary "/>
      <sheetName val="Notes"/>
      <sheetName val="J"/>
      <sheetName val="M"/>
      <sheetName val="K-L,N-R"/>
      <sheetName val="EXRATE"/>
      <sheetName val="CIMC"/>
      <sheetName val="CIEM"/>
      <sheetName val="07"/>
      <sheetName val="09"/>
      <sheetName val="CSA format-Summary"/>
      <sheetName val="DETAILS"/>
      <sheetName val="FF summary"/>
      <sheetName val="WF summary"/>
      <sheetName val="WP summary"/>
      <sheetName val="BB summary"/>
      <sheetName val="CF summary"/>
      <sheetName val="FE stairs"/>
      <sheetName val="heights"/>
      <sheetName val="openings"/>
      <sheetName val="conditions"/>
      <sheetName val=" assumptions"/>
      <sheetName val="BSC"/>
      <sheetName val="00"/>
      <sheetName val="26"/>
      <sheetName val="27"/>
      <sheetName val="28"/>
      <sheetName val="31 (2)"/>
      <sheetName val="Summary (overall)"/>
      <sheetName val="comparison section A_section B"/>
      <sheetName val="ID"/>
      <sheetName val="Bill summary of cost"/>
      <sheetName val="03"/>
      <sheetName val="04"/>
      <sheetName val="05"/>
      <sheetName val="06"/>
      <sheetName val="08"/>
      <sheetName val="10"/>
      <sheetName val="12"/>
      <sheetName val="22"/>
      <sheetName val="23"/>
      <sheetName val="31"/>
      <sheetName val="32"/>
      <sheetName val="CQI"/>
      <sheetName val="Prelims"/>
      <sheetName val="CFA Summary"/>
      <sheetName val="Unit Summary"/>
      <sheetName val="BOQ (2)"/>
      <sheetName val="BOQ Market"/>
      <sheetName val="BOQ with VE"/>
      <sheetName val="PROJ DES"/>
      <sheetName val="CFA (032007)"/>
      <sheetName val="BOQ MARKET2"/>
      <sheetName val="BRKDN PER CSI MARKET"/>
      <sheetName val="ELECTRO-MECHS"/>
      <sheetName val="ELECTRO-MECHS Market"/>
      <sheetName val="RATES G-5"/>
      <sheetName val="GB5 Basement"/>
      <sheetName val="abstract (2)"/>
      <sheetName val="abstract"/>
      <sheetName val="02_Siteworks"/>
      <sheetName val="03_Concrete "/>
      <sheetName val="04_Masonry"/>
      <sheetName val="05_Metals"/>
      <sheetName val="07_Waterproofing &amp; Insulation"/>
      <sheetName val="08_Doors, Windows &amp; Hardwares"/>
      <sheetName val="093_Stone works"/>
      <sheetName val="09_Architectural.Edited18-11-08"/>
      <sheetName val="099_Paint"/>
      <sheetName val="10_Specialties"/>
      <sheetName val="Mechanical"/>
      <sheetName val="15400Plumb&amp;S Works"/>
      <sheetName val="15300FirePr0"/>
      <sheetName val="15400Plumb&amp;Sanitary"/>
      <sheetName val="16BOQ_Electrical Works"/>
      <sheetName val="UC Updated-INSULAR"/>
      <sheetName val="J(1)"/>
      <sheetName val="L(1)"/>
      <sheetName val="L(2)"/>
      <sheetName val="L(3)"/>
      <sheetName val="L(4)"/>
      <sheetName val="BILLING SUMMARY"/>
      <sheetName val="list of waos approved for CO"/>
      <sheetName val="prelim"/>
      <sheetName val="Bill No.2 (structural)"/>
      <sheetName val="Bill No.3 (architectural)"/>
      <sheetName val="PCM"/>
      <sheetName val="sanitary"/>
      <sheetName val="ELECTRICAL SUPPLIES"/>
      <sheetName val="electrical "/>
      <sheetName val="firepro"/>
      <sheetName val="ELEVATOR"/>
      <sheetName val="EXTERNAL"/>
      <sheetName val="design fee"/>
      <sheetName val="Labor Components (2004)8-11-04"/>
      <sheetName val="conc"/>
      <sheetName val="Pipes, accessories and fittings"/>
      <sheetName val="BI Pipes Fitting,acc. &amp;ins"/>
      <sheetName val="SPLIT 1"/>
      <sheetName val="SPLIT_MASTER"/>
      <sheetName val="VRF"/>
      <sheetName val="VRF SYSTEM QTO23 HVAC"/>
      <sheetName val="REF_piping per boq rev01"/>
      <sheetName val="CashFlwProjections"/>
      <sheetName val="Category 1"/>
      <sheetName val="Sched Spine"/>
      <sheetName val="Sched Res.Lots"/>
      <sheetName val="Sched Hac.Lots"/>
      <sheetName val="Sched Farmlot"/>
      <sheetName val="painting"/>
      <sheetName val="Wdo Mldngs"/>
      <sheetName val="RecoveredExternalLink1"/>
      <sheetName val="Grand"/>
      <sheetName val="SUMM_PREV"/>
      <sheetName val="03old"/>
      <sheetName val="05_PREV"/>
      <sheetName val="Sheet1 (2)"/>
      <sheetName val="HVAC"/>
      <sheetName val="ROSS"/>
      <sheetName val="BOSSEN"/>
      <sheetName val="BRV"/>
      <sheetName val="NGC"/>
      <sheetName val="JACA"/>
      <sheetName val="KLAN"/>
      <sheetName val="EASYLINK"/>
      <sheetName val="Sheet2 (2)"/>
      <sheetName val="Form"/>
      <sheetName val="Bid Breakdown"/>
      <sheetName val="Matrox"/>
      <sheetName val="RT"/>
      <sheetName val="DPS"/>
      <sheetName val="Medea"/>
      <sheetName val="Pinnacle ets"/>
      <sheetName val="Accessories"/>
      <sheetName val="Software"/>
      <sheetName val="Servers"/>
      <sheetName val="Avid"/>
      <sheetName val="Canopus"/>
      <sheetName val="AJA"/>
      <sheetName val="Blackmagic"/>
      <sheetName val="Infortrend"/>
      <sheetName val="Istor&amp;Qualstar"/>
      <sheetName val="Hardware"/>
      <sheetName val="Digidesign"/>
      <sheetName val="Panasonic"/>
      <sheetName val="Autodesk &amp; Vue 6"/>
      <sheetName val="G &amp; B"/>
      <sheetName val="schedule-A"/>
      <sheetName val="Updated table"/>
      <sheetName val="TABLE"/>
      <sheetName val="SUMMARY DUCT"/>
      <sheetName val="toilet (RISER)"/>
      <sheetName val="EXHAUST -EE ROOMS (branch) "/>
      <sheetName val="TOILET (BRANCH) "/>
      <sheetName val="EXHAUST -EE ROOMS (RISER)"/>
      <sheetName val="ELECTRICAL EF EQUIP"/>
      <sheetName val="Recovered_Sheet1"/>
      <sheetName val="Comp Cost"/>
      <sheetName val="802"/>
      <sheetName val="803"/>
      <sheetName val="804"/>
      <sheetName val="900 "/>
      <sheetName val="901(2)"/>
      <sheetName val="1003"/>
      <sheetName val="1009(1)"/>
      <sheetName val="1010(b)"/>
      <sheetName val="1010(d)"/>
      <sheetName val="1013"/>
      <sheetName val="1018.2.1.1"/>
      <sheetName val="1018.2.1.2"/>
      <sheetName val="1032(a)"/>
      <sheetName val="1100"/>
      <sheetName val="500(1)c"/>
      <sheetName val="603(3a)"/>
      <sheetName val="603(3b)"/>
      <sheetName val="605(1)a"/>
      <sheetName val="605(2)a"/>
      <sheetName val="620"/>
      <sheetName val="901(1)"/>
      <sheetName val="1101"/>
      <sheetName val="1102(1)"/>
      <sheetName val="404(box)"/>
      <sheetName val="405(box)"/>
      <sheetName val="103(1)-24ln.m. Bridge"/>
      <sheetName val="400(4)-24ln.m. Bridge"/>
      <sheetName val="400(14)-24ln.m. Bridge"/>
      <sheetName val="400(16)-24ln.m. Bridge"/>
      <sheetName val="401-24ln.m. Bridge"/>
      <sheetName val="404-24ln.m. Bridge"/>
      <sheetName val="405(1)-24ln.m. Bridge"/>
      <sheetName val="406(1)-24ln.m. Bridge"/>
      <sheetName val="507-24ln.m. Bridge"/>
      <sheetName val="103(1)-18LN.M. BRIDGE"/>
      <sheetName val="400(4)-18ln.m. Bridge"/>
      <sheetName val="400(14)-18ln.m. Bridge"/>
      <sheetName val="400(16)-18ln.m. Bridge"/>
      <sheetName val="401-18ln.m. Bridge"/>
      <sheetName val="404-18ln.m. Bridge"/>
      <sheetName val="405(1)-18ln.m. Bridge"/>
      <sheetName val="507-18ln.m. bridge"/>
      <sheetName val="1002"/>
      <sheetName val="SPL-1(2)"/>
      <sheetName val="SPL-2(2)"/>
      <sheetName val="Quantity Sheet"/>
      <sheetName val="Quantity Sheet (2)"/>
      <sheetName val="Hauling materials"/>
      <sheetName val="Time Motion"/>
      <sheetName val="Time motion - Boulders"/>
      <sheetName val="B-103(1)"/>
      <sheetName val="B-103(3)"/>
      <sheetName val="B-103(6)"/>
      <sheetName val="B-311(1)"/>
      <sheetName val="B-barcut Headwall"/>
      <sheetName val="B-404 &amp; 405(1)a Headwall"/>
      <sheetName val="B-405(1)b Canal lining"/>
      <sheetName val="B-901(1)"/>
      <sheetName val="B-901(2)"/>
      <sheetName val="B-500(1)"/>
      <sheetName val="B-505(5)"/>
      <sheetName val="B-603(3)"/>
      <sheetName val="TM-Overhaul"/>
      <sheetName val="B-622"/>
      <sheetName val="B- 605(1)a, 605(2)a"/>
      <sheetName val="B-404 Canal"/>
      <sheetName val="B-620"/>
      <sheetName val="B-24ln.m. bridge(part 1)"/>
      <sheetName val="B-24ln.m. bridge (part 2)"/>
      <sheetName val="24ln.m. barcut"/>
      <sheetName val="B-18ln.m. bridge (part 1)"/>
      <sheetName val="B-18ln.m. bridge (part 2)"/>
      <sheetName val="B-18ln.m. Barcut"/>
      <sheetName val="B-103(1), 103(3)BOX CULVERT"/>
      <sheetName val="B-104 box culvert"/>
      <sheetName val="B-box culvert"/>
      <sheetName val="B-bar cut box culvert"/>
      <sheetName val="Forms Headwall"/>
    </sheetNames>
    <sheetDataSet>
      <sheetData sheetId="0" refreshError="1"/>
      <sheetData sheetId="1"/>
      <sheetData sheetId="2" refreshError="1"/>
      <sheetData sheetId="3" refreshError="1"/>
      <sheetData sheetId="4">
        <row r="4">
          <cell r="A4" t="str">
            <v>ESTIMATED COST OF PROPOSED  WORK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63">
          <cell r="T63">
            <v>4.7106742858886719E-3</v>
          </cell>
        </row>
      </sheetData>
      <sheetData sheetId="19" refreshError="1">
        <row r="4">
          <cell r="A4" t="str">
            <v>ESTIMATED COST OF PROPOSED  WORK</v>
          </cell>
        </row>
        <row r="7">
          <cell r="G7">
            <v>795</v>
          </cell>
        </row>
        <row r="8">
          <cell r="B8">
            <v>111</v>
          </cell>
          <cell r="G8">
            <v>1041</v>
          </cell>
        </row>
        <row r="11">
          <cell r="G11">
            <v>2392.7999999999997</v>
          </cell>
        </row>
        <row r="13">
          <cell r="G13">
            <v>140.63</v>
          </cell>
        </row>
        <row r="14">
          <cell r="G14">
            <v>3985</v>
          </cell>
        </row>
        <row r="18">
          <cell r="F18">
            <v>195.25</v>
          </cell>
        </row>
        <row r="34">
          <cell r="G34">
            <v>612</v>
          </cell>
        </row>
        <row r="35">
          <cell r="G35">
            <v>1044</v>
          </cell>
        </row>
        <row r="36">
          <cell r="G36">
            <v>675</v>
          </cell>
        </row>
        <row r="40">
          <cell r="G40">
            <v>492</v>
          </cell>
        </row>
        <row r="42">
          <cell r="G42">
            <v>1475</v>
          </cell>
        </row>
        <row r="44">
          <cell r="B44">
            <v>159.38</v>
          </cell>
        </row>
        <row r="46">
          <cell r="G46">
            <v>1065</v>
          </cell>
        </row>
        <row r="49">
          <cell r="G49">
            <v>349.47</v>
          </cell>
        </row>
        <row r="53">
          <cell r="H53">
            <v>1079.3800000000001</v>
          </cell>
        </row>
        <row r="54">
          <cell r="H54">
            <v>1044.3599999999999</v>
          </cell>
        </row>
      </sheetData>
      <sheetData sheetId="20">
        <row r="63">
          <cell r="T63">
            <v>4.7106742858886719E-3</v>
          </cell>
        </row>
      </sheetData>
      <sheetData sheetId="21">
        <row r="4">
          <cell r="A4" t="str">
            <v>ESTIMATED COST OF PROPOSED  WORK</v>
          </cell>
        </row>
      </sheetData>
      <sheetData sheetId="22"/>
      <sheetData sheetId="23">
        <row r="4">
          <cell r="A4" t="str">
            <v>ESTIMATED COST OF PROPOSED  WORK</v>
          </cell>
        </row>
      </sheetData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4">
          <cell r="B4">
            <v>1541</v>
          </cell>
        </row>
      </sheetData>
      <sheetData sheetId="35"/>
      <sheetData sheetId="36">
        <row r="4">
          <cell r="B4">
            <v>1541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4">
          <cell r="B4">
            <v>1541</v>
          </cell>
        </row>
      </sheetData>
      <sheetData sheetId="50"/>
      <sheetData sheetId="51"/>
      <sheetData sheetId="52"/>
      <sheetData sheetId="53"/>
      <sheetData sheetId="54"/>
      <sheetData sheetId="55">
        <row r="4">
          <cell r="B4">
            <v>1541</v>
          </cell>
        </row>
      </sheetData>
      <sheetData sheetId="56"/>
      <sheetData sheetId="57">
        <row r="4">
          <cell r="B4">
            <v>1541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4">
          <cell r="B4">
            <v>1541</v>
          </cell>
        </row>
      </sheetData>
      <sheetData sheetId="76"/>
      <sheetData sheetId="77">
        <row r="4">
          <cell r="B4">
            <v>1541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4">
          <cell r="B4">
            <v>1541</v>
          </cell>
        </row>
      </sheetData>
      <sheetData sheetId="112"/>
      <sheetData sheetId="113">
        <row r="4">
          <cell r="B4">
            <v>1541</v>
          </cell>
        </row>
      </sheetData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>
        <row r="4">
          <cell r="A4" t="str">
            <v>ESTIMATED COST OF PROPOSED  WORK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 refreshError="1"/>
      <sheetData sheetId="225"/>
      <sheetData sheetId="226"/>
      <sheetData sheetId="227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>
        <row r="3">
          <cell r="D3" t="str">
            <v>Road Upgrading of Tibanban-Lavigan Road</v>
          </cell>
        </row>
      </sheetData>
      <sheetData sheetId="287"/>
      <sheetData sheetId="288"/>
      <sheetData sheetId="289" refreshError="1"/>
      <sheetData sheetId="290" refreshError="1"/>
      <sheetData sheetId="291" refreshError="1"/>
      <sheetData sheetId="292"/>
      <sheetData sheetId="293">
        <row r="4">
          <cell r="A4" t="str">
            <v>ESTIMATED COST OF PROPOSED  WORK</v>
          </cell>
        </row>
      </sheetData>
      <sheetData sheetId="294"/>
      <sheetData sheetId="295">
        <row r="4">
          <cell r="A4" t="str">
            <v>ESTIMATED COST OF PROPOSED  WORK</v>
          </cell>
        </row>
      </sheetData>
      <sheetData sheetId="296"/>
      <sheetData sheetId="297">
        <row r="4">
          <cell r="A4" t="str">
            <v>ESTIMATED COST OF PROPOSED  WORK</v>
          </cell>
        </row>
      </sheetData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>
        <row r="71">
          <cell r="F71">
            <v>1</v>
          </cell>
        </row>
      </sheetData>
      <sheetData sheetId="360">
        <row r="3">
          <cell r="D3" t="str">
            <v>Road Upgrading of Tibanban-Lavigan Road</v>
          </cell>
        </row>
      </sheetData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>
        <row r="3">
          <cell r="D3" t="str">
            <v>Road Upgrading of Tibanban-Lavigan Road</v>
          </cell>
        </row>
      </sheetData>
      <sheetData sheetId="373"/>
      <sheetData sheetId="374"/>
      <sheetData sheetId="375">
        <row r="3">
          <cell r="D3" t="str">
            <v>Road Upgrading of Tibanban-Lavigan Road</v>
          </cell>
        </row>
      </sheetData>
      <sheetData sheetId="376"/>
      <sheetData sheetId="377">
        <row r="3">
          <cell r="D3" t="str">
            <v>Road Upgrading of Tibanban-Lavigan Road</v>
          </cell>
        </row>
      </sheetData>
      <sheetData sheetId="378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>
        <row r="3">
          <cell r="D3" t="str">
            <v>Road Upgrading of Tibanban-Lavigan Road</v>
          </cell>
        </row>
      </sheetData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>
        <row r="4">
          <cell r="A4" t="str">
            <v>ESTIMATED COST OF PROPOSED  WORK</v>
          </cell>
        </row>
      </sheetData>
      <sheetData sheetId="410">
        <row r="4">
          <cell r="A4" t="str">
            <v>ESTIMATED COST OF PROPOSED  WORK</v>
          </cell>
        </row>
      </sheetData>
      <sheetData sheetId="411"/>
      <sheetData sheetId="412">
        <row r="4">
          <cell r="A4" t="str">
            <v>ESTIMATED COST OF PROPOSED  WORK</v>
          </cell>
        </row>
      </sheetData>
      <sheetData sheetId="413"/>
      <sheetData sheetId="414"/>
      <sheetData sheetId="415">
        <row r="4">
          <cell r="A4" t="str">
            <v>ESTIMATED COST OF PROPOSED  WORK</v>
          </cell>
        </row>
      </sheetData>
      <sheetData sheetId="416"/>
      <sheetData sheetId="417"/>
      <sheetData sheetId="418">
        <row r="4">
          <cell r="A4" t="str">
            <v>ESTIMATED COST OF PROPOSED  WORK</v>
          </cell>
        </row>
      </sheetData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>
        <row r="4">
          <cell r="B4">
            <v>1541</v>
          </cell>
        </row>
      </sheetData>
      <sheetData sheetId="442"/>
      <sheetData sheetId="443"/>
      <sheetData sheetId="444"/>
      <sheetData sheetId="445"/>
      <sheetData sheetId="446">
        <row r="4">
          <cell r="B4">
            <v>1541</v>
          </cell>
        </row>
      </sheetData>
      <sheetData sheetId="447"/>
      <sheetData sheetId="448">
        <row r="4">
          <cell r="B4">
            <v>1541</v>
          </cell>
        </row>
      </sheetData>
      <sheetData sheetId="449"/>
      <sheetData sheetId="450"/>
      <sheetData sheetId="451">
        <row r="4">
          <cell r="B4">
            <v>1541</v>
          </cell>
        </row>
      </sheetData>
      <sheetData sheetId="452"/>
      <sheetData sheetId="453"/>
      <sheetData sheetId="454">
        <row r="4">
          <cell r="B4">
            <v>1541</v>
          </cell>
        </row>
      </sheetData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>
        <row r="3">
          <cell r="D3" t="str">
            <v>Road Upgrading of Tibanban-Lavigan Road</v>
          </cell>
        </row>
      </sheetData>
      <sheetData sheetId="557"/>
      <sheetData sheetId="558"/>
      <sheetData sheetId="559"/>
      <sheetData sheetId="560"/>
      <sheetData sheetId="561">
        <row r="3">
          <cell r="D3" t="str">
            <v>Road Upgrading of Tibanban-Lavigan Road</v>
          </cell>
        </row>
      </sheetData>
      <sheetData sheetId="562"/>
      <sheetData sheetId="563">
        <row r="3">
          <cell r="D3" t="str">
            <v>Road Upgrading of Tibanban-Lavigan Road</v>
          </cell>
        </row>
      </sheetData>
      <sheetData sheetId="564"/>
      <sheetData sheetId="565"/>
      <sheetData sheetId="566">
        <row r="3">
          <cell r="D3" t="str">
            <v>Road Upgrading of Tibanban-Lavigan Road</v>
          </cell>
        </row>
      </sheetData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>
        <row r="4">
          <cell r="A4" t="str">
            <v>ESTIMATED COST OF PROPOSED  WORK</v>
          </cell>
        </row>
      </sheetData>
      <sheetData sheetId="626"/>
      <sheetData sheetId="627"/>
      <sheetData sheetId="628">
        <row r="4">
          <cell r="A4" t="str">
            <v>ESTIMATED COST OF PROPOSED  WORK</v>
          </cell>
        </row>
      </sheetData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>
        <row r="4">
          <cell r="B4">
            <v>1541</v>
          </cell>
        </row>
      </sheetData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>
        <row r="3">
          <cell r="D3" t="str">
            <v>Road Upgrading of Tibanban-Lavigan Road</v>
          </cell>
        </row>
      </sheetData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/>
      <sheetData sheetId="794"/>
      <sheetData sheetId="795"/>
      <sheetData sheetId="796">
        <row r="4">
          <cell r="A4" t="str">
            <v>ESTIMATED COST OF PROPOSED  WORK</v>
          </cell>
        </row>
      </sheetData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>
        <row r="4">
          <cell r="B4">
            <v>1541</v>
          </cell>
        </row>
      </sheetData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>
        <row r="3">
          <cell r="D3" t="str">
            <v>Road Upgrading of Tibanban-Lavigan Road</v>
          </cell>
        </row>
      </sheetData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 refreshError="1"/>
      <sheetData sheetId="963" refreshError="1"/>
      <sheetData sheetId="964" refreshError="1"/>
      <sheetData sheetId="965"/>
      <sheetData sheetId="966" refreshError="1"/>
      <sheetData sheetId="967"/>
      <sheetData sheetId="968" refreshError="1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"/>
      <sheetName val="Sheet4"/>
      <sheetName val="1"/>
      <sheetName val="2"/>
      <sheetName val="abc"/>
      <sheetName val="101(2)a"/>
      <sheetName val="101(3)"/>
      <sheetName val="102(1)"/>
      <sheetName val="105"/>
      <sheetName val="200"/>
      <sheetName val="201"/>
      <sheetName val="300"/>
      <sheetName val="301"/>
      <sheetName val="302"/>
      <sheetName val="310"/>
      <sheetName val="310 tma"/>
      <sheetName val="612"/>
      <sheetName val="mob.&amp; dem"/>
      <sheetName val="camphouse"/>
      <sheetName val="Temfacil"/>
      <sheetName val="traffic control"/>
      <sheetName val="605(3)"/>
      <sheetName val="spl-5"/>
      <sheetName val="spl-4"/>
      <sheetName val="TMA 1"/>
      <sheetName val="SUMMARY OF MATERIALS"/>
      <sheetName val="bare month equip"/>
      <sheetName val="WORKING DAYS"/>
      <sheetName val="BAR CHART"/>
    </sheetNames>
    <sheetDataSet>
      <sheetData sheetId="0">
        <row r="11">
          <cell r="G11">
            <v>2392.7999999999997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A"/>
      <sheetName val="list B"/>
      <sheetName val="NEW SOURCE"/>
      <sheetName val="Source"/>
      <sheetName val="Sheet2"/>
      <sheetName val="FRONT PAGE"/>
      <sheetName val="2ND PAGE"/>
      <sheetName val="Sheet4"/>
      <sheetName val="103"/>
      <sheetName val="401"/>
      <sheetName val="404(a)"/>
      <sheetName val="404(b)"/>
      <sheetName val="405(1)"/>
      <sheetName val="405(2)"/>
      <sheetName val="400(5)"/>
      <sheetName val="400(16)"/>
      <sheetName val="400(15)"/>
      <sheetName val="406"/>
      <sheetName val="412"/>
      <sheetName val="410"/>
      <sheetName val="411"/>
      <sheetName val="100"/>
      <sheetName val="101(3)"/>
      <sheetName val="103(1)"/>
      <sheetName val="104(1)r"/>
      <sheetName val="104(2)"/>
      <sheetName val="105(1)"/>
      <sheetName val="200"/>
      <sheetName val="301"/>
      <sheetName val="310"/>
      <sheetName val="311(1)"/>
      <sheetName val="311(2)"/>
      <sheetName val="505"/>
      <sheetName val="612(1)"/>
      <sheetName val="612(2)"/>
      <sheetName val="603(3)a"/>
      <sheetName val="Sheet3"/>
      <sheetName val="101"/>
      <sheetName val="103(1) FC"/>
      <sheetName val="404"/>
      <sheetName val="405"/>
      <sheetName val="507"/>
      <sheetName val="1"/>
      <sheetName val="509"/>
      <sheetName val="safety 2"/>
      <sheetName val="safety"/>
      <sheetName val="tma rd"/>
      <sheetName val="TRAFFIC"/>
      <sheetName val="tma FC"/>
      <sheetName val="temfacil 6 x 8"/>
      <sheetName val="temfacil 6x 6"/>
      <sheetName val="BILLBOARD2"/>
      <sheetName val="BB"/>
      <sheetName val="vehicle b"/>
      <sheetName val="veh comp"/>
      <sheetName val="VEHICLE A"/>
      <sheetName val="TMA 1"/>
      <sheetName val="TMA"/>
      <sheetName val="bare month equip"/>
      <sheetName val="SUMMARY 2"/>
      <sheetName val="railing sidewalk rebars qty"/>
      <sheetName val="Sheet1"/>
      <sheetName val="mob"/>
    </sheetNames>
    <sheetDataSet>
      <sheetData sheetId="0" refreshError="1"/>
      <sheetData sheetId="1" refreshError="1"/>
      <sheetData sheetId="2" refreshError="1"/>
      <sheetData sheetId="3">
        <row r="13">
          <cell r="B13">
            <v>14</v>
          </cell>
        </row>
        <row r="68">
          <cell r="J68">
            <v>16483.5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A"/>
      <sheetName val="list B"/>
      <sheetName val="NEW SOURCE"/>
      <sheetName val="Source"/>
      <sheetName val="Sheet2"/>
      <sheetName val="FRONT PAGE"/>
      <sheetName val="2ND PAGE"/>
      <sheetName val="Sheet4"/>
      <sheetName val="103"/>
      <sheetName val="401"/>
      <sheetName val="404(a)"/>
      <sheetName val="404(b)"/>
      <sheetName val="405(1)"/>
      <sheetName val="405(2)"/>
      <sheetName val="400(5)"/>
      <sheetName val="400(16)"/>
      <sheetName val="400(15)"/>
      <sheetName val="406"/>
      <sheetName val="412"/>
      <sheetName val="410"/>
      <sheetName val="411"/>
      <sheetName val="100"/>
      <sheetName val="101(3)"/>
      <sheetName val="103(1)"/>
      <sheetName val="104(1)r"/>
      <sheetName val="104(2)"/>
      <sheetName val="105(1)"/>
      <sheetName val="200"/>
      <sheetName val="301"/>
      <sheetName val="310"/>
      <sheetName val="311(1)"/>
      <sheetName val="311(2)"/>
      <sheetName val="505"/>
      <sheetName val="612(1)"/>
      <sheetName val="612(2)"/>
      <sheetName val="603(3)a"/>
      <sheetName val="Sheet3"/>
      <sheetName val="101"/>
      <sheetName val="103(1) FC"/>
      <sheetName val="404"/>
      <sheetName val="405"/>
      <sheetName val="507"/>
      <sheetName val="1"/>
      <sheetName val="509"/>
      <sheetName val="safety 2"/>
      <sheetName val="safety"/>
      <sheetName val="tma rd"/>
      <sheetName val="TRAFFIC"/>
      <sheetName val="tma FC"/>
      <sheetName val="temfacil 6 x 8"/>
      <sheetName val="temfacil 6x 6"/>
      <sheetName val="BILLBOARD2"/>
      <sheetName val="BB"/>
      <sheetName val="vehicle b"/>
      <sheetName val="veh comp"/>
      <sheetName val="VEHICLE A"/>
      <sheetName val="TMA 1"/>
      <sheetName val="TMA"/>
      <sheetName val="bare month equip"/>
      <sheetName val="SUMMARY 2"/>
      <sheetName val="railing sidewalk rebars qty"/>
      <sheetName val="Sheet1"/>
      <sheetName val="mob"/>
      <sheetName val="Numbers"/>
      <sheetName val="CCenter"/>
      <sheetName val="Manpower"/>
      <sheetName val="Materials"/>
    </sheetNames>
    <sheetDataSet>
      <sheetData sheetId="0" refreshError="1"/>
      <sheetData sheetId="1" refreshError="1"/>
      <sheetData sheetId="2" refreshError="1"/>
      <sheetData sheetId="3">
        <row r="13">
          <cell r="B13">
            <v>14</v>
          </cell>
        </row>
        <row r="68">
          <cell r="J68">
            <v>16483.5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"/>
      <sheetName val="FRONT PAGE"/>
      <sheetName val="2ND PAGE"/>
      <sheetName val="STO NINO 1"/>
      <sheetName val="STO NINO 2"/>
      <sheetName val="NANAGA"/>
      <sheetName val="GABUYAN"/>
      <sheetName val="KIPALIKO"/>
      <sheetName val="Lasang"/>
      <sheetName val="FC STO NINO 1"/>
      <sheetName val="FC STO NINO 2"/>
      <sheetName val="FC NANAGA"/>
      <sheetName val="FC GABUYAN"/>
      <sheetName val="FC LASANG"/>
      <sheetName val="FC KIPALIKO"/>
      <sheetName val="BILLBOARD"/>
      <sheetName val="VEHICLE"/>
      <sheetName val="CAMP HOUSE"/>
      <sheetName val="TMA"/>
      <sheetName val="Overflow Gabuyan"/>
      <sheetName val="SAFETY GABUYAN"/>
      <sheetName val="SAFETY KIPALIKO"/>
      <sheetName val="SAFETY LASANG"/>
      <sheetName val="SAFETY NANAGA"/>
      <sheetName val="SAFETY STO NINO 2"/>
      <sheetName val="SAFETY STO NINO 1"/>
    </sheetNames>
    <sheetDataSet>
      <sheetData sheetId="0">
        <row r="9">
          <cell r="H9">
            <v>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Center"/>
      <sheetName val="Materials"/>
      <sheetName val="Manpower"/>
      <sheetName val="Equipment"/>
      <sheetName val="Scope of Works"/>
      <sheetName val="Project List"/>
      <sheetName val="Numbers"/>
      <sheetName val="Extracted Inform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s"/>
      <sheetName val="Manpower"/>
      <sheetName val="Scope of Works"/>
      <sheetName val="Numbers"/>
      <sheetName val="CCenter"/>
      <sheetName val="Equipment"/>
      <sheetName val="Extracted Information"/>
      <sheetName val="Project List"/>
      <sheetName val="Sourc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"/>
      <sheetName val="Annex A"/>
      <sheetName val="Annex B"/>
      <sheetName val="Annex C"/>
      <sheetName val="S- ABC"/>
      <sheetName val="A - ABC"/>
      <sheetName val="CD"/>
      <sheetName val="DO 197 2016"/>
      <sheetName val="SLR as of June2018"/>
      <sheetName val="TMA"/>
      <sheetName val="Distance"/>
      <sheetName val="MAtrix"/>
      <sheetName val="CH"/>
      <sheetName val="SV (Pick-Up)"/>
      <sheetName val="B"/>
      <sheetName val="SH"/>
      <sheetName val="TM"/>
      <sheetName val="CW"/>
      <sheetName val="GE"/>
      <sheetName val="C(B) "/>
      <sheetName val="Summary of Quantities"/>
      <sheetName val="F(B)"/>
      <sheetName val="DM"/>
      <sheetName val="BAR CHART"/>
      <sheetName val="Materials"/>
      <sheetName val="Equip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Center"/>
      <sheetName val="Project List"/>
      <sheetName val="Extracted Information"/>
      <sheetName val="Data"/>
      <sheetName val="Numbers"/>
      <sheetName val="Materials"/>
      <sheetName val="Manpower"/>
      <sheetName val="Transport"/>
      <sheetName val="Equipment"/>
      <sheetName val="Scope of Works"/>
      <sheetName val="Others"/>
      <sheetName val="Compo Bill "/>
      <sheetName val="Detailed "/>
      <sheetName val="Intake Box Type (Expansion) (2)"/>
      <sheetName val="Source"/>
    </sheetNames>
    <sheetDataSet>
      <sheetData sheetId="0" refreshError="1"/>
      <sheetData sheetId="1" refreshError="1">
        <row r="104">
          <cell r="E104" t="str">
            <v>MATERIAL :</v>
          </cell>
        </row>
        <row r="105">
          <cell r="E105" t="str">
            <v>EQUIP'T RENTAL :</v>
          </cell>
        </row>
        <row r="106">
          <cell r="E106" t="str">
            <v>LABOR :</v>
          </cell>
        </row>
        <row r="107">
          <cell r="E107" t="str">
            <v>LICENSES &amp; PERMITS:</v>
          </cell>
        </row>
        <row r="108">
          <cell r="E108" t="str">
            <v>EQUIPMENTS</v>
          </cell>
        </row>
        <row r="110">
          <cell r="E110" t="str">
            <v>A.)</v>
          </cell>
          <cell r="F110" t="str">
            <v>Direct Cost:</v>
          </cell>
        </row>
        <row r="111">
          <cell r="F111" t="str">
            <v>Total Materials, Labor &amp; Eqpt.Rental Cost =</v>
          </cell>
        </row>
        <row r="112">
          <cell r="F112" t="str">
            <v>Total Materials &amp; Labor Cost =</v>
          </cell>
        </row>
        <row r="113">
          <cell r="F113" t="str">
            <v>Total Materials Cost =</v>
          </cell>
        </row>
        <row r="114">
          <cell r="F114" t="str">
            <v>Total Labor Cost =</v>
          </cell>
        </row>
        <row r="115">
          <cell r="F115" t="str">
            <v>Total Equipment Cost =</v>
          </cell>
        </row>
        <row r="116">
          <cell r="F116" t="str">
            <v>Direct Unit Cost =</v>
          </cell>
        </row>
        <row r="118">
          <cell r="F118" t="str">
            <v>Indirect Cost:</v>
          </cell>
        </row>
        <row r="119">
          <cell r="F119" t="str">
            <v>OCM - (7.5% of Item A-1)</v>
          </cell>
        </row>
        <row r="120">
          <cell r="F120" t="str">
            <v>OCM - (14% of Item A-1)</v>
          </cell>
        </row>
        <row r="121">
          <cell r="F121" t="str">
            <v>Contractors Profit (10% of Item A-1)</v>
          </cell>
        </row>
        <row r="122">
          <cell r="F122" t="str">
            <v>Mobilization / Demobilization (5% of Item A-1)</v>
          </cell>
        </row>
      </sheetData>
      <sheetData sheetId="2" refreshError="1">
        <row r="6">
          <cell r="C6" t="str">
            <v>Himbah Wooden Port Costruction</v>
          </cell>
        </row>
        <row r="7">
          <cell r="C7" t="str">
            <v>Lupah Pula Boat landing Construction</v>
          </cell>
        </row>
        <row r="8">
          <cell r="C8" t="str">
            <v>Tabtabon Boat Landing Construction</v>
          </cell>
        </row>
        <row r="9">
          <cell r="C9" t="str">
            <v>Ungus Ungos Boat landing Construction</v>
          </cell>
        </row>
        <row r="10">
          <cell r="C10" t="str">
            <v>Poblacion Tuburan Port Rehabilitation</v>
          </cell>
        </row>
        <row r="11">
          <cell r="C11" t="str">
            <v>Bongao Port Improvement</v>
          </cell>
        </row>
        <row r="12">
          <cell r="C12" t="str">
            <v>Olango Reinforced Concrete Box Culvert</v>
          </cell>
        </row>
        <row r="13">
          <cell r="C13" t="str">
            <v>Sitio Sarmiento Bridge Construction</v>
          </cell>
        </row>
        <row r="14">
          <cell r="C14" t="str">
            <v>Sapu Masla Community Center Construction</v>
          </cell>
        </row>
        <row r="15">
          <cell r="C15" t="str">
            <v>Lunen Water System Construction (Spring Development)</v>
          </cell>
        </row>
        <row r="16">
          <cell r="C16" t="str">
            <v>Malangit Community Center Construction</v>
          </cell>
        </row>
        <row r="17">
          <cell r="C17" t="str">
            <v>PAG-ASA Community Center Construction</v>
          </cell>
        </row>
        <row r="18">
          <cell r="C18" t="str">
            <v>Dagupan Community Center Construction</v>
          </cell>
        </row>
        <row r="19">
          <cell r="C19" t="str">
            <v>Piyahan Community Center Construction</v>
          </cell>
        </row>
        <row r="20">
          <cell r="C20" t="str">
            <v>Wanni Piyanjihan Community Center Construction</v>
          </cell>
        </row>
        <row r="21">
          <cell r="C21" t="str">
            <v>Layog Community Center Construction</v>
          </cell>
        </row>
        <row r="22">
          <cell r="C22" t="str">
            <v>Pagagawan Trading Center Construction</v>
          </cell>
        </row>
        <row r="23">
          <cell r="C23" t="str">
            <v>Glan Community Center Construction</v>
          </cell>
        </row>
        <row r="24">
          <cell r="C24" t="str">
            <v>Maluso Port Improvement</v>
          </cell>
        </row>
        <row r="25">
          <cell r="C25" t="str">
            <v>Riconalla Box Culvert Construction</v>
          </cell>
        </row>
        <row r="26">
          <cell r="C26" t="str">
            <v>Tangngah Community Center Construction</v>
          </cell>
        </row>
        <row r="27">
          <cell r="C27" t="str">
            <v>Lower Sampunay Community Center Construction</v>
          </cell>
        </row>
        <row r="28">
          <cell r="C28" t="str">
            <v>New Baguio Water Supply</v>
          </cell>
        </row>
        <row r="29">
          <cell r="C29" t="str">
            <v>Pualas Water Supply System Construction</v>
          </cell>
        </row>
        <row r="30">
          <cell r="C30" t="str">
            <v>Owas Spring Development Level 2 Construction</v>
          </cell>
        </row>
        <row r="31">
          <cell r="C31" t="str">
            <v>Maigo Drainage System Construction</v>
          </cell>
        </row>
        <row r="32">
          <cell r="C32" t="str">
            <v>Tunggol Boat landing Rehabilitation</v>
          </cell>
        </row>
        <row r="33">
          <cell r="C33" t="str">
            <v>Lamitan Port Roro Ramp Construction</v>
          </cell>
        </row>
        <row r="34">
          <cell r="C34" t="str">
            <v>Pagasinan Boat Landing Construction</v>
          </cell>
        </row>
        <row r="35">
          <cell r="C35" t="str">
            <v>Tungbangkaw Boat Landing Construction</v>
          </cell>
        </row>
        <row r="36">
          <cell r="C36" t="str">
            <v>Bato Bato Boat Landing Rehabilitation</v>
          </cell>
        </row>
        <row r="37">
          <cell r="C37" t="str">
            <v>Alog Water Supply</v>
          </cell>
        </row>
        <row r="38">
          <cell r="C38" t="str">
            <v>Siasi Port Improvement</v>
          </cell>
        </row>
        <row r="39">
          <cell r="C39" t="str">
            <v>Buton Boat Landing Rehabilitation</v>
          </cell>
        </row>
        <row r="40">
          <cell r="C40" t="str">
            <v>Marambuaya Road Rehabilitation</v>
          </cell>
        </row>
        <row r="41">
          <cell r="C41" t="str">
            <v>Perez-Kidapawan Road Project</v>
          </cell>
        </row>
        <row r="42">
          <cell r="C42" t="str">
            <v>Rehabilitation/Improvement of Poblacion Tuburan Port</v>
          </cell>
        </row>
        <row r="43">
          <cell r="C43" t="str">
            <v>Pantaon Road Rehabilitation</v>
          </cell>
        </row>
        <row r="44">
          <cell r="C44" t="str">
            <v>Paniongan Boat Landing Rehabilitation</v>
          </cell>
        </row>
        <row r="45">
          <cell r="C45" t="str">
            <v>Karungdong Boat Landing Construction</v>
          </cell>
        </row>
        <row r="46">
          <cell r="C46" t="str">
            <v>Pobalcion Tantangan Water Supply System Rehabilitation</v>
          </cell>
        </row>
        <row r="47">
          <cell r="C47" t="str">
            <v>Kidapawan Market Bridge Construction</v>
          </cell>
        </row>
        <row r="48">
          <cell r="C48" t="str">
            <v>Malala Grains Warehouse and Solar Drier Construction</v>
          </cell>
        </row>
        <row r="49">
          <cell r="C49" t="str">
            <v>Mateo Grains Warehouse &amp; Solar Dryer Construction</v>
          </cell>
        </row>
        <row r="50">
          <cell r="C50" t="str">
            <v>Pidsandawan II Grains Warehouse &amp; Solar Dryer Construction</v>
          </cell>
        </row>
        <row r="51">
          <cell r="C51" t="str">
            <v>Lamuak Grains Warehouse &amp; Solar Dryer Construction</v>
          </cell>
        </row>
        <row r="52">
          <cell r="C52" t="str">
            <v>Sitio Dumpao Grains Warehouse &amp; Solar Dryer</v>
          </cell>
        </row>
        <row r="53">
          <cell r="C53" t="str">
            <v>Mlang Hanging Footbridge</v>
          </cell>
        </row>
        <row r="54">
          <cell r="C54" t="str">
            <v>Siocon (Sta. Maria) Port Improvement</v>
          </cell>
        </row>
        <row r="55">
          <cell r="C55" t="str">
            <v>Cabasaran Reinforced Concrete Box Culvert Construction</v>
          </cell>
        </row>
        <row r="56">
          <cell r="C56" t="str">
            <v>Banco Reinforced Concrete Box Culvert Construction</v>
          </cell>
        </row>
        <row r="57">
          <cell r="C57" t="str">
            <v>Maimbung Poblacion Wharf Improvement</v>
          </cell>
        </row>
        <row r="58">
          <cell r="C58" t="str">
            <v>Lugdungan Reinforced Concrete Box Culvert Construction</v>
          </cell>
        </row>
        <row r="59">
          <cell r="C59" t="str">
            <v>Old Labangan Footbridge Construction</v>
          </cell>
        </row>
        <row r="60">
          <cell r="C60" t="str">
            <v>Bolao-Barokot Bridge Approach</v>
          </cell>
        </row>
        <row r="61">
          <cell r="C61" t="str">
            <v>Sengal Footbridge Construction</v>
          </cell>
        </row>
        <row r="62">
          <cell r="C62" t="str">
            <v>Danapah Footbridge Construction</v>
          </cell>
        </row>
        <row r="63">
          <cell r="C63" t="str">
            <v>Tabon-Tabon Culvert (Overflow Structure) Construction</v>
          </cell>
        </row>
        <row r="64">
          <cell r="C64" t="str">
            <v>Nangka Passenger Waiting Shed Construction</v>
          </cell>
        </row>
        <row r="65">
          <cell r="C65" t="str">
            <v>Biaba Damag Waiting Shed Construction</v>
          </cell>
        </row>
        <row r="66">
          <cell r="C66" t="str">
            <v>Poona Marantao Passenger Shed Construction</v>
          </cell>
        </row>
        <row r="67">
          <cell r="C67" t="str">
            <v>MSU-UTC Waiting Shed Construction</v>
          </cell>
        </row>
        <row r="68">
          <cell r="C68" t="str">
            <v>Gadongan-Timbangalan Waiting Shed Construction</v>
          </cell>
        </row>
        <row r="69">
          <cell r="C69" t="str">
            <v>Moncado-Kadingilan Waiting Shed Construction</v>
          </cell>
        </row>
        <row r="70">
          <cell r="C70" t="str">
            <v>Buadi Sacayo Covered Drainage System Construction</v>
          </cell>
        </row>
        <row r="71">
          <cell r="C71" t="str">
            <v>Sarip Alawi Grains Solar Dryer Construction</v>
          </cell>
        </row>
        <row r="72">
          <cell r="C72" t="str">
            <v>Purok 5 Passenger Waiting Shed Construction</v>
          </cell>
        </row>
        <row r="73">
          <cell r="C73" t="str">
            <v>Tubod Central Waiting Shed Construction</v>
          </cell>
        </row>
        <row r="74">
          <cell r="C74" t="str">
            <v>MSU-SND Passenger Waiting Shed Construction</v>
          </cell>
        </row>
        <row r="75">
          <cell r="C75" t="str">
            <v>Kapatagan Trading Center Construction</v>
          </cell>
        </row>
      </sheetData>
      <sheetData sheetId="3" refreshError="1">
        <row r="10">
          <cell r="B10" t="str">
            <v>1.0 )</v>
          </cell>
        </row>
        <row r="11">
          <cell r="B11" t="str">
            <v>1.1 )</v>
          </cell>
        </row>
        <row r="12">
          <cell r="B12" t="str">
            <v>1.2 )</v>
          </cell>
        </row>
        <row r="13">
          <cell r="B13" t="str">
            <v>1.3 )</v>
          </cell>
        </row>
        <row r="14">
          <cell r="B14" t="str">
            <v>1.4 )</v>
          </cell>
        </row>
        <row r="15">
          <cell r="B15" t="str">
            <v>1.5 )</v>
          </cell>
        </row>
        <row r="16">
          <cell r="B16" t="str">
            <v>1.6 )</v>
          </cell>
        </row>
        <row r="17">
          <cell r="B17" t="str">
            <v>1.7 )</v>
          </cell>
        </row>
        <row r="18">
          <cell r="B18" t="str">
            <v>1.8 )</v>
          </cell>
        </row>
        <row r="19">
          <cell r="B19" t="str">
            <v>1.9 )</v>
          </cell>
        </row>
        <row r="20">
          <cell r="B20" t="str">
            <v>1.10 )</v>
          </cell>
        </row>
        <row r="21">
          <cell r="B21" t="str">
            <v>1.11 )</v>
          </cell>
        </row>
        <row r="22">
          <cell r="B22" t="str">
            <v>1.12 )</v>
          </cell>
        </row>
        <row r="23">
          <cell r="B23" t="str">
            <v>1.13 )</v>
          </cell>
        </row>
        <row r="24">
          <cell r="B24" t="str">
            <v>1.14 )</v>
          </cell>
        </row>
        <row r="25">
          <cell r="B25" t="str">
            <v>1.15 )</v>
          </cell>
        </row>
        <row r="26">
          <cell r="B26" t="str">
            <v>1.16 )</v>
          </cell>
        </row>
        <row r="27">
          <cell r="B27" t="str">
            <v>1.17 )</v>
          </cell>
        </row>
        <row r="28">
          <cell r="B28" t="str">
            <v>1.18 )</v>
          </cell>
        </row>
        <row r="29">
          <cell r="B29" t="str">
            <v>1.19 )</v>
          </cell>
        </row>
        <row r="30">
          <cell r="B30" t="str">
            <v>1.20 )</v>
          </cell>
        </row>
        <row r="31">
          <cell r="B31" t="str">
            <v>2.0 )</v>
          </cell>
        </row>
        <row r="32">
          <cell r="B32" t="str">
            <v>2.1 )</v>
          </cell>
        </row>
        <row r="33">
          <cell r="B33" t="str">
            <v>2.2 )</v>
          </cell>
        </row>
        <row r="34">
          <cell r="B34" t="str">
            <v>2.3 )</v>
          </cell>
        </row>
        <row r="35">
          <cell r="B35" t="str">
            <v>2.4 )</v>
          </cell>
        </row>
        <row r="36">
          <cell r="B36" t="str">
            <v>2.5 )</v>
          </cell>
        </row>
        <row r="37">
          <cell r="B37" t="str">
            <v>2.6 )</v>
          </cell>
        </row>
        <row r="38">
          <cell r="B38" t="str">
            <v>2.7 )</v>
          </cell>
        </row>
        <row r="39">
          <cell r="B39" t="str">
            <v>2.8 )</v>
          </cell>
        </row>
        <row r="40">
          <cell r="B40" t="str">
            <v>2.9  )</v>
          </cell>
        </row>
        <row r="41">
          <cell r="B41" t="str">
            <v>2.10 )</v>
          </cell>
        </row>
        <row r="42">
          <cell r="B42" t="str">
            <v>2.11 )</v>
          </cell>
        </row>
        <row r="43">
          <cell r="B43" t="str">
            <v>2.12 )</v>
          </cell>
        </row>
        <row r="44">
          <cell r="B44" t="str">
            <v>2.13 )</v>
          </cell>
        </row>
        <row r="45">
          <cell r="B45" t="str">
            <v>2.14 )</v>
          </cell>
        </row>
        <row r="46">
          <cell r="B46" t="str">
            <v>2.15 )</v>
          </cell>
        </row>
        <row r="47">
          <cell r="B47" t="str">
            <v>2.16 )</v>
          </cell>
        </row>
        <row r="48">
          <cell r="B48" t="str">
            <v>2.17 )</v>
          </cell>
        </row>
        <row r="49">
          <cell r="B49" t="str">
            <v>2.18 )</v>
          </cell>
        </row>
        <row r="50">
          <cell r="B50" t="str">
            <v>2.19 )</v>
          </cell>
        </row>
        <row r="51">
          <cell r="B51" t="str">
            <v>2.20 )</v>
          </cell>
        </row>
        <row r="52">
          <cell r="B52" t="str">
            <v>3.0 )</v>
          </cell>
        </row>
        <row r="53">
          <cell r="B53" t="str">
            <v>3.1 )</v>
          </cell>
        </row>
        <row r="54">
          <cell r="B54" t="str">
            <v>3.2 )</v>
          </cell>
        </row>
        <row r="55">
          <cell r="B55" t="str">
            <v>3.3 )</v>
          </cell>
        </row>
        <row r="56">
          <cell r="B56" t="str">
            <v>3.4 )</v>
          </cell>
        </row>
        <row r="57">
          <cell r="B57" t="str">
            <v>3.5 )</v>
          </cell>
        </row>
        <row r="58">
          <cell r="B58" t="str">
            <v>3.6 )</v>
          </cell>
        </row>
        <row r="59">
          <cell r="B59" t="str">
            <v>3.7 )</v>
          </cell>
        </row>
        <row r="60">
          <cell r="B60" t="str">
            <v>3.8 )</v>
          </cell>
        </row>
        <row r="61">
          <cell r="B61" t="str">
            <v>3.9 )</v>
          </cell>
        </row>
        <row r="62">
          <cell r="B62" t="str">
            <v>3.10 )</v>
          </cell>
        </row>
        <row r="63">
          <cell r="B63" t="str">
            <v>3.11 )</v>
          </cell>
        </row>
        <row r="64">
          <cell r="B64" t="str">
            <v>3.12 )</v>
          </cell>
        </row>
        <row r="65">
          <cell r="B65" t="str">
            <v>3.13 )</v>
          </cell>
        </row>
        <row r="66">
          <cell r="B66" t="str">
            <v>3.14 )</v>
          </cell>
        </row>
        <row r="67">
          <cell r="B67" t="str">
            <v>3.15 )</v>
          </cell>
        </row>
        <row r="68">
          <cell r="B68" t="str">
            <v>3.16 )</v>
          </cell>
        </row>
        <row r="69">
          <cell r="B69" t="str">
            <v>3.17 )</v>
          </cell>
        </row>
        <row r="70">
          <cell r="B70" t="str">
            <v>3.18 )</v>
          </cell>
        </row>
        <row r="71">
          <cell r="B71" t="str">
            <v>3.19 )</v>
          </cell>
        </row>
        <row r="72">
          <cell r="B72" t="str">
            <v>3.20 )</v>
          </cell>
        </row>
        <row r="73">
          <cell r="B73" t="str">
            <v>4.0 )</v>
          </cell>
        </row>
        <row r="74">
          <cell r="B74" t="str">
            <v>4.1 )</v>
          </cell>
        </row>
        <row r="75">
          <cell r="B75" t="str">
            <v>4.2 )</v>
          </cell>
        </row>
        <row r="76">
          <cell r="B76" t="str">
            <v>4.3 )</v>
          </cell>
        </row>
        <row r="77">
          <cell r="B77" t="str">
            <v>4.4 )</v>
          </cell>
        </row>
        <row r="78">
          <cell r="B78" t="str">
            <v>4.5 )</v>
          </cell>
        </row>
        <row r="79">
          <cell r="B79" t="str">
            <v>4.6 )</v>
          </cell>
        </row>
        <row r="80">
          <cell r="B80" t="str">
            <v>4.7 )</v>
          </cell>
        </row>
        <row r="81">
          <cell r="B81" t="str">
            <v>4.8 )</v>
          </cell>
        </row>
        <row r="82">
          <cell r="B82" t="str">
            <v>4.9 )</v>
          </cell>
        </row>
        <row r="83">
          <cell r="B83" t="str">
            <v>4.10 )</v>
          </cell>
        </row>
        <row r="84">
          <cell r="B84" t="str">
            <v>4.11 )</v>
          </cell>
        </row>
        <row r="85">
          <cell r="B85" t="str">
            <v>4.12 )</v>
          </cell>
        </row>
        <row r="86">
          <cell r="B86" t="str">
            <v>4.13 )</v>
          </cell>
        </row>
        <row r="87">
          <cell r="B87" t="str">
            <v>4.14 )</v>
          </cell>
        </row>
        <row r="88">
          <cell r="B88" t="str">
            <v>4.15 )</v>
          </cell>
        </row>
        <row r="89">
          <cell r="B89" t="str">
            <v>4.16 )</v>
          </cell>
        </row>
        <row r="90">
          <cell r="B90" t="str">
            <v>4.17 )</v>
          </cell>
        </row>
        <row r="91">
          <cell r="B91" t="str">
            <v>4.18 )</v>
          </cell>
        </row>
        <row r="92">
          <cell r="B92" t="str">
            <v>4.19 )</v>
          </cell>
        </row>
        <row r="93">
          <cell r="B93" t="str">
            <v>4.20 )</v>
          </cell>
        </row>
        <row r="94">
          <cell r="B94" t="str">
            <v>5.0 )</v>
          </cell>
        </row>
        <row r="95">
          <cell r="B95" t="str">
            <v>5.1 )</v>
          </cell>
        </row>
        <row r="96">
          <cell r="B96" t="str">
            <v>5.2 )</v>
          </cell>
        </row>
        <row r="97">
          <cell r="B97" t="str">
            <v>5.3 )</v>
          </cell>
        </row>
        <row r="98">
          <cell r="B98" t="str">
            <v>5.4 )</v>
          </cell>
        </row>
        <row r="99">
          <cell r="B99" t="str">
            <v>5.5 )</v>
          </cell>
        </row>
        <row r="100">
          <cell r="B100" t="str">
            <v>5.6 )</v>
          </cell>
        </row>
        <row r="101">
          <cell r="B101" t="str">
            <v>5.7 )</v>
          </cell>
        </row>
        <row r="102">
          <cell r="B102" t="str">
            <v>5.8 )</v>
          </cell>
        </row>
        <row r="103">
          <cell r="B103" t="str">
            <v>5.9 )</v>
          </cell>
        </row>
        <row r="104">
          <cell r="B104" t="str">
            <v>5.10 )</v>
          </cell>
        </row>
        <row r="105">
          <cell r="B105" t="str">
            <v>5.11 )</v>
          </cell>
        </row>
        <row r="106">
          <cell r="B106" t="str">
            <v>5.12 )</v>
          </cell>
        </row>
        <row r="107">
          <cell r="B107" t="str">
            <v>5.13 )</v>
          </cell>
        </row>
        <row r="108">
          <cell r="B108" t="str">
            <v>5.14 )</v>
          </cell>
        </row>
        <row r="109">
          <cell r="B109" t="str">
            <v>5.15 )</v>
          </cell>
        </row>
        <row r="110">
          <cell r="B110" t="str">
            <v>5.16 )</v>
          </cell>
        </row>
        <row r="111">
          <cell r="B111" t="str">
            <v>5.17 )</v>
          </cell>
        </row>
        <row r="112">
          <cell r="B112" t="str">
            <v>5.18 )</v>
          </cell>
        </row>
        <row r="113">
          <cell r="B113" t="str">
            <v>5.19 )</v>
          </cell>
        </row>
        <row r="114">
          <cell r="B114" t="str">
            <v>5.20 )</v>
          </cell>
        </row>
        <row r="115">
          <cell r="B115" t="str">
            <v>6.0 )</v>
          </cell>
        </row>
        <row r="116">
          <cell r="B116" t="str">
            <v>6.1 )</v>
          </cell>
        </row>
        <row r="117">
          <cell r="B117" t="str">
            <v>6.2 )</v>
          </cell>
        </row>
        <row r="118">
          <cell r="B118" t="str">
            <v>6.3 )</v>
          </cell>
        </row>
        <row r="119">
          <cell r="B119" t="str">
            <v>6.4 )</v>
          </cell>
        </row>
        <row r="120">
          <cell r="B120" t="str">
            <v>6.5 )</v>
          </cell>
        </row>
        <row r="121">
          <cell r="B121" t="str">
            <v>6.6 )</v>
          </cell>
        </row>
        <row r="122">
          <cell r="B122" t="str">
            <v>6.7 )</v>
          </cell>
        </row>
        <row r="123">
          <cell r="B123" t="str">
            <v>6.8 )</v>
          </cell>
        </row>
        <row r="124">
          <cell r="B124" t="str">
            <v>6.9 )</v>
          </cell>
        </row>
        <row r="125">
          <cell r="B125" t="str">
            <v>6.10 )</v>
          </cell>
        </row>
        <row r="126">
          <cell r="B126" t="str">
            <v>6.11 )</v>
          </cell>
        </row>
        <row r="127">
          <cell r="B127" t="str">
            <v>6.12 )</v>
          </cell>
        </row>
        <row r="128">
          <cell r="B128" t="str">
            <v>6.13 )</v>
          </cell>
        </row>
        <row r="129">
          <cell r="B129" t="str">
            <v>6.14 )</v>
          </cell>
        </row>
        <row r="130">
          <cell r="B130" t="str">
            <v>6.15 )</v>
          </cell>
        </row>
        <row r="131">
          <cell r="B131" t="str">
            <v>6.16 )</v>
          </cell>
        </row>
        <row r="132">
          <cell r="B132" t="str">
            <v>6.17 )</v>
          </cell>
        </row>
        <row r="133">
          <cell r="B133" t="str">
            <v>6.18 )</v>
          </cell>
        </row>
        <row r="134">
          <cell r="B134" t="str">
            <v>6.19 )</v>
          </cell>
        </row>
        <row r="135">
          <cell r="B135" t="str">
            <v>6.20 )</v>
          </cell>
        </row>
        <row r="136">
          <cell r="B136" t="str">
            <v>7.0 )</v>
          </cell>
        </row>
        <row r="137">
          <cell r="B137" t="str">
            <v>7.1 )</v>
          </cell>
        </row>
        <row r="138">
          <cell r="B138" t="str">
            <v>7.2 )</v>
          </cell>
        </row>
        <row r="139">
          <cell r="B139" t="str">
            <v>7.3 )</v>
          </cell>
        </row>
        <row r="140">
          <cell r="B140" t="str">
            <v>7.4 )</v>
          </cell>
        </row>
        <row r="141">
          <cell r="B141" t="str">
            <v>7.5 )</v>
          </cell>
        </row>
        <row r="142">
          <cell r="B142" t="str">
            <v>7.6 )</v>
          </cell>
        </row>
        <row r="143">
          <cell r="B143" t="str">
            <v>7.7 )</v>
          </cell>
        </row>
        <row r="144">
          <cell r="B144" t="str">
            <v>7.8 )</v>
          </cell>
        </row>
        <row r="145">
          <cell r="B145" t="str">
            <v>7.9 )</v>
          </cell>
        </row>
        <row r="146">
          <cell r="B146" t="str">
            <v>7.10 )</v>
          </cell>
        </row>
        <row r="147">
          <cell r="B147" t="str">
            <v>7.11 )</v>
          </cell>
        </row>
        <row r="148">
          <cell r="B148" t="str">
            <v>7.12 )</v>
          </cell>
        </row>
        <row r="149">
          <cell r="B149" t="str">
            <v>7.13 )</v>
          </cell>
        </row>
        <row r="150">
          <cell r="B150" t="str">
            <v>7.14 )</v>
          </cell>
        </row>
        <row r="151">
          <cell r="B151" t="str">
            <v>7.15 )</v>
          </cell>
        </row>
        <row r="152">
          <cell r="B152" t="str">
            <v>7.16 )</v>
          </cell>
        </row>
        <row r="153">
          <cell r="B153" t="str">
            <v>7.17 )</v>
          </cell>
        </row>
        <row r="154">
          <cell r="B154" t="str">
            <v>7.18 )</v>
          </cell>
        </row>
        <row r="155">
          <cell r="B155" t="str">
            <v>7.19 )</v>
          </cell>
        </row>
        <row r="156">
          <cell r="B156" t="str">
            <v>7.20 )</v>
          </cell>
        </row>
        <row r="157">
          <cell r="B157" t="str">
            <v>8.0 )</v>
          </cell>
        </row>
        <row r="158">
          <cell r="B158" t="str">
            <v>8.1 )</v>
          </cell>
        </row>
        <row r="159">
          <cell r="B159" t="str">
            <v>8.2 )</v>
          </cell>
        </row>
        <row r="160">
          <cell r="B160" t="str">
            <v>8.3 )</v>
          </cell>
        </row>
        <row r="161">
          <cell r="B161" t="str">
            <v>8.4 )</v>
          </cell>
        </row>
        <row r="162">
          <cell r="B162" t="str">
            <v>8.5 )</v>
          </cell>
        </row>
        <row r="163">
          <cell r="B163" t="str">
            <v>8.6 )</v>
          </cell>
        </row>
        <row r="164">
          <cell r="B164" t="str">
            <v>8.7 )</v>
          </cell>
        </row>
        <row r="165">
          <cell r="B165" t="str">
            <v>8.8 )</v>
          </cell>
        </row>
        <row r="166">
          <cell r="B166" t="str">
            <v>8.9 )</v>
          </cell>
        </row>
        <row r="167">
          <cell r="B167" t="str">
            <v>8.10 )</v>
          </cell>
        </row>
        <row r="168">
          <cell r="B168" t="str">
            <v>8.11 )</v>
          </cell>
        </row>
        <row r="169">
          <cell r="B169" t="str">
            <v>8.12 )</v>
          </cell>
        </row>
        <row r="170">
          <cell r="B170" t="str">
            <v>8.13 )</v>
          </cell>
        </row>
        <row r="171">
          <cell r="B171" t="str">
            <v>8.14 )</v>
          </cell>
        </row>
        <row r="172">
          <cell r="B172" t="str">
            <v>8.15 )</v>
          </cell>
        </row>
        <row r="173">
          <cell r="B173" t="str">
            <v>8.16 )</v>
          </cell>
        </row>
        <row r="174">
          <cell r="B174" t="str">
            <v>8.17 )</v>
          </cell>
        </row>
        <row r="175">
          <cell r="B175" t="str">
            <v>8.18 )</v>
          </cell>
        </row>
        <row r="176">
          <cell r="B176" t="str">
            <v>8.19 )</v>
          </cell>
        </row>
        <row r="177">
          <cell r="B177" t="str">
            <v>8.20 )</v>
          </cell>
        </row>
        <row r="178">
          <cell r="B178" t="str">
            <v>9.0 )</v>
          </cell>
        </row>
        <row r="179">
          <cell r="B179" t="str">
            <v>9.1 )</v>
          </cell>
        </row>
        <row r="180">
          <cell r="B180" t="str">
            <v>9.2 )</v>
          </cell>
        </row>
        <row r="181">
          <cell r="B181" t="str">
            <v>9.3 )</v>
          </cell>
        </row>
        <row r="182">
          <cell r="B182" t="str">
            <v>9.4 )</v>
          </cell>
        </row>
        <row r="183">
          <cell r="B183" t="str">
            <v>9.5 )</v>
          </cell>
        </row>
        <row r="184">
          <cell r="B184" t="str">
            <v>9.6 )</v>
          </cell>
        </row>
        <row r="185">
          <cell r="B185" t="str">
            <v>9.7 )</v>
          </cell>
        </row>
        <row r="186">
          <cell r="B186" t="str">
            <v>9.8 )</v>
          </cell>
        </row>
        <row r="187">
          <cell r="B187" t="str">
            <v>9.9 )</v>
          </cell>
        </row>
        <row r="188">
          <cell r="B188" t="str">
            <v>9.10 )</v>
          </cell>
        </row>
        <row r="189">
          <cell r="B189" t="str">
            <v>9.11 )</v>
          </cell>
        </row>
        <row r="190">
          <cell r="B190" t="str">
            <v>9.12 )</v>
          </cell>
        </row>
        <row r="191">
          <cell r="B191" t="str">
            <v>9.13 )</v>
          </cell>
        </row>
        <row r="192">
          <cell r="B192" t="str">
            <v>9.14 )</v>
          </cell>
        </row>
        <row r="193">
          <cell r="B193" t="str">
            <v>9.15 )</v>
          </cell>
        </row>
        <row r="194">
          <cell r="B194" t="str">
            <v>9.16 )</v>
          </cell>
        </row>
        <row r="195">
          <cell r="B195" t="str">
            <v>9.17 )</v>
          </cell>
        </row>
        <row r="196">
          <cell r="B196" t="str">
            <v>9.18 )</v>
          </cell>
        </row>
        <row r="197">
          <cell r="B197" t="str">
            <v>9.19 )</v>
          </cell>
        </row>
        <row r="198">
          <cell r="B198" t="str">
            <v>9.20 )</v>
          </cell>
        </row>
        <row r="199">
          <cell r="B199" t="str">
            <v>10.0 )</v>
          </cell>
        </row>
        <row r="200">
          <cell r="B200" t="str">
            <v>10.1 )</v>
          </cell>
        </row>
        <row r="201">
          <cell r="B201" t="str">
            <v>10.2 )</v>
          </cell>
        </row>
        <row r="202">
          <cell r="B202" t="str">
            <v>10.3 )</v>
          </cell>
        </row>
        <row r="203">
          <cell r="B203" t="str">
            <v>10.4 )</v>
          </cell>
        </row>
        <row r="204">
          <cell r="B204" t="str">
            <v>10.5 )</v>
          </cell>
        </row>
        <row r="205">
          <cell r="B205" t="str">
            <v>10.6 )</v>
          </cell>
        </row>
        <row r="206">
          <cell r="B206" t="str">
            <v>10.7 )</v>
          </cell>
        </row>
        <row r="207">
          <cell r="B207" t="str">
            <v>10.8 )</v>
          </cell>
        </row>
        <row r="208">
          <cell r="B208" t="str">
            <v>10.9 )</v>
          </cell>
        </row>
        <row r="209">
          <cell r="B209" t="str">
            <v>10.10 )</v>
          </cell>
        </row>
        <row r="210">
          <cell r="B210" t="str">
            <v>10.11 )</v>
          </cell>
        </row>
        <row r="211">
          <cell r="B211" t="str">
            <v>10.12 )</v>
          </cell>
        </row>
        <row r="212">
          <cell r="B212" t="str">
            <v>10.13 )</v>
          </cell>
        </row>
        <row r="213">
          <cell r="B213" t="str">
            <v>10.14 )</v>
          </cell>
        </row>
        <row r="214">
          <cell r="B214" t="str">
            <v>10.15 )</v>
          </cell>
        </row>
        <row r="215">
          <cell r="B215" t="str">
            <v>10.16 )</v>
          </cell>
        </row>
        <row r="216">
          <cell r="B216" t="str">
            <v>10.17 )</v>
          </cell>
        </row>
        <row r="217">
          <cell r="B217" t="str">
            <v>10.18 )</v>
          </cell>
        </row>
        <row r="218">
          <cell r="B218" t="str">
            <v>10.19 )</v>
          </cell>
        </row>
        <row r="219">
          <cell r="B219" t="str">
            <v>10.20 )</v>
          </cell>
        </row>
        <row r="220">
          <cell r="B220" t="str">
            <v>11.0 )</v>
          </cell>
        </row>
        <row r="221">
          <cell r="B221" t="str">
            <v>11.1 )</v>
          </cell>
        </row>
        <row r="222">
          <cell r="B222" t="str">
            <v>11.2 )</v>
          </cell>
        </row>
        <row r="223">
          <cell r="B223" t="str">
            <v>11.3 )</v>
          </cell>
        </row>
        <row r="224">
          <cell r="B224" t="str">
            <v>11.4 )</v>
          </cell>
        </row>
        <row r="225">
          <cell r="B225" t="str">
            <v>11.5 )</v>
          </cell>
        </row>
        <row r="226">
          <cell r="B226" t="str">
            <v>11.6 )</v>
          </cell>
        </row>
        <row r="227">
          <cell r="B227" t="str">
            <v>11.7 )</v>
          </cell>
        </row>
        <row r="228">
          <cell r="B228" t="str">
            <v>11.8 )</v>
          </cell>
        </row>
        <row r="229">
          <cell r="B229" t="str">
            <v>11.9 )</v>
          </cell>
        </row>
        <row r="230">
          <cell r="B230" t="str">
            <v>11.10 )</v>
          </cell>
        </row>
        <row r="231">
          <cell r="B231" t="str">
            <v>11.11 )</v>
          </cell>
        </row>
        <row r="232">
          <cell r="B232" t="str">
            <v>11.12 )</v>
          </cell>
        </row>
        <row r="233">
          <cell r="B233" t="str">
            <v>11.13 )</v>
          </cell>
        </row>
        <row r="234">
          <cell r="B234" t="str">
            <v>11.14 )</v>
          </cell>
        </row>
        <row r="235">
          <cell r="B235" t="str">
            <v>11.15 )</v>
          </cell>
        </row>
        <row r="236">
          <cell r="B236" t="str">
            <v>11.16 )</v>
          </cell>
        </row>
        <row r="237">
          <cell r="B237" t="str">
            <v>11.17 )</v>
          </cell>
        </row>
        <row r="238">
          <cell r="B238" t="str">
            <v>11.18 )</v>
          </cell>
        </row>
        <row r="239">
          <cell r="B239" t="str">
            <v>11.19 )</v>
          </cell>
        </row>
        <row r="240">
          <cell r="B240" t="str">
            <v>11.20 )</v>
          </cell>
        </row>
        <row r="241">
          <cell r="B241" t="str">
            <v>12.0 )</v>
          </cell>
        </row>
        <row r="242">
          <cell r="B242" t="str">
            <v>12.1 )</v>
          </cell>
        </row>
        <row r="243">
          <cell r="B243" t="str">
            <v>12.2 )</v>
          </cell>
        </row>
        <row r="244">
          <cell r="B244" t="str">
            <v>12.3 )</v>
          </cell>
        </row>
        <row r="245">
          <cell r="B245" t="str">
            <v>12.4 )</v>
          </cell>
        </row>
        <row r="246">
          <cell r="B246" t="str">
            <v>12.5 )</v>
          </cell>
        </row>
        <row r="247">
          <cell r="B247" t="str">
            <v>12.6 )</v>
          </cell>
        </row>
        <row r="248">
          <cell r="B248" t="str">
            <v>12.7 )</v>
          </cell>
        </row>
        <row r="249">
          <cell r="B249" t="str">
            <v>12.8 )</v>
          </cell>
        </row>
        <row r="250">
          <cell r="B250" t="str">
            <v>12.9 )</v>
          </cell>
        </row>
        <row r="251">
          <cell r="B251" t="str">
            <v>12.10 )</v>
          </cell>
        </row>
        <row r="252">
          <cell r="B252" t="str">
            <v>12.11 )</v>
          </cell>
        </row>
        <row r="253">
          <cell r="B253" t="str">
            <v>12.12 )</v>
          </cell>
        </row>
        <row r="254">
          <cell r="B254" t="str">
            <v>12.13 )</v>
          </cell>
        </row>
        <row r="255">
          <cell r="B255" t="str">
            <v>12.14 )</v>
          </cell>
        </row>
        <row r="256">
          <cell r="B256" t="str">
            <v>12.15 )</v>
          </cell>
        </row>
        <row r="257">
          <cell r="B257" t="str">
            <v>12.16 )</v>
          </cell>
        </row>
        <row r="258">
          <cell r="B258" t="str">
            <v>12.17 )</v>
          </cell>
        </row>
        <row r="259">
          <cell r="B259" t="str">
            <v>12.18 )</v>
          </cell>
        </row>
        <row r="260">
          <cell r="B260" t="str">
            <v>12.19 )</v>
          </cell>
        </row>
        <row r="261">
          <cell r="B261" t="str">
            <v>12.20 )</v>
          </cell>
        </row>
        <row r="262">
          <cell r="B262" t="str">
            <v>13.0 )</v>
          </cell>
        </row>
        <row r="263">
          <cell r="B263" t="str">
            <v>13.1 )</v>
          </cell>
        </row>
        <row r="264">
          <cell r="B264" t="str">
            <v>13.2 )</v>
          </cell>
        </row>
        <row r="265">
          <cell r="B265" t="str">
            <v>13.3 )</v>
          </cell>
        </row>
        <row r="266">
          <cell r="B266" t="str">
            <v>13.4 )</v>
          </cell>
        </row>
        <row r="267">
          <cell r="B267" t="str">
            <v>13.5 )</v>
          </cell>
        </row>
        <row r="268">
          <cell r="B268" t="str">
            <v>13.6 )</v>
          </cell>
        </row>
        <row r="269">
          <cell r="B269" t="str">
            <v>13.7 )</v>
          </cell>
        </row>
        <row r="270">
          <cell r="B270" t="str">
            <v>13.8 )</v>
          </cell>
        </row>
        <row r="271">
          <cell r="B271" t="str">
            <v>13.9 )</v>
          </cell>
        </row>
        <row r="272">
          <cell r="B272" t="str">
            <v>13.10 )</v>
          </cell>
        </row>
        <row r="273">
          <cell r="B273" t="str">
            <v>13.11 )</v>
          </cell>
        </row>
        <row r="274">
          <cell r="B274" t="str">
            <v>13.12 )</v>
          </cell>
        </row>
        <row r="275">
          <cell r="B275" t="str">
            <v>13.13 )</v>
          </cell>
        </row>
        <row r="276">
          <cell r="B276" t="str">
            <v>13.14 )</v>
          </cell>
        </row>
        <row r="277">
          <cell r="B277" t="str">
            <v>13.15 )</v>
          </cell>
        </row>
        <row r="278">
          <cell r="B278" t="str">
            <v>13.16 )</v>
          </cell>
        </row>
        <row r="279">
          <cell r="B279" t="str">
            <v>13.17 )</v>
          </cell>
        </row>
        <row r="280">
          <cell r="B280" t="str">
            <v>13.18 )</v>
          </cell>
        </row>
        <row r="281">
          <cell r="B281" t="str">
            <v>13.19 )</v>
          </cell>
        </row>
        <row r="282">
          <cell r="B282" t="str">
            <v>13.20 )</v>
          </cell>
        </row>
        <row r="283">
          <cell r="B283" t="str">
            <v>14.0 )</v>
          </cell>
        </row>
        <row r="284">
          <cell r="B284" t="str">
            <v>14.1 )</v>
          </cell>
        </row>
        <row r="285">
          <cell r="B285" t="str">
            <v>14.2 )</v>
          </cell>
        </row>
        <row r="286">
          <cell r="B286" t="str">
            <v>14.3 )</v>
          </cell>
        </row>
        <row r="287">
          <cell r="B287" t="str">
            <v>14.4 )</v>
          </cell>
        </row>
        <row r="288">
          <cell r="B288" t="str">
            <v>14.5 )</v>
          </cell>
        </row>
        <row r="289">
          <cell r="B289" t="str">
            <v>14.6 )</v>
          </cell>
        </row>
        <row r="290">
          <cell r="B290" t="str">
            <v>14.7 )</v>
          </cell>
        </row>
        <row r="291">
          <cell r="B291" t="str">
            <v>14.8 )</v>
          </cell>
        </row>
        <row r="292">
          <cell r="B292" t="str">
            <v>14.9 )</v>
          </cell>
        </row>
        <row r="293">
          <cell r="B293" t="str">
            <v>14.10 )</v>
          </cell>
        </row>
        <row r="294">
          <cell r="B294" t="str">
            <v>14.11 )</v>
          </cell>
        </row>
        <row r="295">
          <cell r="B295" t="str">
            <v>14.12 )</v>
          </cell>
        </row>
        <row r="296">
          <cell r="B296" t="str">
            <v>14.13 )</v>
          </cell>
        </row>
        <row r="297">
          <cell r="B297" t="str">
            <v>14.14 )</v>
          </cell>
        </row>
        <row r="298">
          <cell r="B298" t="str">
            <v>14.15 )</v>
          </cell>
        </row>
        <row r="299">
          <cell r="B299" t="str">
            <v>14.16 )</v>
          </cell>
        </row>
        <row r="300">
          <cell r="B300" t="str">
            <v>14.17 )</v>
          </cell>
        </row>
        <row r="301">
          <cell r="B301" t="str">
            <v>14.18 )</v>
          </cell>
        </row>
        <row r="302">
          <cell r="B302" t="str">
            <v>14.19 )</v>
          </cell>
        </row>
        <row r="303">
          <cell r="B303" t="str">
            <v>14.20 )</v>
          </cell>
        </row>
        <row r="304">
          <cell r="B304" t="str">
            <v>15.0 )</v>
          </cell>
        </row>
        <row r="305">
          <cell r="B305" t="str">
            <v>15.1 )</v>
          </cell>
        </row>
        <row r="306">
          <cell r="B306" t="str">
            <v>15.2 )</v>
          </cell>
        </row>
        <row r="307">
          <cell r="B307" t="str">
            <v>15.3 )</v>
          </cell>
        </row>
        <row r="308">
          <cell r="B308" t="str">
            <v>15.4 )</v>
          </cell>
        </row>
        <row r="309">
          <cell r="B309" t="str">
            <v>15.5 )</v>
          </cell>
        </row>
        <row r="310">
          <cell r="B310" t="str">
            <v>15.6 )</v>
          </cell>
        </row>
        <row r="311">
          <cell r="B311" t="str">
            <v>15.7 )</v>
          </cell>
        </row>
        <row r="312">
          <cell r="B312" t="str">
            <v>15.8 )</v>
          </cell>
        </row>
        <row r="313">
          <cell r="B313" t="str">
            <v>15.9 )</v>
          </cell>
        </row>
        <row r="314">
          <cell r="B314" t="str">
            <v>15.10 )</v>
          </cell>
        </row>
        <row r="315">
          <cell r="B315" t="str">
            <v>15.11 )</v>
          </cell>
        </row>
        <row r="316">
          <cell r="B316" t="str">
            <v>15.12 )</v>
          </cell>
        </row>
        <row r="317">
          <cell r="B317" t="str">
            <v>15.13 )</v>
          </cell>
        </row>
        <row r="318">
          <cell r="B318" t="str">
            <v>15.14 )</v>
          </cell>
        </row>
        <row r="319">
          <cell r="B319" t="str">
            <v>15.15 )</v>
          </cell>
        </row>
        <row r="320">
          <cell r="B320" t="str">
            <v>15.16 )</v>
          </cell>
        </row>
        <row r="321">
          <cell r="B321" t="str">
            <v>15.17 )</v>
          </cell>
        </row>
        <row r="322">
          <cell r="B322" t="str">
            <v>15.18 )</v>
          </cell>
        </row>
        <row r="323">
          <cell r="B323" t="str">
            <v>15.19 )</v>
          </cell>
        </row>
        <row r="324">
          <cell r="B324" t="str">
            <v>15.20 )</v>
          </cell>
        </row>
        <row r="325">
          <cell r="B325" t="str">
            <v>16.0 )</v>
          </cell>
        </row>
        <row r="326">
          <cell r="B326" t="str">
            <v>16.1 )</v>
          </cell>
        </row>
        <row r="327">
          <cell r="B327" t="str">
            <v>16.2 )</v>
          </cell>
        </row>
        <row r="328">
          <cell r="B328" t="str">
            <v>16.3 )</v>
          </cell>
        </row>
        <row r="329">
          <cell r="B329" t="str">
            <v>16.4 )</v>
          </cell>
        </row>
        <row r="330">
          <cell r="B330" t="str">
            <v>16.5 )</v>
          </cell>
        </row>
        <row r="331">
          <cell r="B331" t="str">
            <v>16.6 )</v>
          </cell>
        </row>
        <row r="332">
          <cell r="B332" t="str">
            <v>16.7 )</v>
          </cell>
        </row>
        <row r="333">
          <cell r="B333" t="str">
            <v>16.8 )</v>
          </cell>
        </row>
        <row r="334">
          <cell r="B334" t="str">
            <v>16.9 )</v>
          </cell>
        </row>
        <row r="335">
          <cell r="B335" t="str">
            <v>16.10 )</v>
          </cell>
        </row>
        <row r="336">
          <cell r="B336" t="str">
            <v>16.11 )</v>
          </cell>
        </row>
        <row r="337">
          <cell r="B337" t="str">
            <v>16.12 )</v>
          </cell>
        </row>
        <row r="338">
          <cell r="B338" t="str">
            <v>16.13 )</v>
          </cell>
        </row>
        <row r="339">
          <cell r="B339" t="str">
            <v>16.14 )</v>
          </cell>
        </row>
        <row r="340">
          <cell r="B340" t="str">
            <v>16.15 )</v>
          </cell>
        </row>
        <row r="341">
          <cell r="B341" t="str">
            <v>16.16 )</v>
          </cell>
        </row>
        <row r="342">
          <cell r="B342" t="str">
            <v>16.17 )</v>
          </cell>
        </row>
        <row r="343">
          <cell r="B343" t="str">
            <v>16.18 )</v>
          </cell>
        </row>
        <row r="344">
          <cell r="B344" t="str">
            <v>16.19 )</v>
          </cell>
        </row>
        <row r="345">
          <cell r="B345" t="str">
            <v>16.20 )</v>
          </cell>
        </row>
        <row r="346">
          <cell r="B346" t="str">
            <v>17.0 )</v>
          </cell>
        </row>
        <row r="347">
          <cell r="B347" t="str">
            <v>17.1 )</v>
          </cell>
        </row>
        <row r="348">
          <cell r="B348" t="str">
            <v>17.2 )</v>
          </cell>
        </row>
        <row r="349">
          <cell r="B349" t="str">
            <v>17.3 )</v>
          </cell>
        </row>
        <row r="350">
          <cell r="B350" t="str">
            <v>17.4 )</v>
          </cell>
        </row>
        <row r="351">
          <cell r="B351" t="str">
            <v>17.5 )</v>
          </cell>
        </row>
        <row r="352">
          <cell r="B352" t="str">
            <v>17.6 )</v>
          </cell>
        </row>
        <row r="353">
          <cell r="B353" t="str">
            <v>17.7 )</v>
          </cell>
        </row>
        <row r="354">
          <cell r="B354" t="str">
            <v>17.8 )</v>
          </cell>
        </row>
        <row r="355">
          <cell r="B355" t="str">
            <v>17.9 )</v>
          </cell>
        </row>
        <row r="356">
          <cell r="B356" t="str">
            <v>17.10 )</v>
          </cell>
        </row>
        <row r="357">
          <cell r="B357" t="str">
            <v>17.11 )</v>
          </cell>
        </row>
        <row r="358">
          <cell r="B358" t="str">
            <v>17.12 )</v>
          </cell>
        </row>
        <row r="359">
          <cell r="B359" t="str">
            <v>17.13 )</v>
          </cell>
        </row>
        <row r="360">
          <cell r="B360" t="str">
            <v>17.14 )</v>
          </cell>
        </row>
        <row r="361">
          <cell r="B361" t="str">
            <v>17.15 )</v>
          </cell>
        </row>
        <row r="362">
          <cell r="B362" t="str">
            <v>17.16 )</v>
          </cell>
        </row>
        <row r="363">
          <cell r="B363" t="str">
            <v>17.17 )</v>
          </cell>
        </row>
        <row r="364">
          <cell r="B364" t="str">
            <v>17.18 )</v>
          </cell>
        </row>
        <row r="365">
          <cell r="B365" t="str">
            <v>17.19 )</v>
          </cell>
        </row>
        <row r="366">
          <cell r="B366" t="str">
            <v>17.20 )</v>
          </cell>
        </row>
        <row r="367">
          <cell r="B367" t="str">
            <v>18.0 )</v>
          </cell>
        </row>
        <row r="368">
          <cell r="B368" t="str">
            <v>18.1 )</v>
          </cell>
        </row>
        <row r="369">
          <cell r="B369" t="str">
            <v>18.2 )</v>
          </cell>
        </row>
        <row r="370">
          <cell r="B370" t="str">
            <v>18.3 )</v>
          </cell>
        </row>
        <row r="371">
          <cell r="B371" t="str">
            <v>18.4 )</v>
          </cell>
        </row>
        <row r="372">
          <cell r="B372" t="str">
            <v>18.5 )</v>
          </cell>
        </row>
        <row r="373">
          <cell r="B373" t="str">
            <v>18.6 )</v>
          </cell>
        </row>
        <row r="374">
          <cell r="B374" t="str">
            <v>18.7 )</v>
          </cell>
        </row>
        <row r="375">
          <cell r="B375" t="str">
            <v>18.8 )</v>
          </cell>
        </row>
        <row r="376">
          <cell r="B376" t="str">
            <v>18.9 )</v>
          </cell>
        </row>
        <row r="377">
          <cell r="B377" t="str">
            <v>18.10 )</v>
          </cell>
        </row>
        <row r="378">
          <cell r="B378" t="str">
            <v>18.11 )</v>
          </cell>
        </row>
        <row r="379">
          <cell r="B379" t="str">
            <v>18.12 )</v>
          </cell>
        </row>
        <row r="380">
          <cell r="B380" t="str">
            <v>18.13 )</v>
          </cell>
        </row>
        <row r="381">
          <cell r="B381" t="str">
            <v>18.14 )</v>
          </cell>
        </row>
        <row r="382">
          <cell r="B382" t="str">
            <v>18.15 )</v>
          </cell>
        </row>
        <row r="383">
          <cell r="B383" t="str">
            <v>18.16 )</v>
          </cell>
        </row>
        <row r="384">
          <cell r="B384" t="str">
            <v>18.17 )</v>
          </cell>
        </row>
        <row r="385">
          <cell r="B385" t="str">
            <v>18.18 )</v>
          </cell>
        </row>
        <row r="386">
          <cell r="B386" t="str">
            <v>18.19 )</v>
          </cell>
        </row>
        <row r="387">
          <cell r="B387" t="str">
            <v>18.20 )</v>
          </cell>
        </row>
        <row r="388">
          <cell r="B388" t="str">
            <v>19.0 )</v>
          </cell>
        </row>
        <row r="389">
          <cell r="B389" t="str">
            <v>19.1 )</v>
          </cell>
        </row>
        <row r="390">
          <cell r="B390" t="str">
            <v>19.2 )</v>
          </cell>
        </row>
        <row r="391">
          <cell r="B391" t="str">
            <v>19.3 )</v>
          </cell>
        </row>
        <row r="392">
          <cell r="B392" t="str">
            <v>19.4 )</v>
          </cell>
        </row>
        <row r="393">
          <cell r="B393" t="str">
            <v>19.5 )</v>
          </cell>
        </row>
        <row r="394">
          <cell r="B394" t="str">
            <v>19.6 )</v>
          </cell>
        </row>
        <row r="395">
          <cell r="B395" t="str">
            <v>19.7 )</v>
          </cell>
        </row>
        <row r="396">
          <cell r="B396" t="str">
            <v>19.8 )</v>
          </cell>
        </row>
        <row r="397">
          <cell r="B397" t="str">
            <v>19.9 )</v>
          </cell>
        </row>
        <row r="398">
          <cell r="B398" t="str">
            <v>19.10 )</v>
          </cell>
        </row>
        <row r="399">
          <cell r="B399" t="str">
            <v>19.11 )</v>
          </cell>
        </row>
        <row r="400">
          <cell r="B400" t="str">
            <v>19.12 )</v>
          </cell>
        </row>
        <row r="401">
          <cell r="B401" t="str">
            <v>19.13 )</v>
          </cell>
        </row>
        <row r="402">
          <cell r="B402" t="str">
            <v>19.14 )</v>
          </cell>
        </row>
        <row r="403">
          <cell r="B403" t="str">
            <v>19.15 )</v>
          </cell>
        </row>
        <row r="404">
          <cell r="B404" t="str">
            <v>19.16 )</v>
          </cell>
        </row>
        <row r="405">
          <cell r="B405" t="str">
            <v>19.17 )</v>
          </cell>
        </row>
        <row r="406">
          <cell r="B406" t="str">
            <v>19.18 )</v>
          </cell>
        </row>
        <row r="407">
          <cell r="B407" t="str">
            <v>19.19 )</v>
          </cell>
        </row>
        <row r="408">
          <cell r="B408" t="str">
            <v>19.20 )</v>
          </cell>
        </row>
        <row r="409">
          <cell r="B409" t="str">
            <v>20.0 )</v>
          </cell>
        </row>
        <row r="410">
          <cell r="B410" t="str">
            <v>20.1 )</v>
          </cell>
        </row>
        <row r="411">
          <cell r="B411" t="str">
            <v>20.2 )</v>
          </cell>
        </row>
        <row r="412">
          <cell r="B412" t="str">
            <v>20.3 )</v>
          </cell>
        </row>
        <row r="413">
          <cell r="B413" t="str">
            <v>20.4 )</v>
          </cell>
        </row>
        <row r="414">
          <cell r="B414" t="str">
            <v>20.5 )</v>
          </cell>
        </row>
        <row r="415">
          <cell r="B415" t="str">
            <v>20.6 )</v>
          </cell>
        </row>
        <row r="416">
          <cell r="B416" t="str">
            <v>20.7 )</v>
          </cell>
        </row>
        <row r="417">
          <cell r="B417" t="str">
            <v>20.8 )</v>
          </cell>
        </row>
        <row r="418">
          <cell r="B418" t="str">
            <v>20.9 )</v>
          </cell>
        </row>
        <row r="419">
          <cell r="B419" t="str">
            <v>20.10 )</v>
          </cell>
        </row>
        <row r="420">
          <cell r="B420" t="str">
            <v>20.11 )</v>
          </cell>
        </row>
        <row r="421">
          <cell r="B421" t="str">
            <v>20.12 )</v>
          </cell>
        </row>
        <row r="422">
          <cell r="B422" t="str">
            <v>20.13 )</v>
          </cell>
        </row>
        <row r="423">
          <cell r="B423" t="str">
            <v>20.14 )</v>
          </cell>
        </row>
        <row r="424">
          <cell r="B424" t="str">
            <v>20.15 )</v>
          </cell>
        </row>
        <row r="425">
          <cell r="B425" t="str">
            <v>20.16 )</v>
          </cell>
        </row>
        <row r="426">
          <cell r="B426" t="str">
            <v>20.17 )</v>
          </cell>
        </row>
        <row r="427">
          <cell r="B427" t="str">
            <v>20.18 )</v>
          </cell>
        </row>
        <row r="428">
          <cell r="B428" t="str">
            <v>20.19 )</v>
          </cell>
        </row>
        <row r="429">
          <cell r="B429" t="str">
            <v>20.20 )</v>
          </cell>
        </row>
        <row r="430">
          <cell r="B430" t="str">
            <v>&gt;=</v>
          </cell>
        </row>
        <row r="431">
          <cell r="B431" t="str">
            <v>&gt;</v>
          </cell>
        </row>
        <row r="432">
          <cell r="B432" t="str">
            <v>ee</v>
          </cell>
        </row>
        <row r="433">
          <cell r="B433" t="str">
            <v>rr</v>
          </cell>
        </row>
        <row r="434">
          <cell r="B434" t="str">
            <v>ss</v>
          </cell>
        </row>
        <row r="435">
          <cell r="B435" t="str">
            <v>&lt;</v>
          </cell>
        </row>
        <row r="436">
          <cell r="B436" t="str">
            <v>aa</v>
          </cell>
        </row>
      </sheetData>
      <sheetData sheetId="4" refreshError="1"/>
      <sheetData sheetId="5" refreshError="1">
        <row r="3">
          <cell r="B3" t="str">
            <v>Numbersnew1</v>
          </cell>
          <cell r="C3" t="str">
            <v>Numbersnew</v>
          </cell>
          <cell r="D3" t="str">
            <v>Numbersnew2</v>
          </cell>
          <cell r="E3" t="str">
            <v>Numbersnew3</v>
          </cell>
          <cell r="F3" t="str">
            <v>Numbersnew4</v>
          </cell>
        </row>
        <row r="4">
          <cell r="B4" t="str">
            <v>1.0 )</v>
          </cell>
          <cell r="C4" t="str">
            <v>1.0 )</v>
          </cell>
          <cell r="D4" t="str">
            <v>1.1.0 )</v>
          </cell>
          <cell r="E4" t="str">
            <v>2.1.0 )</v>
          </cell>
          <cell r="F4" t="str">
            <v>3.1.0 )</v>
          </cell>
        </row>
        <row r="5">
          <cell r="B5" t="str">
            <v>2.0 )</v>
          </cell>
          <cell r="C5" t="str">
            <v>1.1 )</v>
          </cell>
          <cell r="D5" t="str">
            <v>1.1.1 )</v>
          </cell>
          <cell r="E5" t="str">
            <v>2.1.1 )</v>
          </cell>
          <cell r="F5" t="str">
            <v>3.1.1 )</v>
          </cell>
        </row>
        <row r="6">
          <cell r="B6" t="str">
            <v>3.0 )</v>
          </cell>
          <cell r="C6" t="str">
            <v>1.2 )</v>
          </cell>
          <cell r="D6" t="str">
            <v>1.1.2 )</v>
          </cell>
          <cell r="E6" t="str">
            <v>2.1.2 )</v>
          </cell>
          <cell r="F6" t="str">
            <v>3.1.2 )</v>
          </cell>
        </row>
        <row r="7">
          <cell r="B7" t="str">
            <v>4.0 )</v>
          </cell>
          <cell r="C7" t="str">
            <v>1.3 )</v>
          </cell>
          <cell r="D7" t="str">
            <v>1.1.3 )</v>
          </cell>
          <cell r="E7" t="str">
            <v>2.1.3 )</v>
          </cell>
          <cell r="F7" t="str">
            <v>3.1.3 )</v>
          </cell>
        </row>
        <row r="8">
          <cell r="B8" t="str">
            <v>5.0 )</v>
          </cell>
          <cell r="C8" t="str">
            <v>1.4 )</v>
          </cell>
          <cell r="D8" t="str">
            <v>1.1.4 )</v>
          </cell>
          <cell r="E8" t="str">
            <v>2.1.4 )</v>
          </cell>
          <cell r="F8" t="str">
            <v>3.1.4 )</v>
          </cell>
        </row>
        <row r="9">
          <cell r="B9" t="str">
            <v>6.0 )</v>
          </cell>
          <cell r="C9" t="str">
            <v>1.5 )</v>
          </cell>
          <cell r="D9" t="str">
            <v>1.1.5 )</v>
          </cell>
          <cell r="E9" t="str">
            <v>2.1.5 )</v>
          </cell>
          <cell r="F9" t="str">
            <v>3.1.5 )</v>
          </cell>
        </row>
        <row r="10">
          <cell r="B10" t="str">
            <v>7.0 )</v>
          </cell>
          <cell r="C10" t="str">
            <v>1.6 )</v>
          </cell>
          <cell r="D10" t="str">
            <v>1.1.6 )</v>
          </cell>
          <cell r="E10" t="str">
            <v>2.1.6 )</v>
          </cell>
          <cell r="F10" t="str">
            <v>3.1.6 )</v>
          </cell>
        </row>
        <row r="11">
          <cell r="B11" t="str">
            <v>8.0 )</v>
          </cell>
          <cell r="C11" t="str">
            <v>1.7 )</v>
          </cell>
          <cell r="D11" t="str">
            <v>1.1.7 )</v>
          </cell>
          <cell r="E11" t="str">
            <v>2.1.7 )</v>
          </cell>
          <cell r="F11" t="str">
            <v>3.1.7 )</v>
          </cell>
        </row>
        <row r="12">
          <cell r="B12" t="str">
            <v>9.0 )</v>
          </cell>
          <cell r="C12" t="str">
            <v>1.8 )</v>
          </cell>
          <cell r="D12" t="str">
            <v>1.1.8 )</v>
          </cell>
          <cell r="E12" t="str">
            <v>2.1.8 )</v>
          </cell>
          <cell r="F12" t="str">
            <v>3.1.8 )</v>
          </cell>
        </row>
        <row r="13">
          <cell r="B13" t="str">
            <v>10.0 )</v>
          </cell>
          <cell r="C13" t="str">
            <v>1.9 )</v>
          </cell>
          <cell r="D13" t="str">
            <v>1.1.9 )</v>
          </cell>
          <cell r="E13" t="str">
            <v>2.1.9 )</v>
          </cell>
          <cell r="F13" t="str">
            <v>3.1.9 )</v>
          </cell>
        </row>
        <row r="14">
          <cell r="B14" t="str">
            <v>11.0 )</v>
          </cell>
          <cell r="C14" t="str">
            <v>1.10 )</v>
          </cell>
          <cell r="D14" t="str">
            <v>1.1.10 )</v>
          </cell>
          <cell r="E14" t="str">
            <v>2.1.10 )</v>
          </cell>
          <cell r="F14" t="str">
            <v>3.1.10 )</v>
          </cell>
        </row>
        <row r="15">
          <cell r="B15" t="str">
            <v>12.0 )</v>
          </cell>
          <cell r="C15" t="str">
            <v>1.11 )</v>
          </cell>
          <cell r="D15" t="str">
            <v>1.1.11 )</v>
          </cell>
          <cell r="E15" t="str">
            <v>2.1.11 )</v>
          </cell>
          <cell r="F15" t="str">
            <v>3.1.11 )</v>
          </cell>
        </row>
        <row r="16">
          <cell r="B16" t="str">
            <v>13.0 )</v>
          </cell>
          <cell r="C16" t="str">
            <v>1.12 )</v>
          </cell>
          <cell r="D16" t="str">
            <v>1.1.12 )</v>
          </cell>
          <cell r="E16" t="str">
            <v>2.1.12 )</v>
          </cell>
          <cell r="F16" t="str">
            <v>3.1.12 )</v>
          </cell>
        </row>
        <row r="17">
          <cell r="B17" t="str">
            <v>14.0 )</v>
          </cell>
          <cell r="C17" t="str">
            <v>1.13 )</v>
          </cell>
          <cell r="D17" t="str">
            <v>1.1.13 )</v>
          </cell>
          <cell r="E17" t="str">
            <v>2.1.13 )</v>
          </cell>
          <cell r="F17" t="str">
            <v>3.1.13 )</v>
          </cell>
        </row>
        <row r="18">
          <cell r="B18" t="str">
            <v>15.0 )</v>
          </cell>
          <cell r="C18" t="str">
            <v>1.14 )</v>
          </cell>
          <cell r="D18" t="str">
            <v>1.1.14 )</v>
          </cell>
          <cell r="E18" t="str">
            <v>2.1.14 )</v>
          </cell>
          <cell r="F18" t="str">
            <v>3.1.14 )</v>
          </cell>
        </row>
        <row r="19">
          <cell r="B19" t="str">
            <v>16.0 )</v>
          </cell>
          <cell r="C19" t="str">
            <v>1.15 )</v>
          </cell>
          <cell r="D19" t="str">
            <v>1.1.15 )</v>
          </cell>
          <cell r="E19" t="str">
            <v>2.1.15 )</v>
          </cell>
          <cell r="F19" t="str">
            <v>3.1.15 )</v>
          </cell>
        </row>
        <row r="20">
          <cell r="B20" t="str">
            <v>17.0 )</v>
          </cell>
          <cell r="C20" t="str">
            <v>1.16 )</v>
          </cell>
          <cell r="D20" t="str">
            <v>1.1.16 )</v>
          </cell>
          <cell r="E20" t="str">
            <v>2.1.16 )</v>
          </cell>
          <cell r="F20" t="str">
            <v>3.1.16 )</v>
          </cell>
        </row>
        <row r="21">
          <cell r="B21" t="str">
            <v>18.0 )</v>
          </cell>
          <cell r="C21" t="str">
            <v>1.17 )</v>
          </cell>
          <cell r="D21" t="str">
            <v>1.1.17 )</v>
          </cell>
          <cell r="E21" t="str">
            <v>2.1.17 )</v>
          </cell>
          <cell r="F21" t="str">
            <v>3.1.17 )</v>
          </cell>
        </row>
        <row r="22">
          <cell r="B22" t="str">
            <v>19.0 )</v>
          </cell>
          <cell r="C22" t="str">
            <v>1.18 )</v>
          </cell>
          <cell r="D22" t="str">
            <v>1.1.18 )</v>
          </cell>
          <cell r="E22" t="str">
            <v>2.1.18 )</v>
          </cell>
          <cell r="F22" t="str">
            <v>3.1.18 )</v>
          </cell>
        </row>
        <row r="23">
          <cell r="B23" t="str">
            <v>20.0 )</v>
          </cell>
          <cell r="C23" t="str">
            <v>1.19 )</v>
          </cell>
          <cell r="D23" t="str">
            <v>1.1.19 )</v>
          </cell>
          <cell r="E23" t="str">
            <v>2.1.19 )</v>
          </cell>
          <cell r="F23" t="str">
            <v>3.1.19 )</v>
          </cell>
        </row>
        <row r="24">
          <cell r="B24" t="str">
            <v>21.0 )</v>
          </cell>
          <cell r="C24" t="str">
            <v>1.20 )</v>
          </cell>
          <cell r="D24" t="str">
            <v>1.1.20 )</v>
          </cell>
          <cell r="E24" t="str">
            <v>2.1.20 )</v>
          </cell>
          <cell r="F24" t="str">
            <v>3.1.20 )</v>
          </cell>
        </row>
        <row r="25">
          <cell r="B25" t="str">
            <v>22.0 )</v>
          </cell>
          <cell r="C25" t="str">
            <v>2.0 )</v>
          </cell>
          <cell r="D25" t="str">
            <v>1.2.0 )</v>
          </cell>
          <cell r="E25" t="str">
            <v>2.2.0 )</v>
          </cell>
          <cell r="F25" t="str">
            <v>3.2.0 )</v>
          </cell>
        </row>
        <row r="26">
          <cell r="B26" t="str">
            <v>23.0 )</v>
          </cell>
          <cell r="C26" t="str">
            <v>2.1 )</v>
          </cell>
          <cell r="D26" t="str">
            <v>1.2.1 )</v>
          </cell>
          <cell r="E26" t="str">
            <v>2.2.1 )</v>
          </cell>
          <cell r="F26" t="str">
            <v>3.2.1 )</v>
          </cell>
        </row>
        <row r="27">
          <cell r="B27" t="str">
            <v>24.0 )</v>
          </cell>
          <cell r="C27" t="str">
            <v>2.2 )</v>
          </cell>
          <cell r="D27" t="str">
            <v>1.2.2 )</v>
          </cell>
          <cell r="E27" t="str">
            <v>2.2.2 )</v>
          </cell>
          <cell r="F27" t="str">
            <v>3.2.2 )</v>
          </cell>
        </row>
        <row r="28">
          <cell r="B28" t="str">
            <v>25.0 )</v>
          </cell>
          <cell r="C28" t="str">
            <v>2.3 )</v>
          </cell>
          <cell r="D28" t="str">
            <v>1.2.3 )</v>
          </cell>
          <cell r="E28" t="str">
            <v>2.2.3 )</v>
          </cell>
          <cell r="F28" t="str">
            <v>3.2.3 )</v>
          </cell>
        </row>
        <row r="29">
          <cell r="B29" t="str">
            <v>26.0 )</v>
          </cell>
          <cell r="C29" t="str">
            <v>2.4 )</v>
          </cell>
          <cell r="D29" t="str">
            <v>1.2.4 )</v>
          </cell>
          <cell r="E29" t="str">
            <v>2.2.4 )</v>
          </cell>
          <cell r="F29" t="str">
            <v>3.2.4 )</v>
          </cell>
        </row>
        <row r="30">
          <cell r="B30" t="str">
            <v>27.0 )</v>
          </cell>
          <cell r="C30" t="str">
            <v>2.5 )</v>
          </cell>
          <cell r="D30" t="str">
            <v>1.2.5 )</v>
          </cell>
          <cell r="E30" t="str">
            <v>2.2.5 )</v>
          </cell>
          <cell r="F30" t="str">
            <v>3.2.5 )</v>
          </cell>
        </row>
        <row r="31">
          <cell r="B31" t="str">
            <v>28.0 )</v>
          </cell>
          <cell r="C31" t="str">
            <v>2.6 )</v>
          </cell>
          <cell r="D31" t="str">
            <v>1.2.6 )</v>
          </cell>
          <cell r="E31" t="str">
            <v>2.2.6 )</v>
          </cell>
          <cell r="F31" t="str">
            <v>3.2.6 )</v>
          </cell>
        </row>
        <row r="32">
          <cell r="B32" t="str">
            <v>29.0 )</v>
          </cell>
          <cell r="C32" t="str">
            <v>2.7 )</v>
          </cell>
          <cell r="D32" t="str">
            <v>1.2.7 )</v>
          </cell>
          <cell r="E32" t="str">
            <v>2.2.7 )</v>
          </cell>
          <cell r="F32" t="str">
            <v>3.2.7 )</v>
          </cell>
        </row>
        <row r="33">
          <cell r="B33" t="str">
            <v>30.0 )</v>
          </cell>
          <cell r="C33" t="str">
            <v>2.8 )</v>
          </cell>
          <cell r="D33" t="str">
            <v>1.2.8 )</v>
          </cell>
          <cell r="E33" t="str">
            <v>2.2.8 )</v>
          </cell>
          <cell r="F33" t="str">
            <v>3.2.8 )</v>
          </cell>
        </row>
        <row r="34">
          <cell r="B34" t="str">
            <v>31.0 )</v>
          </cell>
          <cell r="C34" t="str">
            <v>2.9 )</v>
          </cell>
          <cell r="D34" t="str">
            <v>1.2.9 )</v>
          </cell>
          <cell r="E34" t="str">
            <v>2.2.9 )</v>
          </cell>
          <cell r="F34" t="str">
            <v>3.2.9 )</v>
          </cell>
        </row>
        <row r="35">
          <cell r="B35" t="str">
            <v>32.0 )</v>
          </cell>
          <cell r="C35" t="str">
            <v>2.10 )</v>
          </cell>
          <cell r="D35" t="str">
            <v>1.2.10 )</v>
          </cell>
          <cell r="E35" t="str">
            <v>2.2.10 )</v>
          </cell>
          <cell r="F35" t="str">
            <v>3.2.10 )</v>
          </cell>
        </row>
        <row r="36">
          <cell r="B36" t="str">
            <v>33.0 )</v>
          </cell>
          <cell r="C36" t="str">
            <v>2.11 )</v>
          </cell>
          <cell r="D36" t="str">
            <v>1.2.11 )</v>
          </cell>
          <cell r="E36" t="str">
            <v>2.2.11 )</v>
          </cell>
          <cell r="F36" t="str">
            <v>3.2.11 )</v>
          </cell>
        </row>
        <row r="37">
          <cell r="B37" t="str">
            <v>34.0 )</v>
          </cell>
          <cell r="C37" t="str">
            <v>2.12 )</v>
          </cell>
          <cell r="D37" t="str">
            <v>1.2.12 )</v>
          </cell>
          <cell r="E37" t="str">
            <v>2.2.12 )</v>
          </cell>
          <cell r="F37" t="str">
            <v>3.2.12 )</v>
          </cell>
        </row>
        <row r="38">
          <cell r="B38" t="str">
            <v>35.0 )</v>
          </cell>
          <cell r="C38" t="str">
            <v>2.13 )</v>
          </cell>
          <cell r="D38" t="str">
            <v>1.2.13 )</v>
          </cell>
          <cell r="E38" t="str">
            <v>2.2.13 )</v>
          </cell>
          <cell r="F38" t="str">
            <v>3.2.13 )</v>
          </cell>
        </row>
        <row r="39">
          <cell r="B39" t="str">
            <v>36.0 )</v>
          </cell>
          <cell r="C39" t="str">
            <v>2.14 )</v>
          </cell>
          <cell r="D39" t="str">
            <v>1.2.14 )</v>
          </cell>
          <cell r="E39" t="str">
            <v>2.2.14 )</v>
          </cell>
          <cell r="F39" t="str">
            <v>3.2.14 )</v>
          </cell>
        </row>
        <row r="40">
          <cell r="B40" t="str">
            <v>37.0 )</v>
          </cell>
          <cell r="C40" t="str">
            <v>2.15 )</v>
          </cell>
          <cell r="D40" t="str">
            <v>1.2.15 )</v>
          </cell>
          <cell r="E40" t="str">
            <v>2.2.15 )</v>
          </cell>
          <cell r="F40" t="str">
            <v>3.2.15 )</v>
          </cell>
        </row>
        <row r="41">
          <cell r="B41" t="str">
            <v>38.0 )</v>
          </cell>
          <cell r="C41" t="str">
            <v>2.16 )</v>
          </cell>
          <cell r="D41" t="str">
            <v>1.2.16 )</v>
          </cell>
          <cell r="E41" t="str">
            <v>2.2.16 )</v>
          </cell>
          <cell r="F41" t="str">
            <v>3.2.16 )</v>
          </cell>
        </row>
        <row r="42">
          <cell r="B42" t="str">
            <v>39.0 )</v>
          </cell>
          <cell r="C42" t="str">
            <v>2.17 )</v>
          </cell>
          <cell r="D42" t="str">
            <v>1.2.17 )</v>
          </cell>
          <cell r="E42" t="str">
            <v>2.2.17 )</v>
          </cell>
          <cell r="F42" t="str">
            <v>3.2.17 )</v>
          </cell>
        </row>
        <row r="43">
          <cell r="B43" t="str">
            <v>40.0 )</v>
          </cell>
          <cell r="C43" t="str">
            <v>2.18 )</v>
          </cell>
          <cell r="D43" t="str">
            <v>1.2.18 )</v>
          </cell>
          <cell r="E43" t="str">
            <v>2.2.18 )</v>
          </cell>
          <cell r="F43" t="str">
            <v>3.2.18 )</v>
          </cell>
        </row>
        <row r="44">
          <cell r="B44" t="str">
            <v>41.0 )</v>
          </cell>
          <cell r="C44" t="str">
            <v>2.19 )</v>
          </cell>
          <cell r="D44" t="str">
            <v>1.2.19 )</v>
          </cell>
          <cell r="E44" t="str">
            <v>2.2.19 )</v>
          </cell>
          <cell r="F44" t="str">
            <v>3.2.19 )</v>
          </cell>
        </row>
        <row r="45">
          <cell r="B45" t="str">
            <v>42.0 )</v>
          </cell>
          <cell r="C45" t="str">
            <v>2.20 )</v>
          </cell>
          <cell r="D45" t="str">
            <v>1.2.20 )</v>
          </cell>
          <cell r="E45" t="str">
            <v>2.2.20 )</v>
          </cell>
          <cell r="F45" t="str">
            <v>3.2.20 )</v>
          </cell>
        </row>
        <row r="46">
          <cell r="B46" t="str">
            <v>43.0 )</v>
          </cell>
          <cell r="C46" t="str">
            <v>3.0 )</v>
          </cell>
          <cell r="D46" t="str">
            <v>1.3.0 )</v>
          </cell>
          <cell r="E46" t="str">
            <v>2.3.0 )</v>
          </cell>
          <cell r="F46" t="str">
            <v>3.3.0 )</v>
          </cell>
        </row>
        <row r="47">
          <cell r="B47" t="str">
            <v>44.0 )</v>
          </cell>
          <cell r="C47" t="str">
            <v>3.1 )</v>
          </cell>
          <cell r="D47" t="str">
            <v>1.3.1 )</v>
          </cell>
          <cell r="E47" t="str">
            <v>2.3.1 )</v>
          </cell>
          <cell r="F47" t="str">
            <v>3.3.1 )</v>
          </cell>
        </row>
        <row r="48">
          <cell r="B48" t="str">
            <v>45.0 )</v>
          </cell>
          <cell r="C48" t="str">
            <v>3.2 )</v>
          </cell>
          <cell r="D48" t="str">
            <v>1.3.2 )</v>
          </cell>
          <cell r="E48" t="str">
            <v>2.3.2 )</v>
          </cell>
          <cell r="F48" t="str">
            <v>3.3.2 )</v>
          </cell>
        </row>
        <row r="49">
          <cell r="B49" t="str">
            <v>46.0 )</v>
          </cell>
          <cell r="C49" t="str">
            <v>3.3 )</v>
          </cell>
          <cell r="D49" t="str">
            <v>1.3.3 )</v>
          </cell>
          <cell r="E49" t="str">
            <v>2.3.3 )</v>
          </cell>
          <cell r="F49" t="str">
            <v>3.3.3 )</v>
          </cell>
        </row>
        <row r="50">
          <cell r="B50" t="str">
            <v>47.0 )</v>
          </cell>
          <cell r="C50" t="str">
            <v>3.4 )</v>
          </cell>
          <cell r="D50" t="str">
            <v>1.3.4 )</v>
          </cell>
          <cell r="E50" t="str">
            <v>2.3.4 )</v>
          </cell>
          <cell r="F50" t="str">
            <v>3.3.4 )</v>
          </cell>
        </row>
        <row r="51">
          <cell r="B51" t="str">
            <v>48.0 )</v>
          </cell>
          <cell r="C51" t="str">
            <v>3.5 )</v>
          </cell>
          <cell r="D51" t="str">
            <v>1.3.5 )</v>
          </cell>
          <cell r="E51" t="str">
            <v>2.3.5 )</v>
          </cell>
          <cell r="F51" t="str">
            <v>3.3.5 )</v>
          </cell>
        </row>
        <row r="52">
          <cell r="B52" t="str">
            <v>49.0 )</v>
          </cell>
          <cell r="C52" t="str">
            <v>3.6 )</v>
          </cell>
          <cell r="D52" t="str">
            <v>1.3.6 )</v>
          </cell>
          <cell r="E52" t="str">
            <v>2.3.6 )</v>
          </cell>
          <cell r="F52" t="str">
            <v>3.3.6 )</v>
          </cell>
        </row>
        <row r="53">
          <cell r="B53" t="str">
            <v>50.0 )</v>
          </cell>
          <cell r="C53" t="str">
            <v>3.7 )</v>
          </cell>
          <cell r="D53" t="str">
            <v>1.3.7 )</v>
          </cell>
          <cell r="E53" t="str">
            <v>2.3.7 )</v>
          </cell>
          <cell r="F53" t="str">
            <v>3.3.7 )</v>
          </cell>
        </row>
        <row r="54">
          <cell r="B54" t="str">
            <v>51.0 )</v>
          </cell>
          <cell r="C54" t="str">
            <v>3.8 )</v>
          </cell>
          <cell r="D54" t="str">
            <v>1.3.8 )</v>
          </cell>
          <cell r="E54" t="str">
            <v>2.3.8 )</v>
          </cell>
          <cell r="F54" t="str">
            <v>3.3.8 )</v>
          </cell>
        </row>
        <row r="55">
          <cell r="B55" t="str">
            <v>52.0 )</v>
          </cell>
          <cell r="C55" t="str">
            <v>3.9 )</v>
          </cell>
          <cell r="D55" t="str">
            <v>1.3.9 )</v>
          </cell>
          <cell r="E55" t="str">
            <v>2.3.9 )</v>
          </cell>
          <cell r="F55" t="str">
            <v>3.3.9 )</v>
          </cell>
        </row>
        <row r="56">
          <cell r="B56" t="str">
            <v>53.0 )</v>
          </cell>
          <cell r="C56" t="str">
            <v>3.10 )</v>
          </cell>
          <cell r="D56" t="str">
            <v>1.3.10 )</v>
          </cell>
          <cell r="E56" t="str">
            <v>2.3.10 )</v>
          </cell>
          <cell r="F56" t="str">
            <v>3.3.10 )</v>
          </cell>
        </row>
        <row r="57">
          <cell r="B57" t="str">
            <v>54.0 )</v>
          </cell>
          <cell r="C57" t="str">
            <v>3.11 )</v>
          </cell>
          <cell r="D57" t="str">
            <v>1.3.11 )</v>
          </cell>
          <cell r="E57" t="str">
            <v>2.3.11 )</v>
          </cell>
          <cell r="F57" t="str">
            <v>3.3.11 )</v>
          </cell>
        </row>
        <row r="58">
          <cell r="B58" t="str">
            <v>55.0 )</v>
          </cell>
          <cell r="C58" t="str">
            <v>3.12 )</v>
          </cell>
          <cell r="D58" t="str">
            <v>1.3.12 )</v>
          </cell>
          <cell r="E58" t="str">
            <v>2.3.12 )</v>
          </cell>
          <cell r="F58" t="str">
            <v>3.3.12 )</v>
          </cell>
        </row>
        <row r="59">
          <cell r="B59" t="str">
            <v>56.0 )</v>
          </cell>
          <cell r="C59" t="str">
            <v>3.13 )</v>
          </cell>
          <cell r="D59" t="str">
            <v>1.3.13 )</v>
          </cell>
          <cell r="E59" t="str">
            <v>2.3.13 )</v>
          </cell>
          <cell r="F59" t="str">
            <v>3.3.13 )</v>
          </cell>
        </row>
        <row r="60">
          <cell r="B60" t="str">
            <v>57.0 )</v>
          </cell>
          <cell r="C60" t="str">
            <v>3.14 )</v>
          </cell>
          <cell r="D60" t="str">
            <v>1.3.14 )</v>
          </cell>
          <cell r="E60" t="str">
            <v>2.3.14 )</v>
          </cell>
          <cell r="F60" t="str">
            <v>3.3.14 )</v>
          </cell>
        </row>
        <row r="61">
          <cell r="B61" t="str">
            <v>58.0 )</v>
          </cell>
          <cell r="C61" t="str">
            <v>3.15 )</v>
          </cell>
          <cell r="D61" t="str">
            <v>1.3.15 )</v>
          </cell>
          <cell r="E61" t="str">
            <v>2.3.15 )</v>
          </cell>
          <cell r="F61" t="str">
            <v>3.3.15 )</v>
          </cell>
        </row>
        <row r="62">
          <cell r="B62" t="str">
            <v>59.0 )</v>
          </cell>
          <cell r="C62" t="str">
            <v>3.16 )</v>
          </cell>
          <cell r="D62" t="str">
            <v>1.3.16 )</v>
          </cell>
          <cell r="E62" t="str">
            <v>2.3.16 )</v>
          </cell>
          <cell r="F62" t="str">
            <v>3.3.16 )</v>
          </cell>
        </row>
        <row r="63">
          <cell r="B63" t="str">
            <v>60.0 )</v>
          </cell>
          <cell r="C63" t="str">
            <v>3.17 )</v>
          </cell>
          <cell r="D63" t="str">
            <v>1.3.17 )</v>
          </cell>
          <cell r="E63" t="str">
            <v>2.3.17 )</v>
          </cell>
          <cell r="F63" t="str">
            <v>3.3.17 )</v>
          </cell>
        </row>
        <row r="64">
          <cell r="B64" t="str">
            <v>61.0 )</v>
          </cell>
          <cell r="C64" t="str">
            <v>3.18 )</v>
          </cell>
          <cell r="D64" t="str">
            <v>1.3.18 )</v>
          </cell>
          <cell r="E64" t="str">
            <v>2.3.18 )</v>
          </cell>
          <cell r="F64" t="str">
            <v>3.3.18 )</v>
          </cell>
        </row>
        <row r="65">
          <cell r="B65" t="str">
            <v>62.0 )</v>
          </cell>
          <cell r="C65" t="str">
            <v>3.19 )</v>
          </cell>
          <cell r="D65" t="str">
            <v>1.3.19 )</v>
          </cell>
          <cell r="E65" t="str">
            <v>2.3.19 )</v>
          </cell>
          <cell r="F65" t="str">
            <v>3.3.19 )</v>
          </cell>
        </row>
        <row r="66">
          <cell r="B66" t="str">
            <v>63.0 )</v>
          </cell>
          <cell r="C66" t="str">
            <v>3.20 )</v>
          </cell>
          <cell r="D66" t="str">
            <v>1.3.20 )</v>
          </cell>
          <cell r="E66" t="str">
            <v>2.3.20 )</v>
          </cell>
          <cell r="F66" t="str">
            <v>3.3.20 )</v>
          </cell>
        </row>
        <row r="67">
          <cell r="B67" t="str">
            <v>64.0 )</v>
          </cell>
          <cell r="C67" t="str">
            <v>4.0 )</v>
          </cell>
          <cell r="D67" t="str">
            <v>1.4.0 )</v>
          </cell>
          <cell r="E67" t="str">
            <v>2.4.0 )</v>
          </cell>
          <cell r="F67" t="str">
            <v>3.4.0 )</v>
          </cell>
        </row>
        <row r="68">
          <cell r="B68" t="str">
            <v>65.0 )</v>
          </cell>
          <cell r="C68" t="str">
            <v>4.1 )</v>
          </cell>
          <cell r="D68" t="str">
            <v>1.4.1 )</v>
          </cell>
          <cell r="E68" t="str">
            <v>2.4.1 )</v>
          </cell>
          <cell r="F68" t="str">
            <v>3.4.1 )</v>
          </cell>
        </row>
        <row r="69">
          <cell r="B69" t="str">
            <v>66.0 )</v>
          </cell>
          <cell r="C69" t="str">
            <v>4.2 )</v>
          </cell>
          <cell r="D69" t="str">
            <v>1.4.2 )</v>
          </cell>
          <cell r="E69" t="str">
            <v>2.4.2 )</v>
          </cell>
          <cell r="F69" t="str">
            <v>3.4.2 )</v>
          </cell>
        </row>
        <row r="70">
          <cell r="B70" t="str">
            <v>67.0 )</v>
          </cell>
          <cell r="C70" t="str">
            <v>4.3 )</v>
          </cell>
          <cell r="D70" t="str">
            <v>1.4.3 )</v>
          </cell>
          <cell r="E70" t="str">
            <v>2.4.3 )</v>
          </cell>
          <cell r="F70" t="str">
            <v>3.4.3 )</v>
          </cell>
        </row>
        <row r="71">
          <cell r="B71" t="str">
            <v>68.0 )</v>
          </cell>
          <cell r="C71" t="str">
            <v>4.4 )</v>
          </cell>
          <cell r="D71" t="str">
            <v>1.4.4 )</v>
          </cell>
          <cell r="E71" t="str">
            <v>2.4.4 )</v>
          </cell>
          <cell r="F71" t="str">
            <v>3.4.4 )</v>
          </cell>
        </row>
        <row r="72">
          <cell r="B72" t="str">
            <v>69.0 )</v>
          </cell>
          <cell r="C72" t="str">
            <v>4.5 )</v>
          </cell>
          <cell r="D72" t="str">
            <v>1.4.5 )</v>
          </cell>
          <cell r="E72" t="str">
            <v>2.4.5 )</v>
          </cell>
          <cell r="F72" t="str">
            <v>3.4.5 )</v>
          </cell>
        </row>
        <row r="73">
          <cell r="B73" t="str">
            <v>70.0 )</v>
          </cell>
          <cell r="C73" t="str">
            <v>4.6 )</v>
          </cell>
          <cell r="D73" t="str">
            <v>1.4.6 )</v>
          </cell>
          <cell r="E73" t="str">
            <v>2.4.6 )</v>
          </cell>
          <cell r="F73" t="str">
            <v>3.4.6 )</v>
          </cell>
        </row>
        <row r="74">
          <cell r="B74" t="str">
            <v>71.0 )</v>
          </cell>
          <cell r="C74" t="str">
            <v>4.7 )</v>
          </cell>
          <cell r="D74" t="str">
            <v>1.4.7 )</v>
          </cell>
          <cell r="E74" t="str">
            <v>2.4.7 )</v>
          </cell>
          <cell r="F74" t="str">
            <v>3.4.7 )</v>
          </cell>
        </row>
        <row r="75">
          <cell r="B75" t="str">
            <v>72.0 )</v>
          </cell>
          <cell r="C75" t="str">
            <v>4.8 )</v>
          </cell>
          <cell r="D75" t="str">
            <v>1.4.8 )</v>
          </cell>
          <cell r="E75" t="str">
            <v>2.4.8 )</v>
          </cell>
          <cell r="F75" t="str">
            <v>3.4.8 )</v>
          </cell>
        </row>
        <row r="76">
          <cell r="B76" t="str">
            <v>73.0 )</v>
          </cell>
          <cell r="C76" t="str">
            <v>4.9 )</v>
          </cell>
          <cell r="D76" t="str">
            <v>1.4.9 )</v>
          </cell>
          <cell r="E76" t="str">
            <v>2.4.9 )</v>
          </cell>
          <cell r="F76" t="str">
            <v>3.4.9 )</v>
          </cell>
        </row>
        <row r="77">
          <cell r="B77" t="str">
            <v>74.0 )</v>
          </cell>
          <cell r="C77" t="str">
            <v>4.10 )</v>
          </cell>
          <cell r="D77" t="str">
            <v>1.4.10 )</v>
          </cell>
          <cell r="E77" t="str">
            <v>2.4.10 )</v>
          </cell>
          <cell r="F77" t="str">
            <v>3.4.10 )</v>
          </cell>
        </row>
        <row r="78">
          <cell r="B78" t="str">
            <v>75.0 )</v>
          </cell>
          <cell r="C78" t="str">
            <v>4.11 )</v>
          </cell>
          <cell r="D78" t="str">
            <v>1.4.11 )</v>
          </cell>
          <cell r="E78" t="str">
            <v>2.4.11 )</v>
          </cell>
          <cell r="F78" t="str">
            <v>3.4.11 )</v>
          </cell>
        </row>
        <row r="79">
          <cell r="B79" t="str">
            <v>76.0 )</v>
          </cell>
          <cell r="C79" t="str">
            <v>4.12 )</v>
          </cell>
          <cell r="D79" t="str">
            <v>1.4.12 )</v>
          </cell>
          <cell r="E79" t="str">
            <v>2.4.12 )</v>
          </cell>
          <cell r="F79" t="str">
            <v>3.4.12 )</v>
          </cell>
        </row>
        <row r="80">
          <cell r="B80" t="str">
            <v>77.0 )</v>
          </cell>
          <cell r="C80" t="str">
            <v>4.13 )</v>
          </cell>
          <cell r="D80" t="str">
            <v>1.4.13 )</v>
          </cell>
          <cell r="E80" t="str">
            <v>2.4.13 )</v>
          </cell>
          <cell r="F80" t="str">
            <v>3.4.13 )</v>
          </cell>
        </row>
        <row r="81">
          <cell r="B81" t="str">
            <v>78.0 )</v>
          </cell>
          <cell r="C81" t="str">
            <v>4.14 )</v>
          </cell>
          <cell r="D81" t="str">
            <v>1.4.14 )</v>
          </cell>
          <cell r="E81" t="str">
            <v>2.4.14 )</v>
          </cell>
          <cell r="F81" t="str">
            <v>3.4.14 )</v>
          </cell>
        </row>
        <row r="82">
          <cell r="B82" t="str">
            <v>79.0 )</v>
          </cell>
          <cell r="C82" t="str">
            <v>4.15 )</v>
          </cell>
          <cell r="D82" t="str">
            <v>1.4.15 )</v>
          </cell>
          <cell r="E82" t="str">
            <v>2.4.15 )</v>
          </cell>
          <cell r="F82" t="str">
            <v>3.4.15 )</v>
          </cell>
        </row>
        <row r="83">
          <cell r="B83" t="str">
            <v>80.0 )</v>
          </cell>
          <cell r="C83" t="str">
            <v>4.16 )</v>
          </cell>
          <cell r="D83" t="str">
            <v>1.4.16 )</v>
          </cell>
          <cell r="E83" t="str">
            <v>2.4.16 )</v>
          </cell>
          <cell r="F83" t="str">
            <v>3.4.16 )</v>
          </cell>
        </row>
        <row r="84">
          <cell r="B84" t="str">
            <v>81.0 )</v>
          </cell>
          <cell r="C84" t="str">
            <v>4.17 )</v>
          </cell>
          <cell r="D84" t="str">
            <v>1.4.17 )</v>
          </cell>
          <cell r="E84" t="str">
            <v>2.4.17 )</v>
          </cell>
          <cell r="F84" t="str">
            <v>3.4.17 )</v>
          </cell>
        </row>
        <row r="85">
          <cell r="B85" t="str">
            <v>82.0 )</v>
          </cell>
          <cell r="C85" t="str">
            <v>4.18 )</v>
          </cell>
          <cell r="D85" t="str">
            <v>1.4.18 )</v>
          </cell>
          <cell r="E85" t="str">
            <v>2.4.18 )</v>
          </cell>
          <cell r="F85" t="str">
            <v>3.4.18 )</v>
          </cell>
        </row>
        <row r="86">
          <cell r="B86" t="str">
            <v>83.0 )</v>
          </cell>
          <cell r="C86" t="str">
            <v>4.19 )</v>
          </cell>
          <cell r="D86" t="str">
            <v>1.4.19 )</v>
          </cell>
          <cell r="E86" t="str">
            <v>2.4.19 )</v>
          </cell>
          <cell r="F86" t="str">
            <v>3.4.19 )</v>
          </cell>
        </row>
        <row r="87">
          <cell r="B87" t="str">
            <v>84.0 )</v>
          </cell>
          <cell r="C87" t="str">
            <v>4.20 )</v>
          </cell>
          <cell r="D87" t="str">
            <v>1.4.20 )</v>
          </cell>
          <cell r="E87" t="str">
            <v>2.4.20 )</v>
          </cell>
          <cell r="F87" t="str">
            <v>3.4.20 )</v>
          </cell>
        </row>
        <row r="88">
          <cell r="B88" t="str">
            <v>85.0 )</v>
          </cell>
          <cell r="C88" t="str">
            <v>5.0 )</v>
          </cell>
          <cell r="D88" t="str">
            <v>1.5.0 )</v>
          </cell>
          <cell r="E88" t="str">
            <v>2.5.0 )</v>
          </cell>
          <cell r="F88" t="str">
            <v>3.5.0 )</v>
          </cell>
        </row>
        <row r="89">
          <cell r="B89" t="str">
            <v>86.0 )</v>
          </cell>
          <cell r="C89" t="str">
            <v>5.1 )</v>
          </cell>
          <cell r="D89" t="str">
            <v>1.5.1 )</v>
          </cell>
          <cell r="E89" t="str">
            <v>2.5.1 )</v>
          </cell>
          <cell r="F89" t="str">
            <v>3.5.1 )</v>
          </cell>
        </row>
        <row r="90">
          <cell r="B90" t="str">
            <v>87.0 )</v>
          </cell>
          <cell r="C90" t="str">
            <v>5.2 )</v>
          </cell>
          <cell r="D90" t="str">
            <v>1.5.2 )</v>
          </cell>
          <cell r="E90" t="str">
            <v>2.5.2 )</v>
          </cell>
          <cell r="F90" t="str">
            <v>3.5.2 )</v>
          </cell>
        </row>
        <row r="91">
          <cell r="B91" t="str">
            <v>88.0 )</v>
          </cell>
          <cell r="C91" t="str">
            <v>5.3 )</v>
          </cell>
          <cell r="D91" t="str">
            <v>1.5.3 )</v>
          </cell>
          <cell r="E91" t="str">
            <v>2.5.3 )</v>
          </cell>
          <cell r="F91" t="str">
            <v>3.5.3 )</v>
          </cell>
        </row>
        <row r="92">
          <cell r="B92" t="str">
            <v>89.0 )</v>
          </cell>
          <cell r="C92" t="str">
            <v>5.4 )</v>
          </cell>
          <cell r="D92" t="str">
            <v>1.5.4 )</v>
          </cell>
          <cell r="E92" t="str">
            <v>2.5.4 )</v>
          </cell>
          <cell r="F92" t="str">
            <v>3.5.4 )</v>
          </cell>
        </row>
        <row r="93">
          <cell r="B93" t="str">
            <v>90.0 )</v>
          </cell>
          <cell r="C93" t="str">
            <v>5.5 )</v>
          </cell>
          <cell r="D93" t="str">
            <v>1.5.5 )</v>
          </cell>
          <cell r="E93" t="str">
            <v>2.5.5 )</v>
          </cell>
          <cell r="F93" t="str">
            <v>3.5.5 )</v>
          </cell>
        </row>
        <row r="94">
          <cell r="B94" t="str">
            <v>91.0 )</v>
          </cell>
          <cell r="C94" t="str">
            <v>5.6 )</v>
          </cell>
          <cell r="D94" t="str">
            <v>1.5.6 )</v>
          </cell>
          <cell r="E94" t="str">
            <v>2.5.6 )</v>
          </cell>
          <cell r="F94" t="str">
            <v>3.5.6 )</v>
          </cell>
        </row>
        <row r="95">
          <cell r="B95" t="str">
            <v>92.0 )</v>
          </cell>
          <cell r="C95" t="str">
            <v>5.7 )</v>
          </cell>
          <cell r="D95" t="str">
            <v>1.5.7 )</v>
          </cell>
          <cell r="E95" t="str">
            <v>2.5.7 )</v>
          </cell>
          <cell r="F95" t="str">
            <v>3.5.7 )</v>
          </cell>
        </row>
        <row r="96">
          <cell r="B96" t="str">
            <v>93.0 )</v>
          </cell>
          <cell r="C96" t="str">
            <v>5.8 )</v>
          </cell>
          <cell r="D96" t="str">
            <v>1.5.8 )</v>
          </cell>
          <cell r="E96" t="str">
            <v>2.5.8 )</v>
          </cell>
          <cell r="F96" t="str">
            <v>3.5.8 )</v>
          </cell>
        </row>
        <row r="97">
          <cell r="B97" t="str">
            <v>94.0 )</v>
          </cell>
          <cell r="C97" t="str">
            <v>5.9 )</v>
          </cell>
          <cell r="D97" t="str">
            <v>1.5.9 )</v>
          </cell>
          <cell r="E97" t="str">
            <v>2.5.9 )</v>
          </cell>
          <cell r="F97" t="str">
            <v>3.5.9 )</v>
          </cell>
        </row>
        <row r="98">
          <cell r="B98" t="str">
            <v>95.0 )</v>
          </cell>
          <cell r="C98" t="str">
            <v>5.10 )</v>
          </cell>
          <cell r="D98" t="str">
            <v>1.5.10 )</v>
          </cell>
          <cell r="E98" t="str">
            <v>2.5.10 )</v>
          </cell>
          <cell r="F98" t="str">
            <v>3.5.10 )</v>
          </cell>
        </row>
        <row r="99">
          <cell r="B99" t="str">
            <v>96.0 )</v>
          </cell>
          <cell r="C99" t="str">
            <v>5.11 )</v>
          </cell>
          <cell r="D99" t="str">
            <v>1.5.11 )</v>
          </cell>
          <cell r="E99" t="str">
            <v>2.5.11 )</v>
          </cell>
          <cell r="F99" t="str">
            <v>3.5.11 )</v>
          </cell>
        </row>
        <row r="100">
          <cell r="B100" t="str">
            <v>97.0 )</v>
          </cell>
          <cell r="C100" t="str">
            <v>5.12 )</v>
          </cell>
          <cell r="D100" t="str">
            <v>1.5.12 )</v>
          </cell>
          <cell r="E100" t="str">
            <v>2.5.12 )</v>
          </cell>
          <cell r="F100" t="str">
            <v>3.5.12 )</v>
          </cell>
        </row>
        <row r="101">
          <cell r="B101" t="str">
            <v>98.0 )</v>
          </cell>
          <cell r="C101" t="str">
            <v>5.13 )</v>
          </cell>
          <cell r="D101" t="str">
            <v>1.5.13 )</v>
          </cell>
          <cell r="E101" t="str">
            <v>2.5.13 )</v>
          </cell>
          <cell r="F101" t="str">
            <v>3.5.13 )</v>
          </cell>
        </row>
        <row r="102">
          <cell r="B102" t="str">
            <v>99.0 )</v>
          </cell>
          <cell r="C102" t="str">
            <v>5.14 )</v>
          </cell>
          <cell r="D102" t="str">
            <v>1.5.14 )</v>
          </cell>
          <cell r="E102" t="str">
            <v>2.5.14 )</v>
          </cell>
          <cell r="F102" t="str">
            <v>3.5.14 )</v>
          </cell>
        </row>
        <row r="103">
          <cell r="B103" t="str">
            <v>100.0 )</v>
          </cell>
          <cell r="C103" t="str">
            <v>5.15 )</v>
          </cell>
          <cell r="D103" t="str">
            <v>1.5.15 )</v>
          </cell>
          <cell r="E103" t="str">
            <v>2.5.15 )</v>
          </cell>
          <cell r="F103" t="str">
            <v>3.5.15 )</v>
          </cell>
        </row>
        <row r="104">
          <cell r="B104" t="str">
            <v>101.0 )</v>
          </cell>
          <cell r="C104" t="str">
            <v>5.16 )</v>
          </cell>
          <cell r="D104" t="str">
            <v>1.5.16 )</v>
          </cell>
          <cell r="E104" t="str">
            <v>2.5.16 )</v>
          </cell>
          <cell r="F104" t="str">
            <v>3.5.16 )</v>
          </cell>
        </row>
        <row r="105">
          <cell r="B105" t="str">
            <v>102.0 )</v>
          </cell>
          <cell r="C105" t="str">
            <v>5.17 )</v>
          </cell>
          <cell r="D105" t="str">
            <v>1.5.17 )</v>
          </cell>
          <cell r="E105" t="str">
            <v>2.5.17 )</v>
          </cell>
          <cell r="F105" t="str">
            <v>3.5.17 )</v>
          </cell>
        </row>
        <row r="106">
          <cell r="B106" t="str">
            <v>103.0 )</v>
          </cell>
          <cell r="C106" t="str">
            <v>5.18 )</v>
          </cell>
          <cell r="D106" t="str">
            <v>1.5.18 )</v>
          </cell>
          <cell r="E106" t="str">
            <v>2.5.18 )</v>
          </cell>
          <cell r="F106" t="str">
            <v>3.5.18 )</v>
          </cell>
        </row>
        <row r="107">
          <cell r="B107" t="str">
            <v>104.0 )</v>
          </cell>
          <cell r="C107" t="str">
            <v>5.19 )</v>
          </cell>
          <cell r="D107" t="str">
            <v>1.5.19 )</v>
          </cell>
          <cell r="E107" t="str">
            <v>2.5.19 )</v>
          </cell>
          <cell r="F107" t="str">
            <v>3.5.19 )</v>
          </cell>
        </row>
        <row r="108">
          <cell r="B108" t="str">
            <v>105.0 )</v>
          </cell>
          <cell r="C108" t="str">
            <v>5.20 )</v>
          </cell>
          <cell r="D108" t="str">
            <v>1.5.20 )</v>
          </cell>
          <cell r="E108" t="str">
            <v>2.5.20 )</v>
          </cell>
          <cell r="F108" t="str">
            <v>3.5.20 )</v>
          </cell>
        </row>
        <row r="109">
          <cell r="B109" t="str">
            <v>106.0 )</v>
          </cell>
          <cell r="C109" t="str">
            <v>6.0 )</v>
          </cell>
          <cell r="D109" t="str">
            <v>1.6.0 )</v>
          </cell>
          <cell r="E109" t="str">
            <v>2.6.0 )</v>
          </cell>
          <cell r="F109" t="str">
            <v>3.6.0 )</v>
          </cell>
        </row>
        <row r="110">
          <cell r="B110" t="str">
            <v>107.0 )</v>
          </cell>
          <cell r="C110" t="str">
            <v>6.1 )</v>
          </cell>
          <cell r="D110" t="str">
            <v>1.6.1 )</v>
          </cell>
          <cell r="E110" t="str">
            <v>2.6.1 )</v>
          </cell>
          <cell r="F110" t="str">
            <v>3.6.1 )</v>
          </cell>
        </row>
        <row r="111">
          <cell r="B111" t="str">
            <v>108.0 )</v>
          </cell>
          <cell r="C111" t="str">
            <v>6.2 )</v>
          </cell>
          <cell r="D111" t="str">
            <v>1.6.2 )</v>
          </cell>
          <cell r="E111" t="str">
            <v>2.6.2 )</v>
          </cell>
          <cell r="F111" t="str">
            <v>3.6.2 )</v>
          </cell>
        </row>
        <row r="112">
          <cell r="B112" t="str">
            <v>109.0 )</v>
          </cell>
          <cell r="C112" t="str">
            <v>6.3 )</v>
          </cell>
          <cell r="D112" t="str">
            <v>1.6.3 )</v>
          </cell>
          <cell r="E112" t="str">
            <v>2.6.3 )</v>
          </cell>
          <cell r="F112" t="str">
            <v>3.6.3 )</v>
          </cell>
        </row>
        <row r="113">
          <cell r="B113" t="str">
            <v>110.0 )</v>
          </cell>
          <cell r="C113" t="str">
            <v>6.4 )</v>
          </cell>
          <cell r="D113" t="str">
            <v>1.6.4 )</v>
          </cell>
          <cell r="E113" t="str">
            <v>2.6.4 )</v>
          </cell>
          <cell r="F113" t="str">
            <v>3.6.4 )</v>
          </cell>
        </row>
        <row r="114">
          <cell r="B114" t="str">
            <v>111.0 )</v>
          </cell>
          <cell r="C114" t="str">
            <v>6.5 )</v>
          </cell>
          <cell r="D114" t="str">
            <v>1.6.5 )</v>
          </cell>
          <cell r="E114" t="str">
            <v>2.6.5 )</v>
          </cell>
          <cell r="F114" t="str">
            <v>3.6.5 )</v>
          </cell>
        </row>
        <row r="115">
          <cell r="B115" t="str">
            <v>112.0 )</v>
          </cell>
          <cell r="C115" t="str">
            <v>6.6 )</v>
          </cell>
          <cell r="D115" t="str">
            <v>1.6.6 )</v>
          </cell>
          <cell r="E115" t="str">
            <v>2.6.6 )</v>
          </cell>
          <cell r="F115" t="str">
            <v>3.6.6 )</v>
          </cell>
        </row>
        <row r="116">
          <cell r="B116" t="str">
            <v>113.0 )</v>
          </cell>
          <cell r="C116" t="str">
            <v>6.7 )</v>
          </cell>
          <cell r="D116" t="str">
            <v>1.6.7 )</v>
          </cell>
          <cell r="E116" t="str">
            <v>2.6.7 )</v>
          </cell>
          <cell r="F116" t="str">
            <v>3.6.7 )</v>
          </cell>
        </row>
        <row r="117">
          <cell r="B117" t="str">
            <v>114.0 )</v>
          </cell>
          <cell r="C117" t="str">
            <v>6.8 )</v>
          </cell>
          <cell r="D117" t="str">
            <v>1.6.8 )</v>
          </cell>
          <cell r="E117" t="str">
            <v>2.6.8 )</v>
          </cell>
          <cell r="F117" t="str">
            <v>3.6.8 )</v>
          </cell>
        </row>
        <row r="118">
          <cell r="B118" t="str">
            <v>115.0 )</v>
          </cell>
          <cell r="C118" t="str">
            <v>6.9 )</v>
          </cell>
          <cell r="D118" t="str">
            <v>1.6.9 )</v>
          </cell>
          <cell r="E118" t="str">
            <v>2.6.9 )</v>
          </cell>
          <cell r="F118" t="str">
            <v>3.6.9 )</v>
          </cell>
        </row>
        <row r="119">
          <cell r="B119" t="str">
            <v>116.0 )</v>
          </cell>
          <cell r="C119" t="str">
            <v>6.10 )</v>
          </cell>
          <cell r="D119" t="str">
            <v>1.6.10 )</v>
          </cell>
          <cell r="E119" t="str">
            <v>2.6.10 )</v>
          </cell>
          <cell r="F119" t="str">
            <v>3.6.10 )</v>
          </cell>
        </row>
        <row r="120">
          <cell r="B120" t="str">
            <v>117.0 )</v>
          </cell>
          <cell r="C120" t="str">
            <v>6.11 )</v>
          </cell>
          <cell r="D120" t="str">
            <v>1.6.11 )</v>
          </cell>
          <cell r="E120" t="str">
            <v>2.6.11 )</v>
          </cell>
          <cell r="F120" t="str">
            <v>3.6.11 )</v>
          </cell>
        </row>
        <row r="121">
          <cell r="B121" t="str">
            <v>118.0 )</v>
          </cell>
          <cell r="C121" t="str">
            <v>6.12 )</v>
          </cell>
          <cell r="D121" t="str">
            <v>1.6.12 )</v>
          </cell>
          <cell r="E121" t="str">
            <v>2.6.12 )</v>
          </cell>
          <cell r="F121" t="str">
            <v>3.6.12 )</v>
          </cell>
        </row>
        <row r="122">
          <cell r="B122" t="str">
            <v>119.0 )</v>
          </cell>
          <cell r="C122" t="str">
            <v>6.13 )</v>
          </cell>
          <cell r="D122" t="str">
            <v>1.6.13 )</v>
          </cell>
          <cell r="E122" t="str">
            <v>2.6.13 )</v>
          </cell>
          <cell r="F122" t="str">
            <v>3.6.13 )</v>
          </cell>
        </row>
        <row r="123">
          <cell r="B123" t="str">
            <v>120.0 )</v>
          </cell>
          <cell r="C123" t="str">
            <v>6.14 )</v>
          </cell>
          <cell r="D123" t="str">
            <v>1.6.14 )</v>
          </cell>
          <cell r="E123" t="str">
            <v>2.6.14 )</v>
          </cell>
          <cell r="F123" t="str">
            <v>3.6.14 )</v>
          </cell>
        </row>
        <row r="124">
          <cell r="B124" t="str">
            <v>121.0 )</v>
          </cell>
          <cell r="C124" t="str">
            <v>6.15 )</v>
          </cell>
          <cell r="D124" t="str">
            <v>1.6.15 )</v>
          </cell>
          <cell r="E124" t="str">
            <v>2.6.15 )</v>
          </cell>
          <cell r="F124" t="str">
            <v>3.6.15 )</v>
          </cell>
        </row>
        <row r="125">
          <cell r="B125" t="str">
            <v>122.0 )</v>
          </cell>
          <cell r="C125" t="str">
            <v>6.16 )</v>
          </cell>
          <cell r="D125" t="str">
            <v>1.6.16 )</v>
          </cell>
          <cell r="E125" t="str">
            <v>2.6.16 )</v>
          </cell>
          <cell r="F125" t="str">
            <v>3.6.16 )</v>
          </cell>
        </row>
        <row r="126">
          <cell r="B126" t="str">
            <v>123.0 )</v>
          </cell>
          <cell r="C126" t="str">
            <v>6.17 )</v>
          </cell>
          <cell r="D126" t="str">
            <v>1.6.17 )</v>
          </cell>
          <cell r="E126" t="str">
            <v>2.6.17 )</v>
          </cell>
          <cell r="F126" t="str">
            <v>3.6.17 )</v>
          </cell>
        </row>
        <row r="127">
          <cell r="B127" t="str">
            <v>124.0 )</v>
          </cell>
          <cell r="C127" t="str">
            <v>6.18 )</v>
          </cell>
          <cell r="D127" t="str">
            <v>1.6.18 )</v>
          </cell>
          <cell r="E127" t="str">
            <v>2.6.18 )</v>
          </cell>
          <cell r="F127" t="str">
            <v>3.6.18 )</v>
          </cell>
        </row>
        <row r="128">
          <cell r="B128" t="str">
            <v>125.0 )</v>
          </cell>
          <cell r="C128" t="str">
            <v>6.19 )</v>
          </cell>
          <cell r="D128" t="str">
            <v>1.6.19 )</v>
          </cell>
          <cell r="E128" t="str">
            <v>2.6.19 )</v>
          </cell>
          <cell r="F128" t="str">
            <v>3.6.19 )</v>
          </cell>
        </row>
        <row r="129">
          <cell r="B129" t="str">
            <v>126.0 )</v>
          </cell>
          <cell r="C129" t="str">
            <v>6.20 )</v>
          </cell>
          <cell r="D129" t="str">
            <v>1.6.20 )</v>
          </cell>
          <cell r="E129" t="str">
            <v>2.6.20 )</v>
          </cell>
          <cell r="F129" t="str">
            <v>3.6.20 )</v>
          </cell>
        </row>
        <row r="130">
          <cell r="B130" t="str">
            <v>127.0 )</v>
          </cell>
          <cell r="C130" t="str">
            <v>7.0 )</v>
          </cell>
          <cell r="D130" t="str">
            <v>1.7.0 )</v>
          </cell>
          <cell r="E130" t="str">
            <v>2.7.0 )</v>
          </cell>
          <cell r="F130" t="str">
            <v>3.7.0 )</v>
          </cell>
        </row>
        <row r="131">
          <cell r="B131" t="str">
            <v>128.0 )</v>
          </cell>
          <cell r="C131" t="str">
            <v>7.1 )</v>
          </cell>
          <cell r="D131" t="str">
            <v>1.7.1 )</v>
          </cell>
          <cell r="E131" t="str">
            <v>2.7.1 )</v>
          </cell>
          <cell r="F131" t="str">
            <v>3.7.1 )</v>
          </cell>
        </row>
        <row r="132">
          <cell r="B132" t="str">
            <v>129.0 )</v>
          </cell>
          <cell r="C132" t="str">
            <v>7.2 )</v>
          </cell>
          <cell r="D132" t="str">
            <v>1.7.2 )</v>
          </cell>
          <cell r="E132" t="str">
            <v>2.7.2 )</v>
          </cell>
          <cell r="F132" t="str">
            <v>3.7.2 )</v>
          </cell>
        </row>
        <row r="133">
          <cell r="B133" t="str">
            <v>130.0 )</v>
          </cell>
          <cell r="C133" t="str">
            <v>7.3 )</v>
          </cell>
          <cell r="D133" t="str">
            <v>1.7.3 )</v>
          </cell>
          <cell r="E133" t="str">
            <v>2.7.3 )</v>
          </cell>
          <cell r="F133" t="str">
            <v>3.7.3 )</v>
          </cell>
        </row>
        <row r="134">
          <cell r="B134" t="str">
            <v>131.0 )</v>
          </cell>
          <cell r="C134" t="str">
            <v>7.4 )</v>
          </cell>
          <cell r="D134" t="str">
            <v>1.7.4 )</v>
          </cell>
          <cell r="E134" t="str">
            <v>2.7.4 )</v>
          </cell>
          <cell r="F134" t="str">
            <v>3.7.4 )</v>
          </cell>
        </row>
        <row r="135">
          <cell r="B135" t="str">
            <v>132.0 )</v>
          </cell>
          <cell r="C135" t="str">
            <v>7.5 )</v>
          </cell>
          <cell r="D135" t="str">
            <v>1.7.5 )</v>
          </cell>
          <cell r="E135" t="str">
            <v>2.7.5 )</v>
          </cell>
          <cell r="F135" t="str">
            <v>3.7.5 )</v>
          </cell>
        </row>
        <row r="136">
          <cell r="B136" t="str">
            <v>133.0 )</v>
          </cell>
          <cell r="C136" t="str">
            <v>7.6 )</v>
          </cell>
          <cell r="D136" t="str">
            <v>1.7.6 )</v>
          </cell>
          <cell r="E136" t="str">
            <v>2.7.6 )</v>
          </cell>
          <cell r="F136" t="str">
            <v>3.7.6 )</v>
          </cell>
        </row>
        <row r="137">
          <cell r="B137" t="str">
            <v>134.0 )</v>
          </cell>
          <cell r="C137" t="str">
            <v>7.7 )</v>
          </cell>
          <cell r="D137" t="str">
            <v>1.7.7 )</v>
          </cell>
          <cell r="E137" t="str">
            <v>2.7.7 )</v>
          </cell>
          <cell r="F137" t="str">
            <v>3.7.7 )</v>
          </cell>
        </row>
        <row r="138">
          <cell r="B138" t="str">
            <v>135.0 )</v>
          </cell>
          <cell r="C138" t="str">
            <v>7.8 )</v>
          </cell>
          <cell r="D138" t="str">
            <v>1.7.8 )</v>
          </cell>
          <cell r="E138" t="str">
            <v>2.7.8 )</v>
          </cell>
          <cell r="F138" t="str">
            <v>3.7.8 )</v>
          </cell>
        </row>
        <row r="139">
          <cell r="B139" t="str">
            <v>136.0 )</v>
          </cell>
          <cell r="C139" t="str">
            <v>7.9 )</v>
          </cell>
          <cell r="D139" t="str">
            <v>1.7.9 )</v>
          </cell>
          <cell r="E139" t="str">
            <v>2.7.9 )</v>
          </cell>
          <cell r="F139" t="str">
            <v>3.7.9 )</v>
          </cell>
        </row>
        <row r="140">
          <cell r="B140" t="str">
            <v>137.0 )</v>
          </cell>
          <cell r="C140" t="str">
            <v>7.10 )</v>
          </cell>
          <cell r="D140" t="str">
            <v>1.7.10 )</v>
          </cell>
          <cell r="E140" t="str">
            <v>2.7.10 )</v>
          </cell>
          <cell r="F140" t="str">
            <v>3.7.10 )</v>
          </cell>
        </row>
        <row r="141">
          <cell r="B141" t="str">
            <v>138.0 )</v>
          </cell>
          <cell r="C141" t="str">
            <v>7.11 )</v>
          </cell>
          <cell r="D141" t="str">
            <v>1.7.11 )</v>
          </cell>
          <cell r="E141" t="str">
            <v>2.7.11 )</v>
          </cell>
          <cell r="F141" t="str">
            <v>3.7.11 )</v>
          </cell>
        </row>
        <row r="142">
          <cell r="B142" t="str">
            <v>139.0 )</v>
          </cell>
          <cell r="C142" t="str">
            <v>7.12 )</v>
          </cell>
          <cell r="D142" t="str">
            <v>1.7.12 )</v>
          </cell>
          <cell r="E142" t="str">
            <v>2.7.12 )</v>
          </cell>
          <cell r="F142" t="str">
            <v>3.7.12 )</v>
          </cell>
        </row>
        <row r="143">
          <cell r="B143" t="str">
            <v>140.0 )</v>
          </cell>
          <cell r="C143" t="str">
            <v>7.13 )</v>
          </cell>
          <cell r="D143" t="str">
            <v>1.7.13 )</v>
          </cell>
          <cell r="E143" t="str">
            <v>2.7.13 )</v>
          </cell>
          <cell r="F143" t="str">
            <v>3.7.13 )</v>
          </cell>
        </row>
        <row r="144">
          <cell r="B144" t="str">
            <v>141.0 )</v>
          </cell>
          <cell r="C144" t="str">
            <v>7.14 )</v>
          </cell>
          <cell r="D144" t="str">
            <v>1.7.14 )</v>
          </cell>
          <cell r="E144" t="str">
            <v>2.7.14 )</v>
          </cell>
          <cell r="F144" t="str">
            <v>3.7.14 )</v>
          </cell>
        </row>
        <row r="145">
          <cell r="B145" t="str">
            <v>142.0 )</v>
          </cell>
          <cell r="C145" t="str">
            <v>7.15 )</v>
          </cell>
          <cell r="D145" t="str">
            <v>1.7.15 )</v>
          </cell>
          <cell r="E145" t="str">
            <v>2.7.15 )</v>
          </cell>
          <cell r="F145" t="str">
            <v>3.7.15 )</v>
          </cell>
        </row>
        <row r="146">
          <cell r="B146" t="str">
            <v>143.0 )</v>
          </cell>
          <cell r="C146" t="str">
            <v>7.16 )</v>
          </cell>
          <cell r="D146" t="str">
            <v>1.7.16 )</v>
          </cell>
          <cell r="E146" t="str">
            <v>2.7.16 )</v>
          </cell>
          <cell r="F146" t="str">
            <v>3.7.16 )</v>
          </cell>
        </row>
        <row r="147">
          <cell r="B147" t="str">
            <v>144.0 )</v>
          </cell>
          <cell r="C147" t="str">
            <v>7.17 )</v>
          </cell>
          <cell r="D147" t="str">
            <v>1.7.17 )</v>
          </cell>
          <cell r="E147" t="str">
            <v>2.7.17 )</v>
          </cell>
          <cell r="F147" t="str">
            <v>3.7.17 )</v>
          </cell>
        </row>
        <row r="148">
          <cell r="B148" t="str">
            <v>145.0 )</v>
          </cell>
          <cell r="C148" t="str">
            <v>7.18 )</v>
          </cell>
          <cell r="D148" t="str">
            <v>1.7.18 )</v>
          </cell>
          <cell r="E148" t="str">
            <v>2.7.18 )</v>
          </cell>
          <cell r="F148" t="str">
            <v>3.7.18 )</v>
          </cell>
        </row>
        <row r="149">
          <cell r="B149" t="str">
            <v>146.0 )</v>
          </cell>
          <cell r="C149" t="str">
            <v>7.19 )</v>
          </cell>
          <cell r="D149" t="str">
            <v>1.7.19 )</v>
          </cell>
          <cell r="E149" t="str">
            <v>2.7.19 )</v>
          </cell>
          <cell r="F149" t="str">
            <v>3.7.19 )</v>
          </cell>
        </row>
        <row r="150">
          <cell r="B150" t="str">
            <v>147.0 )</v>
          </cell>
          <cell r="C150" t="str">
            <v>7.20 )</v>
          </cell>
          <cell r="D150" t="str">
            <v>1.7.20 )</v>
          </cell>
          <cell r="E150" t="str">
            <v>2.7.20 )</v>
          </cell>
          <cell r="F150" t="str">
            <v>3.7.20 )</v>
          </cell>
        </row>
        <row r="151">
          <cell r="B151" t="str">
            <v>148.0 )</v>
          </cell>
          <cell r="C151" t="str">
            <v>8.0 )</v>
          </cell>
          <cell r="D151" t="str">
            <v>1.8.0 )</v>
          </cell>
          <cell r="E151" t="str">
            <v>2.8.0 )</v>
          </cell>
          <cell r="F151" t="str">
            <v>3.8.0 )</v>
          </cell>
        </row>
        <row r="152">
          <cell r="B152" t="str">
            <v>149.0 )</v>
          </cell>
          <cell r="C152" t="str">
            <v>8.1 )</v>
          </cell>
          <cell r="D152" t="str">
            <v>1.8.1 )</v>
          </cell>
          <cell r="E152" t="str">
            <v>2.8.1 )</v>
          </cell>
          <cell r="F152" t="str">
            <v>3.8.1 )</v>
          </cell>
        </row>
        <row r="153">
          <cell r="B153" t="str">
            <v>150.0 )</v>
          </cell>
          <cell r="C153" t="str">
            <v>8.2 )</v>
          </cell>
          <cell r="D153" t="str">
            <v>1.8.2 )</v>
          </cell>
          <cell r="E153" t="str">
            <v>2.8.2 )</v>
          </cell>
          <cell r="F153" t="str">
            <v>3.8.2 )</v>
          </cell>
        </row>
        <row r="154">
          <cell r="B154" t="str">
            <v>151.0 )</v>
          </cell>
          <cell r="C154" t="str">
            <v>8.3 )</v>
          </cell>
          <cell r="D154" t="str">
            <v>1.8.3 )</v>
          </cell>
          <cell r="E154" t="str">
            <v>2.8.3 )</v>
          </cell>
          <cell r="F154" t="str">
            <v>3.8.3 )</v>
          </cell>
        </row>
        <row r="155">
          <cell r="B155" t="str">
            <v>152.0 )</v>
          </cell>
          <cell r="C155" t="str">
            <v>8.4 )</v>
          </cell>
          <cell r="D155" t="str">
            <v>1.8.4 )</v>
          </cell>
          <cell r="E155" t="str">
            <v>2.8.4 )</v>
          </cell>
          <cell r="F155" t="str">
            <v>3.8.4 )</v>
          </cell>
        </row>
        <row r="156">
          <cell r="B156" t="str">
            <v>153.0 )</v>
          </cell>
          <cell r="C156" t="str">
            <v>8.5 )</v>
          </cell>
          <cell r="D156" t="str">
            <v>1.8.5 )</v>
          </cell>
          <cell r="E156" t="str">
            <v>2.8.5 )</v>
          </cell>
          <cell r="F156" t="str">
            <v>3.8.5 )</v>
          </cell>
        </row>
        <row r="157">
          <cell r="B157" t="str">
            <v>154.0 )</v>
          </cell>
          <cell r="C157" t="str">
            <v>8.6 )</v>
          </cell>
          <cell r="D157" t="str">
            <v>1.8.6 )</v>
          </cell>
          <cell r="E157" t="str">
            <v>2.8.6 )</v>
          </cell>
          <cell r="F157" t="str">
            <v>3.8.6 )</v>
          </cell>
        </row>
        <row r="158">
          <cell r="B158" t="str">
            <v>155.0 )</v>
          </cell>
          <cell r="C158" t="str">
            <v>8.7 )</v>
          </cell>
          <cell r="D158" t="str">
            <v>1.8.7 )</v>
          </cell>
          <cell r="E158" t="str">
            <v>2.8.7 )</v>
          </cell>
          <cell r="F158" t="str">
            <v>3.8.7 )</v>
          </cell>
        </row>
        <row r="159">
          <cell r="B159" t="str">
            <v>156.0 )</v>
          </cell>
          <cell r="C159" t="str">
            <v>8.8 )</v>
          </cell>
          <cell r="D159" t="str">
            <v>1.8.8 )</v>
          </cell>
          <cell r="E159" t="str">
            <v>2.8.8 )</v>
          </cell>
          <cell r="F159" t="str">
            <v>3.8.8 )</v>
          </cell>
        </row>
        <row r="160">
          <cell r="B160" t="str">
            <v>157.0 )</v>
          </cell>
          <cell r="C160" t="str">
            <v>8.9 )</v>
          </cell>
          <cell r="D160" t="str">
            <v>1.8.9 )</v>
          </cell>
          <cell r="E160" t="str">
            <v>2.8.9 )</v>
          </cell>
          <cell r="F160" t="str">
            <v>3.8.9 )</v>
          </cell>
        </row>
        <row r="161">
          <cell r="B161" t="str">
            <v>158.0 )</v>
          </cell>
          <cell r="C161" t="str">
            <v>8.10 )</v>
          </cell>
          <cell r="D161" t="str">
            <v>1.8.10 )</v>
          </cell>
          <cell r="E161" t="str">
            <v>2.8.10 )</v>
          </cell>
          <cell r="F161" t="str">
            <v>3.8.10 )</v>
          </cell>
        </row>
        <row r="162">
          <cell r="B162" t="str">
            <v>159.0 )</v>
          </cell>
          <cell r="C162" t="str">
            <v>8.11 )</v>
          </cell>
          <cell r="D162" t="str">
            <v>1.8.11 )</v>
          </cell>
          <cell r="E162" t="str">
            <v>2.8.11 )</v>
          </cell>
          <cell r="F162" t="str">
            <v>3.8.11 )</v>
          </cell>
        </row>
        <row r="163">
          <cell r="B163" t="str">
            <v>160.0 )</v>
          </cell>
          <cell r="C163" t="str">
            <v>8.12 )</v>
          </cell>
          <cell r="D163" t="str">
            <v>1.8.12 )</v>
          </cell>
          <cell r="E163" t="str">
            <v>2.8.12 )</v>
          </cell>
          <cell r="F163" t="str">
            <v>3.8.12 )</v>
          </cell>
        </row>
        <row r="164">
          <cell r="B164" t="str">
            <v>161.0 )</v>
          </cell>
          <cell r="C164" t="str">
            <v>8.13 )</v>
          </cell>
          <cell r="D164" t="str">
            <v>1.8.13 )</v>
          </cell>
          <cell r="E164" t="str">
            <v>2.8.13 )</v>
          </cell>
          <cell r="F164" t="str">
            <v>3.8.13 )</v>
          </cell>
        </row>
        <row r="165">
          <cell r="B165" t="str">
            <v>162.0 )</v>
          </cell>
          <cell r="C165" t="str">
            <v>8.14 )</v>
          </cell>
          <cell r="D165" t="str">
            <v>1.8.14 )</v>
          </cell>
          <cell r="E165" t="str">
            <v>2.8.14 )</v>
          </cell>
          <cell r="F165" t="str">
            <v>3.8.14 )</v>
          </cell>
        </row>
        <row r="166">
          <cell r="B166" t="str">
            <v>163.0 )</v>
          </cell>
          <cell r="C166" t="str">
            <v>8.15 )</v>
          </cell>
          <cell r="D166" t="str">
            <v>1.8.15 )</v>
          </cell>
          <cell r="E166" t="str">
            <v>2.8.15 )</v>
          </cell>
          <cell r="F166" t="str">
            <v>3.8.15 )</v>
          </cell>
        </row>
        <row r="167">
          <cell r="B167" t="str">
            <v>164.0 )</v>
          </cell>
          <cell r="C167" t="str">
            <v>8.16 )</v>
          </cell>
          <cell r="D167" t="str">
            <v>1.8.16 )</v>
          </cell>
          <cell r="E167" t="str">
            <v>2.8.16 )</v>
          </cell>
          <cell r="F167" t="str">
            <v>3.8.16 )</v>
          </cell>
        </row>
        <row r="168">
          <cell r="B168" t="str">
            <v>165.0 )</v>
          </cell>
          <cell r="C168" t="str">
            <v>8.17 )</v>
          </cell>
          <cell r="D168" t="str">
            <v>1.8.17 )</v>
          </cell>
          <cell r="E168" t="str">
            <v>2.8.17 )</v>
          </cell>
          <cell r="F168" t="str">
            <v>3.8.17 )</v>
          </cell>
        </row>
        <row r="169">
          <cell r="B169" t="str">
            <v>166.0 )</v>
          </cell>
          <cell r="C169" t="str">
            <v>8.18 )</v>
          </cell>
          <cell r="D169" t="str">
            <v>1.8.18 )</v>
          </cell>
          <cell r="E169" t="str">
            <v>2.8.18 )</v>
          </cell>
          <cell r="F169" t="str">
            <v>3.8.18 )</v>
          </cell>
        </row>
        <row r="170">
          <cell r="B170" t="str">
            <v>167.0 )</v>
          </cell>
          <cell r="C170" t="str">
            <v>8.19 )</v>
          </cell>
          <cell r="D170" t="str">
            <v>1.8.19 )</v>
          </cell>
          <cell r="E170" t="str">
            <v>2.8.19 )</v>
          </cell>
          <cell r="F170" t="str">
            <v>3.8.19 )</v>
          </cell>
        </row>
        <row r="171">
          <cell r="B171" t="str">
            <v>168.0 )</v>
          </cell>
          <cell r="C171" t="str">
            <v>8.20 )</v>
          </cell>
          <cell r="D171" t="str">
            <v>1.8.20 )</v>
          </cell>
          <cell r="E171" t="str">
            <v>2.8.20 )</v>
          </cell>
          <cell r="F171" t="str">
            <v>3.8.20 )</v>
          </cell>
        </row>
        <row r="172">
          <cell r="B172" t="str">
            <v>169.0 )</v>
          </cell>
          <cell r="C172" t="str">
            <v>9.0 )</v>
          </cell>
          <cell r="D172" t="str">
            <v>1.9.0 )</v>
          </cell>
          <cell r="E172" t="str">
            <v>2.9.0 )</v>
          </cell>
          <cell r="F172" t="str">
            <v>3.9.0 )</v>
          </cell>
        </row>
        <row r="173">
          <cell r="B173" t="str">
            <v>170.0 )</v>
          </cell>
          <cell r="C173" t="str">
            <v>9.1 )</v>
          </cell>
          <cell r="D173" t="str">
            <v>1.9.1 )</v>
          </cell>
          <cell r="E173" t="str">
            <v>2.9.1 )</v>
          </cell>
          <cell r="F173" t="str">
            <v>3.9.1 )</v>
          </cell>
        </row>
        <row r="174">
          <cell r="B174" t="str">
            <v>171.0 )</v>
          </cell>
          <cell r="C174" t="str">
            <v>9.2 )</v>
          </cell>
          <cell r="D174" t="str">
            <v>1.9.2 )</v>
          </cell>
          <cell r="E174" t="str">
            <v>2.9.2 )</v>
          </cell>
          <cell r="F174" t="str">
            <v>3.9.2 )</v>
          </cell>
        </row>
        <row r="175">
          <cell r="B175" t="str">
            <v>172.0 )</v>
          </cell>
          <cell r="C175" t="str">
            <v>9.3 )</v>
          </cell>
          <cell r="D175" t="str">
            <v>1.9.3 )</v>
          </cell>
          <cell r="E175" t="str">
            <v>2.9.3 )</v>
          </cell>
          <cell r="F175" t="str">
            <v>3.9.3 )</v>
          </cell>
        </row>
        <row r="176">
          <cell r="B176" t="str">
            <v>173.0 )</v>
          </cell>
          <cell r="C176" t="str">
            <v>9.4 )</v>
          </cell>
          <cell r="D176" t="str">
            <v>1.9.4 )</v>
          </cell>
          <cell r="E176" t="str">
            <v>2.9.4 )</v>
          </cell>
          <cell r="F176" t="str">
            <v>3.9.4 )</v>
          </cell>
        </row>
        <row r="177">
          <cell r="B177" t="str">
            <v>174.0 )</v>
          </cell>
          <cell r="C177" t="str">
            <v>9.5 )</v>
          </cell>
          <cell r="D177" t="str">
            <v>1.9.5 )</v>
          </cell>
          <cell r="E177" t="str">
            <v>2.9.5 )</v>
          </cell>
          <cell r="F177" t="str">
            <v>3.9.5 )</v>
          </cell>
        </row>
        <row r="178">
          <cell r="B178" t="str">
            <v>175.0 )</v>
          </cell>
          <cell r="C178" t="str">
            <v>9.6 )</v>
          </cell>
          <cell r="D178" t="str">
            <v>1.9.6 )</v>
          </cell>
          <cell r="E178" t="str">
            <v>2.9.6 )</v>
          </cell>
          <cell r="F178" t="str">
            <v>3.9.6 )</v>
          </cell>
        </row>
        <row r="179">
          <cell r="B179" t="str">
            <v>176.0 )</v>
          </cell>
          <cell r="C179" t="str">
            <v>9.7 )</v>
          </cell>
          <cell r="D179" t="str">
            <v>1.9.7 )</v>
          </cell>
          <cell r="E179" t="str">
            <v>2.9.7 )</v>
          </cell>
          <cell r="F179" t="str">
            <v>3.9.7 )</v>
          </cell>
        </row>
        <row r="180">
          <cell r="B180" t="str">
            <v>177.0 )</v>
          </cell>
          <cell r="C180" t="str">
            <v>9.8 )</v>
          </cell>
          <cell r="D180" t="str">
            <v>1.9.8 )</v>
          </cell>
          <cell r="E180" t="str">
            <v>2.9.8 )</v>
          </cell>
          <cell r="F180" t="str">
            <v>3.9.8 )</v>
          </cell>
        </row>
        <row r="181">
          <cell r="B181" t="str">
            <v>178.0 )</v>
          </cell>
          <cell r="C181" t="str">
            <v>9.9 )</v>
          </cell>
          <cell r="D181" t="str">
            <v>1.9.9 )</v>
          </cell>
          <cell r="E181" t="str">
            <v>2.9.9 )</v>
          </cell>
          <cell r="F181" t="str">
            <v>3.9.9 )</v>
          </cell>
        </row>
        <row r="182">
          <cell r="B182" t="str">
            <v>179.0 )</v>
          </cell>
          <cell r="C182" t="str">
            <v>9.10 )</v>
          </cell>
          <cell r="D182" t="str">
            <v>1.9.10 )</v>
          </cell>
          <cell r="E182" t="str">
            <v>2.9.10 )</v>
          </cell>
          <cell r="F182" t="str">
            <v>3.9.10 )</v>
          </cell>
        </row>
        <row r="183">
          <cell r="B183" t="str">
            <v>180.0 )</v>
          </cell>
          <cell r="C183" t="str">
            <v>9.11 )</v>
          </cell>
          <cell r="D183" t="str">
            <v>1.9.11 )</v>
          </cell>
          <cell r="E183" t="str">
            <v>2.9.11 )</v>
          </cell>
          <cell r="F183" t="str">
            <v>3.9.11 )</v>
          </cell>
        </row>
        <row r="184">
          <cell r="B184" t="str">
            <v>181.0 )</v>
          </cell>
          <cell r="C184" t="str">
            <v>9.12 )</v>
          </cell>
          <cell r="D184" t="str">
            <v>1.9.12 )</v>
          </cell>
          <cell r="E184" t="str">
            <v>2.9.12 )</v>
          </cell>
          <cell r="F184" t="str">
            <v>3.9.12 )</v>
          </cell>
        </row>
        <row r="185">
          <cell r="B185" t="str">
            <v>182.0 )</v>
          </cell>
          <cell r="C185" t="str">
            <v>9.13 )</v>
          </cell>
          <cell r="D185" t="str">
            <v>1.9.13 )</v>
          </cell>
          <cell r="E185" t="str">
            <v>2.9.13 )</v>
          </cell>
          <cell r="F185" t="str">
            <v>3.9.13 )</v>
          </cell>
        </row>
        <row r="186">
          <cell r="B186" t="str">
            <v>183.0 )</v>
          </cell>
          <cell r="C186" t="str">
            <v>9.14 )</v>
          </cell>
          <cell r="D186" t="str">
            <v>1.9.14 )</v>
          </cell>
          <cell r="E186" t="str">
            <v>2.9.14 )</v>
          </cell>
          <cell r="F186" t="str">
            <v>3.9.14 )</v>
          </cell>
        </row>
        <row r="187">
          <cell r="B187" t="str">
            <v>184.0 )</v>
          </cell>
          <cell r="C187" t="str">
            <v>9.15 )</v>
          </cell>
          <cell r="D187" t="str">
            <v>1.9.15 )</v>
          </cell>
          <cell r="E187" t="str">
            <v>2.9.15 )</v>
          </cell>
          <cell r="F187" t="str">
            <v>3.9.15 )</v>
          </cell>
        </row>
        <row r="188">
          <cell r="B188" t="str">
            <v>185.0 )</v>
          </cell>
          <cell r="C188" t="str">
            <v>9.16 )</v>
          </cell>
          <cell r="D188" t="str">
            <v>1.9.16 )</v>
          </cell>
          <cell r="E188" t="str">
            <v>2.9.16 )</v>
          </cell>
          <cell r="F188" t="str">
            <v>3.9.16 )</v>
          </cell>
        </row>
        <row r="189">
          <cell r="B189" t="str">
            <v>186.0 )</v>
          </cell>
          <cell r="C189" t="str">
            <v>9.17 )</v>
          </cell>
          <cell r="D189" t="str">
            <v>1.9.17 )</v>
          </cell>
          <cell r="E189" t="str">
            <v>2.9.17 )</v>
          </cell>
          <cell r="F189" t="str">
            <v>3.9.17 )</v>
          </cell>
        </row>
        <row r="190">
          <cell r="B190" t="str">
            <v>187.0 )</v>
          </cell>
          <cell r="C190" t="str">
            <v>9.18 )</v>
          </cell>
          <cell r="D190" t="str">
            <v>1.9.18 )</v>
          </cell>
          <cell r="E190" t="str">
            <v>2.9.18 )</v>
          </cell>
          <cell r="F190" t="str">
            <v>3.9.18 )</v>
          </cell>
        </row>
        <row r="191">
          <cell r="B191" t="str">
            <v>188.0 )</v>
          </cell>
          <cell r="C191" t="str">
            <v>9.19 )</v>
          </cell>
          <cell r="D191" t="str">
            <v>1.9.19 )</v>
          </cell>
          <cell r="E191" t="str">
            <v>2.9.19 )</v>
          </cell>
          <cell r="F191" t="str">
            <v>3.9.19 )</v>
          </cell>
        </row>
        <row r="192">
          <cell r="B192" t="str">
            <v>189.0 )</v>
          </cell>
          <cell r="C192" t="str">
            <v>9.20 )</v>
          </cell>
          <cell r="D192" t="str">
            <v>1.9.20 )</v>
          </cell>
          <cell r="E192" t="str">
            <v>2.9.20 )</v>
          </cell>
          <cell r="F192" t="str">
            <v>3.9.20 )</v>
          </cell>
        </row>
        <row r="193">
          <cell r="B193" t="str">
            <v>190.0 )</v>
          </cell>
          <cell r="C193" t="str">
            <v>10.0 )</v>
          </cell>
          <cell r="D193" t="str">
            <v>1.10.0 )</v>
          </cell>
          <cell r="E193" t="str">
            <v>2.10.0 )</v>
          </cell>
          <cell r="F193" t="str">
            <v>3.10.0 )</v>
          </cell>
        </row>
        <row r="194">
          <cell r="B194" t="str">
            <v>191.0 )</v>
          </cell>
          <cell r="C194" t="str">
            <v>10.1 )</v>
          </cell>
          <cell r="D194" t="str">
            <v>1.10.1 )</v>
          </cell>
          <cell r="E194" t="str">
            <v>2.10.1 )</v>
          </cell>
          <cell r="F194" t="str">
            <v>3.10.1 )</v>
          </cell>
        </row>
        <row r="195">
          <cell r="B195" t="str">
            <v>192.0 )</v>
          </cell>
          <cell r="C195" t="str">
            <v>10.2 )</v>
          </cell>
          <cell r="D195" t="str">
            <v>1.10.2 )</v>
          </cell>
          <cell r="E195" t="str">
            <v>2.10.2 )</v>
          </cell>
          <cell r="F195" t="str">
            <v>3.10.2 )</v>
          </cell>
        </row>
        <row r="196">
          <cell r="B196" t="str">
            <v>193.0 )</v>
          </cell>
          <cell r="C196" t="str">
            <v>10.3 )</v>
          </cell>
          <cell r="D196" t="str">
            <v>1.10.3 )</v>
          </cell>
          <cell r="E196" t="str">
            <v>2.10.3 )</v>
          </cell>
          <cell r="F196" t="str">
            <v>3.10.3 )</v>
          </cell>
        </row>
        <row r="197">
          <cell r="B197" t="str">
            <v>194.0 )</v>
          </cell>
          <cell r="C197" t="str">
            <v>10.4 )</v>
          </cell>
          <cell r="D197" t="str">
            <v>1.10.4 )</v>
          </cell>
          <cell r="E197" t="str">
            <v>2.10.4 )</v>
          </cell>
          <cell r="F197" t="str">
            <v>3.10.4 )</v>
          </cell>
        </row>
        <row r="198">
          <cell r="B198" t="str">
            <v>195.0 )</v>
          </cell>
          <cell r="C198" t="str">
            <v>10.5 )</v>
          </cell>
          <cell r="D198" t="str">
            <v>1.10.5 )</v>
          </cell>
          <cell r="E198" t="str">
            <v>2.10.5 )</v>
          </cell>
          <cell r="F198" t="str">
            <v>3.10.5 )</v>
          </cell>
        </row>
        <row r="199">
          <cell r="B199" t="str">
            <v>196.0 )</v>
          </cell>
          <cell r="C199" t="str">
            <v>10.6 )</v>
          </cell>
          <cell r="D199" t="str">
            <v>1.10.6 )</v>
          </cell>
          <cell r="E199" t="str">
            <v>2.10.6 )</v>
          </cell>
          <cell r="F199" t="str">
            <v>3.10.6 )</v>
          </cell>
        </row>
        <row r="200">
          <cell r="B200" t="str">
            <v>197.0 )</v>
          </cell>
          <cell r="C200" t="str">
            <v>10.7 )</v>
          </cell>
          <cell r="D200" t="str">
            <v>1.10.7 )</v>
          </cell>
          <cell r="E200" t="str">
            <v>2.10.7 )</v>
          </cell>
          <cell r="F200" t="str">
            <v>3.10.7 )</v>
          </cell>
        </row>
        <row r="201">
          <cell r="B201" t="str">
            <v>198.0 )</v>
          </cell>
          <cell r="C201" t="str">
            <v>10.8 )</v>
          </cell>
          <cell r="D201" t="str">
            <v>1.10.8 )</v>
          </cell>
          <cell r="E201" t="str">
            <v>2.10.8 )</v>
          </cell>
          <cell r="F201" t="str">
            <v>3.10.8 )</v>
          </cell>
        </row>
        <row r="202">
          <cell r="B202" t="str">
            <v>199.0 )</v>
          </cell>
          <cell r="C202" t="str">
            <v>10.9 )</v>
          </cell>
          <cell r="D202" t="str">
            <v>1.10.9 )</v>
          </cell>
          <cell r="E202" t="str">
            <v>2.10.9 )</v>
          </cell>
          <cell r="F202" t="str">
            <v>3.10.9 )</v>
          </cell>
        </row>
        <row r="203">
          <cell r="B203" t="str">
            <v>200.0 )</v>
          </cell>
          <cell r="C203" t="str">
            <v>10.10 )</v>
          </cell>
          <cell r="D203" t="str">
            <v>1.10.10 )</v>
          </cell>
          <cell r="E203" t="str">
            <v>2.10.10 )</v>
          </cell>
          <cell r="F203" t="str">
            <v>3.10.10 )</v>
          </cell>
        </row>
        <row r="204">
          <cell r="B204" t="str">
            <v>201.0 )</v>
          </cell>
          <cell r="C204" t="str">
            <v>10.11 )</v>
          </cell>
          <cell r="D204" t="str">
            <v>1.10.11 )</v>
          </cell>
          <cell r="E204" t="str">
            <v>2.10.11 )</v>
          </cell>
          <cell r="F204" t="str">
            <v>3.10.11 )</v>
          </cell>
        </row>
        <row r="205">
          <cell r="B205" t="str">
            <v>202.0 )</v>
          </cell>
          <cell r="C205" t="str">
            <v>10.12 )</v>
          </cell>
          <cell r="D205" t="str">
            <v>1.10.12 )</v>
          </cell>
          <cell r="E205" t="str">
            <v>2.10.12 )</v>
          </cell>
          <cell r="F205" t="str">
            <v>3.10.12 )</v>
          </cell>
        </row>
        <row r="206">
          <cell r="B206" t="str">
            <v>203.0 )</v>
          </cell>
          <cell r="C206" t="str">
            <v>10.13 )</v>
          </cell>
          <cell r="D206" t="str">
            <v>1.10.13 )</v>
          </cell>
          <cell r="E206" t="str">
            <v>2.10.13 )</v>
          </cell>
          <cell r="F206" t="str">
            <v>3.10.13 )</v>
          </cell>
        </row>
        <row r="207">
          <cell r="B207" t="str">
            <v>204.0 )</v>
          </cell>
          <cell r="C207" t="str">
            <v>10.14 )</v>
          </cell>
          <cell r="D207" t="str">
            <v>1.10.14 )</v>
          </cell>
          <cell r="E207" t="str">
            <v>2.10.14 )</v>
          </cell>
          <cell r="F207" t="str">
            <v>3.10.14 )</v>
          </cell>
        </row>
        <row r="208">
          <cell r="B208" t="str">
            <v>205.0 )</v>
          </cell>
          <cell r="C208" t="str">
            <v>10.15 )</v>
          </cell>
          <cell r="D208" t="str">
            <v>1.10.15 )</v>
          </cell>
          <cell r="E208" t="str">
            <v>2.10.15 )</v>
          </cell>
          <cell r="F208" t="str">
            <v>3.10.15 )</v>
          </cell>
        </row>
        <row r="209">
          <cell r="B209" t="str">
            <v>206.0 )</v>
          </cell>
          <cell r="C209" t="str">
            <v>10.16 )</v>
          </cell>
          <cell r="D209" t="str">
            <v>1.10.16 )</v>
          </cell>
          <cell r="E209" t="str">
            <v>2.10.16 )</v>
          </cell>
          <cell r="F209" t="str">
            <v>3.10.16 )</v>
          </cell>
        </row>
        <row r="210">
          <cell r="B210" t="str">
            <v>207.0 )</v>
          </cell>
          <cell r="C210" t="str">
            <v>10.17 )</v>
          </cell>
          <cell r="D210" t="str">
            <v>1.10.17 )</v>
          </cell>
          <cell r="E210" t="str">
            <v>2.10.17 )</v>
          </cell>
          <cell r="F210" t="str">
            <v>3.10.17 )</v>
          </cell>
        </row>
        <row r="211">
          <cell r="B211" t="str">
            <v>208.0 )</v>
          </cell>
          <cell r="C211" t="str">
            <v>10.18 )</v>
          </cell>
          <cell r="D211" t="str">
            <v>1.10.18 )</v>
          </cell>
          <cell r="E211" t="str">
            <v>2.10.18 )</v>
          </cell>
          <cell r="F211" t="str">
            <v>3.10.18 )</v>
          </cell>
        </row>
        <row r="212">
          <cell r="B212" t="str">
            <v>209.0 )</v>
          </cell>
          <cell r="C212" t="str">
            <v>10.19 )</v>
          </cell>
          <cell r="D212" t="str">
            <v>1.10.19 )</v>
          </cell>
          <cell r="E212" t="str">
            <v>2.10.19 )</v>
          </cell>
          <cell r="F212" t="str">
            <v>3.10.19 )</v>
          </cell>
        </row>
        <row r="213">
          <cell r="B213" t="str">
            <v>210.0 )</v>
          </cell>
          <cell r="C213" t="str">
            <v>10.20 )</v>
          </cell>
          <cell r="D213" t="str">
            <v>1.10.20 )</v>
          </cell>
          <cell r="E213" t="str">
            <v>2.10.20 )</v>
          </cell>
          <cell r="F213" t="str">
            <v>3.10.20 )</v>
          </cell>
        </row>
        <row r="214">
          <cell r="B214" t="str">
            <v>211.0 )</v>
          </cell>
          <cell r="C214" t="str">
            <v>11.0 )</v>
          </cell>
          <cell r="D214" t="str">
            <v>1.11.0 )</v>
          </cell>
          <cell r="E214" t="str">
            <v>2.11.0 )</v>
          </cell>
          <cell r="F214" t="str">
            <v>3.11.0 )</v>
          </cell>
        </row>
        <row r="215">
          <cell r="B215" t="str">
            <v>212.0 )</v>
          </cell>
          <cell r="C215" t="str">
            <v>11.1 )</v>
          </cell>
          <cell r="D215" t="str">
            <v>1.11.1 )</v>
          </cell>
          <cell r="E215" t="str">
            <v>2.11.1 )</v>
          </cell>
          <cell r="F215" t="str">
            <v>3.11.1 )</v>
          </cell>
        </row>
        <row r="216">
          <cell r="B216" t="str">
            <v>213.0 )</v>
          </cell>
          <cell r="C216" t="str">
            <v>11.2 )</v>
          </cell>
          <cell r="D216" t="str">
            <v>1.11.2 )</v>
          </cell>
          <cell r="E216" t="str">
            <v>2.11.2 )</v>
          </cell>
          <cell r="F216" t="str">
            <v>3.11.2 )</v>
          </cell>
        </row>
        <row r="217">
          <cell r="B217" t="str">
            <v>214.0 )</v>
          </cell>
          <cell r="C217" t="str">
            <v>11.3 )</v>
          </cell>
          <cell r="D217" t="str">
            <v>1.11.3 )</v>
          </cell>
          <cell r="E217" t="str">
            <v>2.11.3 )</v>
          </cell>
          <cell r="F217" t="str">
            <v>3.11.3 )</v>
          </cell>
        </row>
        <row r="218">
          <cell r="B218" t="str">
            <v>215.0 )</v>
          </cell>
          <cell r="C218" t="str">
            <v>11.4 )</v>
          </cell>
          <cell r="D218" t="str">
            <v>1.11.4 )</v>
          </cell>
          <cell r="E218" t="str">
            <v>2.11.4 )</v>
          </cell>
          <cell r="F218" t="str">
            <v>3.11.4 )</v>
          </cell>
        </row>
        <row r="219">
          <cell r="B219" t="str">
            <v>216.0 )</v>
          </cell>
          <cell r="C219" t="str">
            <v>11.5 )</v>
          </cell>
          <cell r="D219" t="str">
            <v>1.11.5 )</v>
          </cell>
          <cell r="E219" t="str">
            <v>2.11.5 )</v>
          </cell>
          <cell r="F219" t="str">
            <v>3.11.5 )</v>
          </cell>
        </row>
        <row r="220">
          <cell r="B220" t="str">
            <v>217.0 )</v>
          </cell>
          <cell r="C220" t="str">
            <v>11.6 )</v>
          </cell>
          <cell r="D220" t="str">
            <v>1.11.6 )</v>
          </cell>
          <cell r="E220" t="str">
            <v>2.11.6 )</v>
          </cell>
          <cell r="F220" t="str">
            <v>3.11.6 )</v>
          </cell>
        </row>
        <row r="221">
          <cell r="B221" t="str">
            <v>218.0 )</v>
          </cell>
          <cell r="C221" t="str">
            <v>11.7 )</v>
          </cell>
          <cell r="D221" t="str">
            <v>1.11.7 )</v>
          </cell>
          <cell r="E221" t="str">
            <v>2.11.7 )</v>
          </cell>
          <cell r="F221" t="str">
            <v>3.11.7 )</v>
          </cell>
        </row>
        <row r="222">
          <cell r="B222" t="str">
            <v>219.0 )</v>
          </cell>
          <cell r="C222" t="str">
            <v>11.8 )</v>
          </cell>
          <cell r="D222" t="str">
            <v>1.11.8 )</v>
          </cell>
          <cell r="E222" t="str">
            <v>2.11.8 )</v>
          </cell>
          <cell r="F222" t="str">
            <v>3.11.8 )</v>
          </cell>
        </row>
        <row r="223">
          <cell r="B223" t="str">
            <v>220.0 )</v>
          </cell>
          <cell r="C223" t="str">
            <v>11.9 )</v>
          </cell>
          <cell r="D223" t="str">
            <v>1.11.9 )</v>
          </cell>
          <cell r="E223" t="str">
            <v>2.11.9 )</v>
          </cell>
          <cell r="F223" t="str">
            <v>3.11.9 )</v>
          </cell>
        </row>
        <row r="224">
          <cell r="B224" t="str">
            <v>221.0 )</v>
          </cell>
          <cell r="C224" t="str">
            <v>11.10 )</v>
          </cell>
          <cell r="D224" t="str">
            <v>1.11.10 )</v>
          </cell>
          <cell r="E224" t="str">
            <v>2.11.10 )</v>
          </cell>
          <cell r="F224" t="str">
            <v>3.11.10 )</v>
          </cell>
        </row>
        <row r="225">
          <cell r="B225" t="str">
            <v>222.0 )</v>
          </cell>
          <cell r="C225" t="str">
            <v>11.11 )</v>
          </cell>
          <cell r="D225" t="str">
            <v>1.11.11 )</v>
          </cell>
          <cell r="E225" t="str">
            <v>2.11.11 )</v>
          </cell>
          <cell r="F225" t="str">
            <v>3.11.11 )</v>
          </cell>
        </row>
        <row r="226">
          <cell r="B226" t="str">
            <v>223.0 )</v>
          </cell>
          <cell r="C226" t="str">
            <v>11.12 )</v>
          </cell>
          <cell r="D226" t="str">
            <v>1.11.12 )</v>
          </cell>
          <cell r="E226" t="str">
            <v>2.11.12 )</v>
          </cell>
          <cell r="F226" t="str">
            <v>3.11.12 )</v>
          </cell>
        </row>
        <row r="227">
          <cell r="B227" t="str">
            <v>224.0 )</v>
          </cell>
          <cell r="C227" t="str">
            <v>11.13 )</v>
          </cell>
          <cell r="D227" t="str">
            <v>1.11.13 )</v>
          </cell>
          <cell r="E227" t="str">
            <v>2.11.13 )</v>
          </cell>
          <cell r="F227" t="str">
            <v>3.11.13 )</v>
          </cell>
        </row>
        <row r="228">
          <cell r="B228" t="str">
            <v>225.0 )</v>
          </cell>
          <cell r="C228" t="str">
            <v>11.14 )</v>
          </cell>
          <cell r="D228" t="str">
            <v>1.11.14 )</v>
          </cell>
          <cell r="E228" t="str">
            <v>2.11.14 )</v>
          </cell>
          <cell r="F228" t="str">
            <v>3.11.14 )</v>
          </cell>
        </row>
        <row r="229">
          <cell r="B229" t="str">
            <v>226.0 )</v>
          </cell>
          <cell r="C229" t="str">
            <v>11.15 )</v>
          </cell>
          <cell r="D229" t="str">
            <v>1.11.15 )</v>
          </cell>
          <cell r="E229" t="str">
            <v>2.11.15 )</v>
          </cell>
          <cell r="F229" t="str">
            <v>3.11.15 )</v>
          </cell>
        </row>
        <row r="230">
          <cell r="B230" t="str">
            <v>227.0 )</v>
          </cell>
          <cell r="C230" t="str">
            <v>11.16 )</v>
          </cell>
          <cell r="D230" t="str">
            <v>1.11.16 )</v>
          </cell>
          <cell r="E230" t="str">
            <v>2.11.16 )</v>
          </cell>
          <cell r="F230" t="str">
            <v>3.11.16 )</v>
          </cell>
        </row>
        <row r="231">
          <cell r="B231" t="str">
            <v>228.0 )</v>
          </cell>
          <cell r="C231" t="str">
            <v>11.17 )</v>
          </cell>
          <cell r="D231" t="str">
            <v>1.11.17 )</v>
          </cell>
          <cell r="E231" t="str">
            <v>2.11.17 )</v>
          </cell>
          <cell r="F231" t="str">
            <v>3.11.17 )</v>
          </cell>
        </row>
        <row r="232">
          <cell r="B232" t="str">
            <v>229.0 )</v>
          </cell>
          <cell r="C232" t="str">
            <v>11.18 )</v>
          </cell>
          <cell r="D232" t="str">
            <v>1.11.18 )</v>
          </cell>
          <cell r="E232" t="str">
            <v>2.11.18 )</v>
          </cell>
          <cell r="F232" t="str">
            <v>3.11.18 )</v>
          </cell>
        </row>
        <row r="233">
          <cell r="B233" t="str">
            <v>230.0 )</v>
          </cell>
          <cell r="C233" t="str">
            <v>11.19 )</v>
          </cell>
          <cell r="D233" t="str">
            <v>1.11.19 )</v>
          </cell>
          <cell r="E233" t="str">
            <v>2.11.19 )</v>
          </cell>
          <cell r="F233" t="str">
            <v>3.11.19 )</v>
          </cell>
        </row>
        <row r="234">
          <cell r="B234" t="str">
            <v>231.0 )</v>
          </cell>
          <cell r="C234" t="str">
            <v>11.20 )</v>
          </cell>
          <cell r="D234" t="str">
            <v>1.11.20 )</v>
          </cell>
          <cell r="E234" t="str">
            <v>2.11.20 )</v>
          </cell>
          <cell r="F234" t="str">
            <v>3.11.20 )</v>
          </cell>
        </row>
        <row r="235">
          <cell r="B235" t="str">
            <v>232.0 )</v>
          </cell>
          <cell r="C235" t="str">
            <v>12.0 )</v>
          </cell>
          <cell r="D235" t="str">
            <v>1.12.0 )</v>
          </cell>
          <cell r="E235" t="str">
            <v>2.12.0 )</v>
          </cell>
          <cell r="F235" t="str">
            <v>3.12.0 )</v>
          </cell>
        </row>
        <row r="236">
          <cell r="B236" t="str">
            <v>233.0 )</v>
          </cell>
          <cell r="C236" t="str">
            <v>12.1 )</v>
          </cell>
          <cell r="D236" t="str">
            <v>1.12.1 )</v>
          </cell>
          <cell r="E236" t="str">
            <v>2.12.1 )</v>
          </cell>
          <cell r="F236" t="str">
            <v>3.12.1 )</v>
          </cell>
        </row>
        <row r="237">
          <cell r="B237" t="str">
            <v>234.0 )</v>
          </cell>
          <cell r="C237" t="str">
            <v>12.2 )</v>
          </cell>
          <cell r="D237" t="str">
            <v>1.12.2 )</v>
          </cell>
          <cell r="E237" t="str">
            <v>2.12.2 )</v>
          </cell>
          <cell r="F237" t="str">
            <v>3.12.2 )</v>
          </cell>
        </row>
        <row r="238">
          <cell r="B238" t="str">
            <v>235.0 )</v>
          </cell>
          <cell r="C238" t="str">
            <v>12.3 )</v>
          </cell>
          <cell r="D238" t="str">
            <v>1.12.3 )</v>
          </cell>
          <cell r="E238" t="str">
            <v>2.12.3 )</v>
          </cell>
          <cell r="F238" t="str">
            <v>3.12.3 )</v>
          </cell>
        </row>
        <row r="239">
          <cell r="B239" t="str">
            <v>236.0 )</v>
          </cell>
          <cell r="C239" t="str">
            <v>12.4 )</v>
          </cell>
          <cell r="D239" t="str">
            <v>1.12.4 )</v>
          </cell>
          <cell r="E239" t="str">
            <v>2.12.4 )</v>
          </cell>
          <cell r="F239" t="str">
            <v>3.12.4 )</v>
          </cell>
        </row>
        <row r="240">
          <cell r="B240" t="str">
            <v>237.0 )</v>
          </cell>
          <cell r="C240" t="str">
            <v>12.5 )</v>
          </cell>
          <cell r="D240" t="str">
            <v>1.12.5 )</v>
          </cell>
          <cell r="E240" t="str">
            <v>2.12.5 )</v>
          </cell>
          <cell r="F240" t="str">
            <v>3.12.5 )</v>
          </cell>
        </row>
        <row r="241">
          <cell r="B241" t="str">
            <v>238.0 )</v>
          </cell>
          <cell r="C241" t="str">
            <v>12.6 )</v>
          </cell>
          <cell r="D241" t="str">
            <v>1.12.6 )</v>
          </cell>
          <cell r="E241" t="str">
            <v>2.12.6 )</v>
          </cell>
          <cell r="F241" t="str">
            <v>3.12.6 )</v>
          </cell>
        </row>
        <row r="242">
          <cell r="B242" t="str">
            <v>239.0 )</v>
          </cell>
          <cell r="C242" t="str">
            <v>12.7 )</v>
          </cell>
          <cell r="D242" t="str">
            <v>1.12.7 )</v>
          </cell>
          <cell r="E242" t="str">
            <v>2.12.7 )</v>
          </cell>
          <cell r="F242" t="str">
            <v>3.12.7 )</v>
          </cell>
        </row>
        <row r="243">
          <cell r="B243" t="str">
            <v>240.0 )</v>
          </cell>
          <cell r="C243" t="str">
            <v>12.8 )</v>
          </cell>
          <cell r="D243" t="str">
            <v>1.12.8 )</v>
          </cell>
          <cell r="E243" t="str">
            <v>2.12.8 )</v>
          </cell>
          <cell r="F243" t="str">
            <v>3.12.8 )</v>
          </cell>
        </row>
        <row r="244">
          <cell r="B244" t="str">
            <v>241.0 )</v>
          </cell>
          <cell r="C244" t="str">
            <v>12.9 )</v>
          </cell>
          <cell r="D244" t="str">
            <v>1.12.9 )</v>
          </cell>
          <cell r="E244" t="str">
            <v>2.12.9 )</v>
          </cell>
          <cell r="F244" t="str">
            <v>3.12.9 )</v>
          </cell>
        </row>
        <row r="245">
          <cell r="B245" t="str">
            <v>242.0 )</v>
          </cell>
          <cell r="C245" t="str">
            <v>12.10 )</v>
          </cell>
          <cell r="D245" t="str">
            <v>1.12.10 )</v>
          </cell>
          <cell r="E245" t="str">
            <v>2.12.10 )</v>
          </cell>
          <cell r="F245" t="str">
            <v>3.12.10 )</v>
          </cell>
        </row>
        <row r="246">
          <cell r="B246" t="str">
            <v>243.0 )</v>
          </cell>
          <cell r="C246" t="str">
            <v>12.11 )</v>
          </cell>
          <cell r="D246" t="str">
            <v>1.12.11 )</v>
          </cell>
          <cell r="E246" t="str">
            <v>2.12.11 )</v>
          </cell>
          <cell r="F246" t="str">
            <v>3.12.11 )</v>
          </cell>
        </row>
        <row r="247">
          <cell r="B247" t="str">
            <v>244.0 )</v>
          </cell>
          <cell r="C247" t="str">
            <v>12.12 )</v>
          </cell>
          <cell r="D247" t="str">
            <v>1.12.12 )</v>
          </cell>
          <cell r="E247" t="str">
            <v>2.12.12 )</v>
          </cell>
          <cell r="F247" t="str">
            <v>3.12.12 )</v>
          </cell>
        </row>
        <row r="248">
          <cell r="B248" t="str">
            <v>245.0 )</v>
          </cell>
          <cell r="C248" t="str">
            <v>12.13 )</v>
          </cell>
          <cell r="D248" t="str">
            <v>1.12.13 )</v>
          </cell>
          <cell r="E248" t="str">
            <v>2.12.13 )</v>
          </cell>
          <cell r="F248" t="str">
            <v>3.12.13 )</v>
          </cell>
        </row>
        <row r="249">
          <cell r="B249" t="str">
            <v>246.0 )</v>
          </cell>
          <cell r="C249" t="str">
            <v>12.14 )</v>
          </cell>
          <cell r="D249" t="str">
            <v>1.12.14 )</v>
          </cell>
          <cell r="E249" t="str">
            <v>2.12.14 )</v>
          </cell>
          <cell r="F249" t="str">
            <v>3.12.14 )</v>
          </cell>
        </row>
        <row r="250">
          <cell r="B250" t="str">
            <v>247.0 )</v>
          </cell>
          <cell r="C250" t="str">
            <v>12.15 )</v>
          </cell>
          <cell r="D250" t="str">
            <v>1.12.15 )</v>
          </cell>
          <cell r="E250" t="str">
            <v>2.12.15 )</v>
          </cell>
          <cell r="F250" t="str">
            <v>3.12.15 )</v>
          </cell>
        </row>
        <row r="251">
          <cell r="B251" t="str">
            <v>248.0 )</v>
          </cell>
          <cell r="C251" t="str">
            <v>12.16 )</v>
          </cell>
          <cell r="D251" t="str">
            <v>1.12.16 )</v>
          </cell>
          <cell r="E251" t="str">
            <v>2.12.16 )</v>
          </cell>
          <cell r="F251" t="str">
            <v>3.12.16 )</v>
          </cell>
        </row>
        <row r="252">
          <cell r="B252" t="str">
            <v>249.0 )</v>
          </cell>
          <cell r="C252" t="str">
            <v>12.17 )</v>
          </cell>
          <cell r="D252" t="str">
            <v>1.12.17 )</v>
          </cell>
          <cell r="E252" t="str">
            <v>2.12.17 )</v>
          </cell>
          <cell r="F252" t="str">
            <v>3.12.17 )</v>
          </cell>
        </row>
        <row r="253">
          <cell r="B253" t="str">
            <v>250.0 )</v>
          </cell>
          <cell r="C253" t="str">
            <v>12.18 )</v>
          </cell>
          <cell r="D253" t="str">
            <v>1.12.18 )</v>
          </cell>
          <cell r="E253" t="str">
            <v>2.12.18 )</v>
          </cell>
          <cell r="F253" t="str">
            <v>3.12.18 )</v>
          </cell>
        </row>
        <row r="254">
          <cell r="B254" t="str">
            <v>251.0 )</v>
          </cell>
          <cell r="C254" t="str">
            <v>12.19 )</v>
          </cell>
          <cell r="D254" t="str">
            <v>1.12.19 )</v>
          </cell>
          <cell r="E254" t="str">
            <v>2.12.19 )</v>
          </cell>
          <cell r="F254" t="str">
            <v>3.12.19 )</v>
          </cell>
        </row>
        <row r="255">
          <cell r="B255" t="str">
            <v>252.0 )</v>
          </cell>
          <cell r="C255" t="str">
            <v>12.20 )</v>
          </cell>
          <cell r="D255" t="str">
            <v>1.12.20 )</v>
          </cell>
          <cell r="E255" t="str">
            <v>2.12.20 )</v>
          </cell>
          <cell r="F255" t="str">
            <v>3.12.20 )</v>
          </cell>
        </row>
        <row r="256">
          <cell r="B256" t="str">
            <v>253.0 )</v>
          </cell>
          <cell r="C256" t="str">
            <v>13.0 )</v>
          </cell>
          <cell r="D256" t="str">
            <v>1.13.0 )</v>
          </cell>
          <cell r="E256" t="str">
            <v>2.13.0 )</v>
          </cell>
          <cell r="F256" t="str">
            <v>3.13.0 )</v>
          </cell>
        </row>
        <row r="257">
          <cell r="B257" t="str">
            <v>254.0 )</v>
          </cell>
          <cell r="C257" t="str">
            <v>13.1 )</v>
          </cell>
          <cell r="D257" t="str">
            <v>1.13.1 )</v>
          </cell>
          <cell r="E257" t="str">
            <v>2.13.1 )</v>
          </cell>
          <cell r="F257" t="str">
            <v>3.13.1 )</v>
          </cell>
        </row>
        <row r="258">
          <cell r="B258" t="str">
            <v>255.0 )</v>
          </cell>
          <cell r="C258" t="str">
            <v>13.2 )</v>
          </cell>
          <cell r="D258" t="str">
            <v>1.13.2 )</v>
          </cell>
          <cell r="E258" t="str">
            <v>2.13.2 )</v>
          </cell>
          <cell r="F258" t="str">
            <v>3.13.2 )</v>
          </cell>
        </row>
        <row r="259">
          <cell r="B259" t="str">
            <v>256.0 )</v>
          </cell>
          <cell r="C259" t="str">
            <v>13.3 )</v>
          </cell>
          <cell r="D259" t="str">
            <v>1.13.3 )</v>
          </cell>
          <cell r="E259" t="str">
            <v>2.13.3 )</v>
          </cell>
          <cell r="F259" t="str">
            <v>3.13.3 )</v>
          </cell>
        </row>
        <row r="260">
          <cell r="B260" t="str">
            <v>257.0 )</v>
          </cell>
          <cell r="C260" t="str">
            <v>13.4 )</v>
          </cell>
          <cell r="D260" t="str">
            <v>1.13.4 )</v>
          </cell>
          <cell r="E260" t="str">
            <v>2.13.4 )</v>
          </cell>
          <cell r="F260" t="str">
            <v>3.13.4 )</v>
          </cell>
        </row>
        <row r="261">
          <cell r="B261" t="str">
            <v>258.0 )</v>
          </cell>
          <cell r="C261" t="str">
            <v>13.5 )</v>
          </cell>
          <cell r="D261" t="str">
            <v>1.13.5 )</v>
          </cell>
          <cell r="E261" t="str">
            <v>2.13.5 )</v>
          </cell>
          <cell r="F261" t="str">
            <v>3.13.5 )</v>
          </cell>
        </row>
        <row r="262">
          <cell r="B262" t="str">
            <v>259.0 )</v>
          </cell>
          <cell r="C262" t="str">
            <v>13.6 )</v>
          </cell>
          <cell r="D262" t="str">
            <v>1.13.6 )</v>
          </cell>
          <cell r="E262" t="str">
            <v>2.13.6 )</v>
          </cell>
          <cell r="F262" t="str">
            <v>3.13.6 )</v>
          </cell>
        </row>
        <row r="263">
          <cell r="B263" t="str">
            <v>260.0 )</v>
          </cell>
          <cell r="C263" t="str">
            <v>13.7 )</v>
          </cell>
          <cell r="D263" t="str">
            <v>1.13.7 )</v>
          </cell>
          <cell r="E263" t="str">
            <v>2.13.7 )</v>
          </cell>
          <cell r="F263" t="str">
            <v>3.13.7 )</v>
          </cell>
        </row>
        <row r="264">
          <cell r="B264" t="str">
            <v>261.0 )</v>
          </cell>
          <cell r="C264" t="str">
            <v>13.8 )</v>
          </cell>
          <cell r="D264" t="str">
            <v>1.13.8 )</v>
          </cell>
          <cell r="E264" t="str">
            <v>2.13.8 )</v>
          </cell>
          <cell r="F264" t="str">
            <v>3.13.8 )</v>
          </cell>
        </row>
        <row r="265">
          <cell r="B265" t="str">
            <v>262.0 )</v>
          </cell>
          <cell r="C265" t="str">
            <v>13.9 )</v>
          </cell>
          <cell r="D265" t="str">
            <v>1.13.9 )</v>
          </cell>
          <cell r="E265" t="str">
            <v>2.13.9 )</v>
          </cell>
          <cell r="F265" t="str">
            <v>3.13.9 )</v>
          </cell>
        </row>
        <row r="266">
          <cell r="B266" t="str">
            <v>263.0 )</v>
          </cell>
          <cell r="C266" t="str">
            <v>13.10 )</v>
          </cell>
          <cell r="D266" t="str">
            <v>1.13.10 )</v>
          </cell>
          <cell r="E266" t="str">
            <v>2.13.10 )</v>
          </cell>
          <cell r="F266" t="str">
            <v>3.13.10 )</v>
          </cell>
        </row>
        <row r="267">
          <cell r="B267" t="str">
            <v>264.0 )</v>
          </cell>
          <cell r="C267" t="str">
            <v>13.11 )</v>
          </cell>
          <cell r="D267" t="str">
            <v>1.13.11 )</v>
          </cell>
          <cell r="E267" t="str">
            <v>2.13.11 )</v>
          </cell>
          <cell r="F267" t="str">
            <v>3.13.11 )</v>
          </cell>
        </row>
        <row r="268">
          <cell r="B268" t="str">
            <v>265.0 )</v>
          </cell>
          <cell r="C268" t="str">
            <v>13.12 )</v>
          </cell>
          <cell r="D268" t="str">
            <v>1.13.12 )</v>
          </cell>
          <cell r="E268" t="str">
            <v>2.13.12 )</v>
          </cell>
          <cell r="F268" t="str">
            <v>3.13.12 )</v>
          </cell>
        </row>
        <row r="269">
          <cell r="B269" t="str">
            <v>266.0 )</v>
          </cell>
          <cell r="C269" t="str">
            <v>13.13 )</v>
          </cell>
          <cell r="D269" t="str">
            <v>1.13.13 )</v>
          </cell>
          <cell r="E269" t="str">
            <v>2.13.13 )</v>
          </cell>
          <cell r="F269" t="str">
            <v>3.13.13 )</v>
          </cell>
        </row>
        <row r="270">
          <cell r="B270" t="str">
            <v>267.0 )</v>
          </cell>
          <cell r="C270" t="str">
            <v>13.14 )</v>
          </cell>
          <cell r="D270" t="str">
            <v>1.13.14 )</v>
          </cell>
          <cell r="E270" t="str">
            <v>2.13.14 )</v>
          </cell>
          <cell r="F270" t="str">
            <v>3.13.14 )</v>
          </cell>
        </row>
        <row r="271">
          <cell r="B271" t="str">
            <v>268.0 )</v>
          </cell>
          <cell r="C271" t="str">
            <v>13.15 )</v>
          </cell>
          <cell r="D271" t="str">
            <v>1.13.15 )</v>
          </cell>
          <cell r="E271" t="str">
            <v>2.13.15 )</v>
          </cell>
          <cell r="F271" t="str">
            <v>3.13.15 )</v>
          </cell>
        </row>
        <row r="272">
          <cell r="B272" t="str">
            <v>269.0 )</v>
          </cell>
          <cell r="C272" t="str">
            <v>13.16 )</v>
          </cell>
          <cell r="D272" t="str">
            <v>1.13.16 )</v>
          </cell>
          <cell r="E272" t="str">
            <v>2.13.16 )</v>
          </cell>
          <cell r="F272" t="str">
            <v>3.13.16 )</v>
          </cell>
        </row>
        <row r="273">
          <cell r="B273" t="str">
            <v>270.0 )</v>
          </cell>
          <cell r="C273" t="str">
            <v>13.17 )</v>
          </cell>
          <cell r="D273" t="str">
            <v>1.13.17 )</v>
          </cell>
          <cell r="E273" t="str">
            <v>2.13.17 )</v>
          </cell>
          <cell r="F273" t="str">
            <v>3.13.17 )</v>
          </cell>
        </row>
        <row r="274">
          <cell r="B274" t="str">
            <v>271.0 )</v>
          </cell>
          <cell r="C274" t="str">
            <v>13.18 )</v>
          </cell>
          <cell r="D274" t="str">
            <v>1.13.18 )</v>
          </cell>
          <cell r="E274" t="str">
            <v>2.13.18 )</v>
          </cell>
          <cell r="F274" t="str">
            <v>3.13.18 )</v>
          </cell>
        </row>
        <row r="275">
          <cell r="B275" t="str">
            <v>272.0 )</v>
          </cell>
          <cell r="C275" t="str">
            <v>13.19 )</v>
          </cell>
          <cell r="D275" t="str">
            <v>1.13.19 )</v>
          </cell>
          <cell r="E275" t="str">
            <v>2.13.19 )</v>
          </cell>
          <cell r="F275" t="str">
            <v>3.13.19 )</v>
          </cell>
        </row>
        <row r="276">
          <cell r="B276" t="str">
            <v>273.0 )</v>
          </cell>
          <cell r="C276" t="str">
            <v>13.20 )</v>
          </cell>
          <cell r="D276" t="str">
            <v>1.13.20 )</v>
          </cell>
          <cell r="E276" t="str">
            <v>2.13.20 )</v>
          </cell>
          <cell r="F276" t="str">
            <v>3.13.20 )</v>
          </cell>
        </row>
        <row r="277">
          <cell r="B277" t="str">
            <v>274.0 )</v>
          </cell>
          <cell r="C277" t="str">
            <v>14.0 )</v>
          </cell>
          <cell r="D277" t="str">
            <v>1.14.0 )</v>
          </cell>
          <cell r="E277" t="str">
            <v>2.14.0 )</v>
          </cell>
          <cell r="F277" t="str">
            <v>3.14.0 )</v>
          </cell>
        </row>
        <row r="278">
          <cell r="B278" t="str">
            <v>275.0 )</v>
          </cell>
          <cell r="C278" t="str">
            <v>14.1 )</v>
          </cell>
          <cell r="D278" t="str">
            <v>1.14.1 )</v>
          </cell>
          <cell r="E278" t="str">
            <v>2.14.1 )</v>
          </cell>
          <cell r="F278" t="str">
            <v>3.14.1 )</v>
          </cell>
        </row>
        <row r="279">
          <cell r="B279" t="str">
            <v>276.0 )</v>
          </cell>
          <cell r="C279" t="str">
            <v>14.2 )</v>
          </cell>
          <cell r="D279" t="str">
            <v>1.14.2 )</v>
          </cell>
          <cell r="E279" t="str">
            <v>2.14.2 )</v>
          </cell>
          <cell r="F279" t="str">
            <v>3.14.2 )</v>
          </cell>
        </row>
        <row r="280">
          <cell r="B280" t="str">
            <v>277.0 )</v>
          </cell>
          <cell r="C280" t="str">
            <v>14.3 )</v>
          </cell>
          <cell r="D280" t="str">
            <v>1.14.3 )</v>
          </cell>
          <cell r="E280" t="str">
            <v>2.14.3 )</v>
          </cell>
          <cell r="F280" t="str">
            <v>3.14.3 )</v>
          </cell>
        </row>
        <row r="281">
          <cell r="B281" t="str">
            <v>278.0 )</v>
          </cell>
          <cell r="C281" t="str">
            <v>14.4 )</v>
          </cell>
          <cell r="D281" t="str">
            <v>1.14.4 )</v>
          </cell>
          <cell r="E281" t="str">
            <v>2.14.4 )</v>
          </cell>
          <cell r="F281" t="str">
            <v>3.14.4 )</v>
          </cell>
        </row>
        <row r="282">
          <cell r="B282" t="str">
            <v>279.0 )</v>
          </cell>
          <cell r="C282" t="str">
            <v>14.5 )</v>
          </cell>
          <cell r="D282" t="str">
            <v>1.14.5 )</v>
          </cell>
          <cell r="E282" t="str">
            <v>2.14.5 )</v>
          </cell>
          <cell r="F282" t="str">
            <v>3.14.5 )</v>
          </cell>
        </row>
        <row r="283">
          <cell r="B283" t="str">
            <v>280.0 )</v>
          </cell>
          <cell r="C283" t="str">
            <v>14.6 )</v>
          </cell>
          <cell r="D283" t="str">
            <v>1.14.6 )</v>
          </cell>
          <cell r="E283" t="str">
            <v>2.14.6 )</v>
          </cell>
          <cell r="F283" t="str">
            <v>3.14.6 )</v>
          </cell>
        </row>
        <row r="284">
          <cell r="B284" t="str">
            <v>281.0 )</v>
          </cell>
          <cell r="C284" t="str">
            <v>14.7 )</v>
          </cell>
          <cell r="D284" t="str">
            <v>1.14.7 )</v>
          </cell>
          <cell r="E284" t="str">
            <v>2.14.7 )</v>
          </cell>
          <cell r="F284" t="str">
            <v>3.14.7 )</v>
          </cell>
        </row>
        <row r="285">
          <cell r="B285" t="str">
            <v>282.0 )</v>
          </cell>
          <cell r="C285" t="str">
            <v>14.8 )</v>
          </cell>
          <cell r="D285" t="str">
            <v>1.14.8 )</v>
          </cell>
          <cell r="E285" t="str">
            <v>2.14.8 )</v>
          </cell>
          <cell r="F285" t="str">
            <v>3.14.8 )</v>
          </cell>
        </row>
        <row r="286">
          <cell r="B286" t="str">
            <v>283.0 )</v>
          </cell>
          <cell r="C286" t="str">
            <v>14.9 )</v>
          </cell>
          <cell r="D286" t="str">
            <v>1.14.9 )</v>
          </cell>
          <cell r="E286" t="str">
            <v>2.14.9 )</v>
          </cell>
          <cell r="F286" t="str">
            <v>3.14.9 )</v>
          </cell>
        </row>
        <row r="287">
          <cell r="B287" t="str">
            <v>284.0 )</v>
          </cell>
          <cell r="C287" t="str">
            <v>14.10 )</v>
          </cell>
          <cell r="D287" t="str">
            <v>1.14.10 )</v>
          </cell>
          <cell r="E287" t="str">
            <v>2.14.10 )</v>
          </cell>
          <cell r="F287" t="str">
            <v>3.14.10 )</v>
          </cell>
        </row>
        <row r="288">
          <cell r="B288" t="str">
            <v>285.0 )</v>
          </cell>
          <cell r="C288" t="str">
            <v>14.11 )</v>
          </cell>
          <cell r="D288" t="str">
            <v>1.14.11 )</v>
          </cell>
          <cell r="E288" t="str">
            <v>2.14.11 )</v>
          </cell>
          <cell r="F288" t="str">
            <v>3.14.11 )</v>
          </cell>
        </row>
        <row r="289">
          <cell r="B289" t="str">
            <v>286.0 )</v>
          </cell>
          <cell r="C289" t="str">
            <v>14.12 )</v>
          </cell>
          <cell r="D289" t="str">
            <v>1.14.12 )</v>
          </cell>
          <cell r="E289" t="str">
            <v>2.14.12 )</v>
          </cell>
          <cell r="F289" t="str">
            <v>3.14.12 )</v>
          </cell>
        </row>
        <row r="290">
          <cell r="B290" t="str">
            <v>287.0 )</v>
          </cell>
          <cell r="C290" t="str">
            <v>14.13 )</v>
          </cell>
          <cell r="D290" t="str">
            <v>1.14.13 )</v>
          </cell>
          <cell r="E290" t="str">
            <v>2.14.13 )</v>
          </cell>
          <cell r="F290" t="str">
            <v>3.14.13 )</v>
          </cell>
        </row>
        <row r="291">
          <cell r="B291" t="str">
            <v>288.0 )</v>
          </cell>
          <cell r="C291" t="str">
            <v>14.14 )</v>
          </cell>
          <cell r="D291" t="str">
            <v>1.14.14 )</v>
          </cell>
          <cell r="E291" t="str">
            <v>2.14.14 )</v>
          </cell>
          <cell r="F291" t="str">
            <v>3.14.14 )</v>
          </cell>
        </row>
        <row r="292">
          <cell r="B292" t="str">
            <v>289.0 )</v>
          </cell>
          <cell r="C292" t="str">
            <v>14.15 )</v>
          </cell>
          <cell r="D292" t="str">
            <v>1.14.15 )</v>
          </cell>
          <cell r="E292" t="str">
            <v>2.14.15 )</v>
          </cell>
          <cell r="F292" t="str">
            <v>3.14.15 )</v>
          </cell>
        </row>
        <row r="293">
          <cell r="B293" t="str">
            <v>290.0 )</v>
          </cell>
          <cell r="C293" t="str">
            <v>14.16 )</v>
          </cell>
          <cell r="D293" t="str">
            <v>1.14.16 )</v>
          </cell>
          <cell r="E293" t="str">
            <v>2.14.16 )</v>
          </cell>
          <cell r="F293" t="str">
            <v>3.14.16 )</v>
          </cell>
        </row>
        <row r="294">
          <cell r="B294" t="str">
            <v>291.0 )</v>
          </cell>
          <cell r="C294" t="str">
            <v>14.17 )</v>
          </cell>
          <cell r="D294" t="str">
            <v>1.14.17 )</v>
          </cell>
          <cell r="E294" t="str">
            <v>2.14.17 )</v>
          </cell>
          <cell r="F294" t="str">
            <v>3.14.17 )</v>
          </cell>
        </row>
        <row r="295">
          <cell r="B295" t="str">
            <v>292.0 )</v>
          </cell>
          <cell r="C295" t="str">
            <v>14.18 )</v>
          </cell>
          <cell r="D295" t="str">
            <v>1.14.18 )</v>
          </cell>
          <cell r="E295" t="str">
            <v>2.14.18 )</v>
          </cell>
          <cell r="F295" t="str">
            <v>3.14.18 )</v>
          </cell>
        </row>
        <row r="296">
          <cell r="B296" t="str">
            <v>293.0 )</v>
          </cell>
          <cell r="C296" t="str">
            <v>14.19 )</v>
          </cell>
          <cell r="D296" t="str">
            <v>1.14.19 )</v>
          </cell>
          <cell r="E296" t="str">
            <v>2.14.19 )</v>
          </cell>
          <cell r="F296" t="str">
            <v>3.14.19 )</v>
          </cell>
        </row>
        <row r="297">
          <cell r="B297" t="str">
            <v>294.0 )</v>
          </cell>
          <cell r="C297" t="str">
            <v>14.20 )</v>
          </cell>
          <cell r="D297" t="str">
            <v>1.14.20 )</v>
          </cell>
          <cell r="E297" t="str">
            <v>2.14.20 )</v>
          </cell>
          <cell r="F297" t="str">
            <v>3.14.20 )</v>
          </cell>
        </row>
        <row r="298">
          <cell r="B298" t="str">
            <v>295.0 )</v>
          </cell>
          <cell r="C298" t="str">
            <v>15.0 )</v>
          </cell>
          <cell r="D298" t="str">
            <v>1.15.0 )</v>
          </cell>
          <cell r="E298" t="str">
            <v>2.15.0 )</v>
          </cell>
          <cell r="F298" t="str">
            <v>3.15.0 )</v>
          </cell>
        </row>
        <row r="299">
          <cell r="B299" t="str">
            <v>296.0 )</v>
          </cell>
          <cell r="C299" t="str">
            <v>15.1 )</v>
          </cell>
          <cell r="D299" t="str">
            <v>1.15.1 )</v>
          </cell>
          <cell r="E299" t="str">
            <v>2.15.1 )</v>
          </cell>
          <cell r="F299" t="str">
            <v>3.15.1 )</v>
          </cell>
        </row>
        <row r="300">
          <cell r="B300" t="str">
            <v>297.0 )</v>
          </cell>
          <cell r="C300" t="str">
            <v>15.2 )</v>
          </cell>
          <cell r="D300" t="str">
            <v>1.15.2 )</v>
          </cell>
          <cell r="E300" t="str">
            <v>2.15.2 )</v>
          </cell>
          <cell r="F300" t="str">
            <v>3.15.2 )</v>
          </cell>
        </row>
        <row r="301">
          <cell r="B301" t="str">
            <v>298.0 )</v>
          </cell>
          <cell r="C301" t="str">
            <v>15.3 )</v>
          </cell>
          <cell r="D301" t="str">
            <v>1.15.3 )</v>
          </cell>
          <cell r="E301" t="str">
            <v>2.15.3 )</v>
          </cell>
          <cell r="F301" t="str">
            <v>3.15.3 )</v>
          </cell>
        </row>
        <row r="302">
          <cell r="B302" t="str">
            <v>299.0 )</v>
          </cell>
          <cell r="C302" t="str">
            <v>15.4 )</v>
          </cell>
          <cell r="D302" t="str">
            <v>1.15.4 )</v>
          </cell>
          <cell r="E302" t="str">
            <v>2.15.4 )</v>
          </cell>
          <cell r="F302" t="str">
            <v>3.15.4 )</v>
          </cell>
        </row>
        <row r="303">
          <cell r="B303" t="str">
            <v>300.0 )</v>
          </cell>
          <cell r="C303" t="str">
            <v>15.5 )</v>
          </cell>
          <cell r="D303" t="str">
            <v>1.15.5 )</v>
          </cell>
          <cell r="E303" t="str">
            <v>2.15.5 )</v>
          </cell>
          <cell r="F303" t="str">
            <v>3.15.5 )</v>
          </cell>
        </row>
        <row r="304">
          <cell r="B304" t="str">
            <v>301.0 )</v>
          </cell>
          <cell r="C304" t="str">
            <v>15.6 )</v>
          </cell>
          <cell r="D304" t="str">
            <v>1.15.6 )</v>
          </cell>
          <cell r="E304" t="str">
            <v>2.15.6 )</v>
          </cell>
          <cell r="F304" t="str">
            <v>3.15.6 )</v>
          </cell>
        </row>
        <row r="305">
          <cell r="B305" t="str">
            <v>302.0 )</v>
          </cell>
          <cell r="C305" t="str">
            <v>15.7 )</v>
          </cell>
          <cell r="D305" t="str">
            <v>1.15.7 )</v>
          </cell>
          <cell r="E305" t="str">
            <v>2.15.7 )</v>
          </cell>
          <cell r="F305" t="str">
            <v>3.15.7 )</v>
          </cell>
        </row>
        <row r="306">
          <cell r="B306" t="str">
            <v>303.0 )</v>
          </cell>
          <cell r="C306" t="str">
            <v>15.8 )</v>
          </cell>
          <cell r="D306" t="str">
            <v>1.15.8 )</v>
          </cell>
          <cell r="E306" t="str">
            <v>2.15.8 )</v>
          </cell>
          <cell r="F306" t="str">
            <v>3.15.8 )</v>
          </cell>
        </row>
        <row r="307">
          <cell r="B307" t="str">
            <v>304.0 )</v>
          </cell>
          <cell r="C307" t="str">
            <v>15.9 )</v>
          </cell>
          <cell r="D307" t="str">
            <v>1.15.9 )</v>
          </cell>
          <cell r="E307" t="str">
            <v>2.15.9 )</v>
          </cell>
          <cell r="F307" t="str">
            <v>3.15.9 )</v>
          </cell>
        </row>
        <row r="308">
          <cell r="B308" t="str">
            <v>305.0 )</v>
          </cell>
          <cell r="C308" t="str">
            <v>15.10 )</v>
          </cell>
          <cell r="D308" t="str">
            <v>1.15.10 )</v>
          </cell>
          <cell r="E308" t="str">
            <v>2.15.10 )</v>
          </cell>
          <cell r="F308" t="str">
            <v>3.15.10 )</v>
          </cell>
        </row>
        <row r="309">
          <cell r="B309" t="str">
            <v>306.0 )</v>
          </cell>
          <cell r="C309" t="str">
            <v>15.11 )</v>
          </cell>
          <cell r="D309" t="str">
            <v>1.15.11 )</v>
          </cell>
          <cell r="E309" t="str">
            <v>2.15.11 )</v>
          </cell>
          <cell r="F309" t="str">
            <v>3.15.11 )</v>
          </cell>
        </row>
        <row r="310">
          <cell r="B310" t="str">
            <v>307.0 )</v>
          </cell>
          <cell r="C310" t="str">
            <v>15.12 )</v>
          </cell>
          <cell r="D310" t="str">
            <v>1.15.12 )</v>
          </cell>
          <cell r="E310" t="str">
            <v>2.15.12 )</v>
          </cell>
          <cell r="F310" t="str">
            <v>3.15.12 )</v>
          </cell>
        </row>
        <row r="311">
          <cell r="B311" t="str">
            <v>308.0 )</v>
          </cell>
          <cell r="C311" t="str">
            <v>15.13 )</v>
          </cell>
          <cell r="D311" t="str">
            <v>1.15.13 )</v>
          </cell>
          <cell r="E311" t="str">
            <v>2.15.13 )</v>
          </cell>
          <cell r="F311" t="str">
            <v>3.15.13 )</v>
          </cell>
        </row>
        <row r="312">
          <cell r="B312" t="str">
            <v>309.0 )</v>
          </cell>
          <cell r="C312" t="str">
            <v>15.14 )</v>
          </cell>
          <cell r="D312" t="str">
            <v>1.15.14 )</v>
          </cell>
          <cell r="E312" t="str">
            <v>2.15.14 )</v>
          </cell>
          <cell r="F312" t="str">
            <v>3.15.14 )</v>
          </cell>
        </row>
        <row r="313">
          <cell r="B313" t="str">
            <v>310.0 )</v>
          </cell>
          <cell r="C313" t="str">
            <v>15.15 )</v>
          </cell>
          <cell r="D313" t="str">
            <v>1.15.15 )</v>
          </cell>
          <cell r="E313" t="str">
            <v>2.15.15 )</v>
          </cell>
          <cell r="F313" t="str">
            <v>3.15.15 )</v>
          </cell>
        </row>
        <row r="314">
          <cell r="B314" t="str">
            <v>311.0 )</v>
          </cell>
          <cell r="C314" t="str">
            <v>15.16 )</v>
          </cell>
          <cell r="D314" t="str">
            <v>1.15.16 )</v>
          </cell>
          <cell r="E314" t="str">
            <v>2.15.16 )</v>
          </cell>
          <cell r="F314" t="str">
            <v>3.15.16 )</v>
          </cell>
        </row>
        <row r="315">
          <cell r="B315" t="str">
            <v>312.0 )</v>
          </cell>
          <cell r="C315" t="str">
            <v>15.17 )</v>
          </cell>
          <cell r="D315" t="str">
            <v>1.15.17 )</v>
          </cell>
          <cell r="E315" t="str">
            <v>2.15.17 )</v>
          </cell>
          <cell r="F315" t="str">
            <v>3.15.17 )</v>
          </cell>
        </row>
        <row r="316">
          <cell r="B316" t="str">
            <v>313.0 )</v>
          </cell>
          <cell r="C316" t="str">
            <v>15.18 )</v>
          </cell>
          <cell r="D316" t="str">
            <v>1.15.18 )</v>
          </cell>
          <cell r="E316" t="str">
            <v>2.15.18 )</v>
          </cell>
          <cell r="F316" t="str">
            <v>3.15.18 )</v>
          </cell>
        </row>
        <row r="317">
          <cell r="B317" t="str">
            <v>314.0 )</v>
          </cell>
          <cell r="C317" t="str">
            <v>15.19 )</v>
          </cell>
          <cell r="D317" t="str">
            <v>1.15.19 )</v>
          </cell>
          <cell r="E317" t="str">
            <v>2.15.19 )</v>
          </cell>
          <cell r="F317" t="str">
            <v>3.15.19 )</v>
          </cell>
        </row>
        <row r="318">
          <cell r="B318" t="str">
            <v>315.0 )</v>
          </cell>
          <cell r="C318" t="str">
            <v>15.20 )</v>
          </cell>
          <cell r="D318" t="str">
            <v>1.15.20 )</v>
          </cell>
          <cell r="E318" t="str">
            <v>2.15.20 )</v>
          </cell>
          <cell r="F318" t="str">
            <v>3.15.20 )</v>
          </cell>
        </row>
        <row r="319">
          <cell r="B319" t="str">
            <v>316.0 )</v>
          </cell>
          <cell r="C319" t="str">
            <v>16.0 )</v>
          </cell>
          <cell r="D319" t="str">
            <v>1.16.0 )</v>
          </cell>
          <cell r="E319" t="str">
            <v>2.16.0 )</v>
          </cell>
          <cell r="F319" t="str">
            <v>3.16.0 )</v>
          </cell>
        </row>
        <row r="320">
          <cell r="B320" t="str">
            <v>317.0 )</v>
          </cell>
          <cell r="C320" t="str">
            <v>16.1 )</v>
          </cell>
          <cell r="D320" t="str">
            <v>1.16.1 )</v>
          </cell>
          <cell r="E320" t="str">
            <v>2.16.1 )</v>
          </cell>
          <cell r="F320" t="str">
            <v>3.16.1 )</v>
          </cell>
        </row>
        <row r="321">
          <cell r="B321" t="str">
            <v>318.0 )</v>
          </cell>
          <cell r="C321" t="str">
            <v>16.2 )</v>
          </cell>
          <cell r="D321" t="str">
            <v>1.16.2 )</v>
          </cell>
          <cell r="E321" t="str">
            <v>2.16.2 )</v>
          </cell>
          <cell r="F321" t="str">
            <v>3.16.2 )</v>
          </cell>
        </row>
        <row r="322">
          <cell r="B322" t="str">
            <v>319.0 )</v>
          </cell>
          <cell r="C322" t="str">
            <v>16.3 )</v>
          </cell>
          <cell r="D322" t="str">
            <v>1.16.3 )</v>
          </cell>
          <cell r="E322" t="str">
            <v>2.16.3 )</v>
          </cell>
          <cell r="F322" t="str">
            <v>3.16.3 )</v>
          </cell>
        </row>
        <row r="323">
          <cell r="B323" t="str">
            <v>320.0 )</v>
          </cell>
          <cell r="C323" t="str">
            <v>16.4 )</v>
          </cell>
          <cell r="D323" t="str">
            <v>1.16.4 )</v>
          </cell>
          <cell r="E323" t="str">
            <v>2.16.4 )</v>
          </cell>
          <cell r="F323" t="str">
            <v>3.16.4 )</v>
          </cell>
        </row>
        <row r="324">
          <cell r="B324" t="str">
            <v>321.0 )</v>
          </cell>
          <cell r="C324" t="str">
            <v>16.5 )</v>
          </cell>
          <cell r="D324" t="str">
            <v>1.16.5 )</v>
          </cell>
          <cell r="E324" t="str">
            <v>2.16.5 )</v>
          </cell>
          <cell r="F324" t="str">
            <v>3.16.5 )</v>
          </cell>
        </row>
        <row r="325">
          <cell r="B325" t="str">
            <v>322.0 )</v>
          </cell>
          <cell r="C325" t="str">
            <v>16.6 )</v>
          </cell>
          <cell r="D325" t="str">
            <v>1.16.6 )</v>
          </cell>
          <cell r="E325" t="str">
            <v>2.16.6 )</v>
          </cell>
          <cell r="F325" t="str">
            <v>3.16.6 )</v>
          </cell>
        </row>
        <row r="326">
          <cell r="B326" t="str">
            <v>323.0 )</v>
          </cell>
          <cell r="C326" t="str">
            <v>16.7 )</v>
          </cell>
          <cell r="D326" t="str">
            <v>1.16.7 )</v>
          </cell>
          <cell r="E326" t="str">
            <v>2.16.7 )</v>
          </cell>
          <cell r="F326" t="str">
            <v>3.16.7 )</v>
          </cell>
        </row>
        <row r="327">
          <cell r="B327" t="str">
            <v>324.0 )</v>
          </cell>
          <cell r="C327" t="str">
            <v>16.8 )</v>
          </cell>
          <cell r="D327" t="str">
            <v>1.16.8 )</v>
          </cell>
          <cell r="E327" t="str">
            <v>2.16.8 )</v>
          </cell>
          <cell r="F327" t="str">
            <v>3.16.8 )</v>
          </cell>
        </row>
        <row r="328">
          <cell r="B328" t="str">
            <v>325.0 )</v>
          </cell>
          <cell r="C328" t="str">
            <v>16.9 )</v>
          </cell>
          <cell r="D328" t="str">
            <v>1.16.9 )</v>
          </cell>
          <cell r="E328" t="str">
            <v>2.16.9 )</v>
          </cell>
          <cell r="F328" t="str">
            <v>3.16.9 )</v>
          </cell>
        </row>
        <row r="329">
          <cell r="B329" t="str">
            <v>326.0 )</v>
          </cell>
          <cell r="C329" t="str">
            <v>16.10 )</v>
          </cell>
          <cell r="D329" t="str">
            <v>1.16.10 )</v>
          </cell>
          <cell r="E329" t="str">
            <v>2.16.10 )</v>
          </cell>
          <cell r="F329" t="str">
            <v>3.16.10 )</v>
          </cell>
        </row>
        <row r="330">
          <cell r="B330" t="str">
            <v>327.0 )</v>
          </cell>
          <cell r="C330" t="str">
            <v>16.11 )</v>
          </cell>
          <cell r="D330" t="str">
            <v>1.16.11 )</v>
          </cell>
          <cell r="E330" t="str">
            <v>2.16.11 )</v>
          </cell>
          <cell r="F330" t="str">
            <v>3.16.11 )</v>
          </cell>
        </row>
        <row r="331">
          <cell r="B331" t="str">
            <v>328.0 )</v>
          </cell>
          <cell r="C331" t="str">
            <v>16.12 )</v>
          </cell>
          <cell r="D331" t="str">
            <v>1.16.12 )</v>
          </cell>
          <cell r="E331" t="str">
            <v>2.16.12 )</v>
          </cell>
          <cell r="F331" t="str">
            <v>3.16.12 )</v>
          </cell>
        </row>
        <row r="332">
          <cell r="B332" t="str">
            <v>329.0 )</v>
          </cell>
          <cell r="C332" t="str">
            <v>16.13 )</v>
          </cell>
          <cell r="D332" t="str">
            <v>1.16.13 )</v>
          </cell>
          <cell r="E332" t="str">
            <v>2.16.13 )</v>
          </cell>
          <cell r="F332" t="str">
            <v>3.16.13 )</v>
          </cell>
        </row>
        <row r="333">
          <cell r="B333" t="str">
            <v>330.0 )</v>
          </cell>
          <cell r="C333" t="str">
            <v>16.14 )</v>
          </cell>
          <cell r="D333" t="str">
            <v>1.16.14 )</v>
          </cell>
          <cell r="E333" t="str">
            <v>2.16.14 )</v>
          </cell>
          <cell r="F333" t="str">
            <v>3.16.14 )</v>
          </cell>
        </row>
        <row r="334">
          <cell r="B334" t="str">
            <v>331.0 )</v>
          </cell>
          <cell r="C334" t="str">
            <v>16.15 )</v>
          </cell>
          <cell r="D334" t="str">
            <v>1.16.15 )</v>
          </cell>
          <cell r="E334" t="str">
            <v>2.16.15 )</v>
          </cell>
          <cell r="F334" t="str">
            <v>3.16.15 )</v>
          </cell>
        </row>
        <row r="335">
          <cell r="B335" t="str">
            <v>332.0 )</v>
          </cell>
          <cell r="C335" t="str">
            <v>16.16 )</v>
          </cell>
          <cell r="D335" t="str">
            <v>1.16.16 )</v>
          </cell>
          <cell r="E335" t="str">
            <v>2.16.16 )</v>
          </cell>
          <cell r="F335" t="str">
            <v>3.16.16 )</v>
          </cell>
        </row>
        <row r="336">
          <cell r="B336" t="str">
            <v>333.0 )</v>
          </cell>
          <cell r="C336" t="str">
            <v>16.17 )</v>
          </cell>
          <cell r="D336" t="str">
            <v>1.16.17 )</v>
          </cell>
          <cell r="E336" t="str">
            <v>2.16.17 )</v>
          </cell>
          <cell r="F336" t="str">
            <v>3.16.17 )</v>
          </cell>
        </row>
        <row r="337">
          <cell r="B337" t="str">
            <v>334.0 )</v>
          </cell>
          <cell r="C337" t="str">
            <v>16.18 )</v>
          </cell>
          <cell r="D337" t="str">
            <v>1.16.18 )</v>
          </cell>
          <cell r="E337" t="str">
            <v>2.16.18 )</v>
          </cell>
          <cell r="F337" t="str">
            <v>3.16.18 )</v>
          </cell>
        </row>
        <row r="338">
          <cell r="B338" t="str">
            <v>335.0 )</v>
          </cell>
          <cell r="C338" t="str">
            <v>16.19 )</v>
          </cell>
          <cell r="D338" t="str">
            <v>1.16.19 )</v>
          </cell>
          <cell r="E338" t="str">
            <v>2.16.19 )</v>
          </cell>
          <cell r="F338" t="str">
            <v>3.16.19 )</v>
          </cell>
        </row>
        <row r="339">
          <cell r="B339" t="str">
            <v>336.0 )</v>
          </cell>
          <cell r="C339" t="str">
            <v>16.20 )</v>
          </cell>
          <cell r="D339" t="str">
            <v>1.16.20 )</v>
          </cell>
          <cell r="E339" t="str">
            <v>2.16.20 )</v>
          </cell>
          <cell r="F339" t="str">
            <v>3.16.20 )</v>
          </cell>
        </row>
        <row r="340">
          <cell r="B340" t="str">
            <v>337.0 )</v>
          </cell>
          <cell r="C340" t="str">
            <v>17.0 )</v>
          </cell>
          <cell r="D340" t="str">
            <v>1.17.0 )</v>
          </cell>
          <cell r="E340" t="str">
            <v>2.17.0 )</v>
          </cell>
          <cell r="F340" t="str">
            <v>3.17.0 )</v>
          </cell>
        </row>
        <row r="341">
          <cell r="B341" t="str">
            <v>338.0 )</v>
          </cell>
          <cell r="C341" t="str">
            <v>17.1 )</v>
          </cell>
          <cell r="D341" t="str">
            <v>1.17.1 )</v>
          </cell>
          <cell r="E341" t="str">
            <v>2.17.1 )</v>
          </cell>
          <cell r="F341" t="str">
            <v>3.17.1 )</v>
          </cell>
        </row>
        <row r="342">
          <cell r="B342" t="str">
            <v>339.0 )</v>
          </cell>
          <cell r="C342" t="str">
            <v>17.2 )</v>
          </cell>
          <cell r="D342" t="str">
            <v>1.17.2 )</v>
          </cell>
          <cell r="E342" t="str">
            <v>2.17.2 )</v>
          </cell>
          <cell r="F342" t="str">
            <v>3.17.2 )</v>
          </cell>
        </row>
        <row r="343">
          <cell r="B343" t="str">
            <v>340.0 )</v>
          </cell>
          <cell r="C343" t="str">
            <v>17.3 )</v>
          </cell>
          <cell r="D343" t="str">
            <v>1.17.3 )</v>
          </cell>
          <cell r="E343" t="str">
            <v>2.17.3 )</v>
          </cell>
          <cell r="F343" t="str">
            <v>3.17.3 )</v>
          </cell>
        </row>
        <row r="344">
          <cell r="B344" t="str">
            <v>341.0 )</v>
          </cell>
          <cell r="C344" t="str">
            <v>17.4 )</v>
          </cell>
          <cell r="D344" t="str">
            <v>1.17.4 )</v>
          </cell>
          <cell r="E344" t="str">
            <v>2.17.4 )</v>
          </cell>
          <cell r="F344" t="str">
            <v>3.17.4 )</v>
          </cell>
        </row>
        <row r="345">
          <cell r="B345" t="str">
            <v>342.0 )</v>
          </cell>
          <cell r="C345" t="str">
            <v>17.5 )</v>
          </cell>
          <cell r="D345" t="str">
            <v>1.17.5 )</v>
          </cell>
          <cell r="E345" t="str">
            <v>2.17.5 )</v>
          </cell>
          <cell r="F345" t="str">
            <v>3.17.5 )</v>
          </cell>
        </row>
        <row r="346">
          <cell r="B346" t="str">
            <v>343.0 )</v>
          </cell>
          <cell r="C346" t="str">
            <v>17.6 )</v>
          </cell>
          <cell r="D346" t="str">
            <v>1.17.6 )</v>
          </cell>
          <cell r="E346" t="str">
            <v>2.17.6 )</v>
          </cell>
          <cell r="F346" t="str">
            <v>3.17.6 )</v>
          </cell>
        </row>
        <row r="347">
          <cell r="B347" t="str">
            <v>344.0 )</v>
          </cell>
          <cell r="C347" t="str">
            <v>17.7 )</v>
          </cell>
          <cell r="D347" t="str">
            <v>1.17.7 )</v>
          </cell>
          <cell r="E347" t="str">
            <v>2.17.7 )</v>
          </cell>
          <cell r="F347" t="str">
            <v>3.17.7 )</v>
          </cell>
        </row>
        <row r="348">
          <cell r="B348" t="str">
            <v>345.0 )</v>
          </cell>
          <cell r="C348" t="str">
            <v>17.8 )</v>
          </cell>
          <cell r="D348" t="str">
            <v>1.17.8 )</v>
          </cell>
          <cell r="E348" t="str">
            <v>2.17.8 )</v>
          </cell>
          <cell r="F348" t="str">
            <v>3.17.8 )</v>
          </cell>
        </row>
        <row r="349">
          <cell r="B349" t="str">
            <v>346.0 )</v>
          </cell>
          <cell r="C349" t="str">
            <v>17.9 )</v>
          </cell>
          <cell r="D349" t="str">
            <v>1.17.9 )</v>
          </cell>
          <cell r="E349" t="str">
            <v>2.17.9 )</v>
          </cell>
          <cell r="F349" t="str">
            <v>3.17.9 )</v>
          </cell>
        </row>
        <row r="350">
          <cell r="B350" t="str">
            <v>347.0 )</v>
          </cell>
          <cell r="C350" t="str">
            <v>17.10 )</v>
          </cell>
          <cell r="D350" t="str">
            <v>1.17.10 )</v>
          </cell>
          <cell r="E350" t="str">
            <v>2.17.10 )</v>
          </cell>
          <cell r="F350" t="str">
            <v>3.17.10 )</v>
          </cell>
        </row>
        <row r="351">
          <cell r="B351" t="str">
            <v>348.0 )</v>
          </cell>
          <cell r="C351" t="str">
            <v>17.11 )</v>
          </cell>
          <cell r="D351" t="str">
            <v>1.17.11 )</v>
          </cell>
          <cell r="E351" t="str">
            <v>2.17.11 )</v>
          </cell>
          <cell r="F351" t="str">
            <v>3.17.11 )</v>
          </cell>
        </row>
        <row r="352">
          <cell r="B352" t="str">
            <v>349.0 )</v>
          </cell>
          <cell r="C352" t="str">
            <v>17.12 )</v>
          </cell>
          <cell r="D352" t="str">
            <v>1.17.12 )</v>
          </cell>
          <cell r="E352" t="str">
            <v>2.17.12 )</v>
          </cell>
          <cell r="F352" t="str">
            <v>3.17.12 )</v>
          </cell>
        </row>
        <row r="353">
          <cell r="B353" t="str">
            <v>350.0 )</v>
          </cell>
          <cell r="C353" t="str">
            <v>17.13 )</v>
          </cell>
          <cell r="D353" t="str">
            <v>1.17.13 )</v>
          </cell>
          <cell r="E353" t="str">
            <v>2.17.13 )</v>
          </cell>
          <cell r="F353" t="str">
            <v>3.17.13 )</v>
          </cell>
        </row>
        <row r="354">
          <cell r="B354" t="str">
            <v>351.0 )</v>
          </cell>
          <cell r="C354" t="str">
            <v>17.14 )</v>
          </cell>
          <cell r="D354" t="str">
            <v>1.17.14 )</v>
          </cell>
          <cell r="E354" t="str">
            <v>2.17.14 )</v>
          </cell>
          <cell r="F354" t="str">
            <v>3.17.14 )</v>
          </cell>
        </row>
        <row r="355">
          <cell r="B355" t="str">
            <v>352.0 )</v>
          </cell>
          <cell r="C355" t="str">
            <v>17.15 )</v>
          </cell>
          <cell r="D355" t="str">
            <v>1.17.15 )</v>
          </cell>
          <cell r="E355" t="str">
            <v>2.17.15 )</v>
          </cell>
          <cell r="F355" t="str">
            <v>3.17.15 )</v>
          </cell>
        </row>
        <row r="356">
          <cell r="B356" t="str">
            <v>353.0 )</v>
          </cell>
          <cell r="C356" t="str">
            <v>17.16 )</v>
          </cell>
          <cell r="D356" t="str">
            <v>1.17.16 )</v>
          </cell>
          <cell r="E356" t="str">
            <v>2.17.16 )</v>
          </cell>
          <cell r="F356" t="str">
            <v>3.17.16 )</v>
          </cell>
        </row>
        <row r="357">
          <cell r="B357" t="str">
            <v>354.0 )</v>
          </cell>
          <cell r="C357" t="str">
            <v>17.17 )</v>
          </cell>
          <cell r="D357" t="str">
            <v>1.17.17 )</v>
          </cell>
          <cell r="E357" t="str">
            <v>2.17.17 )</v>
          </cell>
          <cell r="F357" t="str">
            <v>3.17.17 )</v>
          </cell>
        </row>
        <row r="358">
          <cell r="B358" t="str">
            <v>355.0 )</v>
          </cell>
          <cell r="C358" t="str">
            <v>17.18 )</v>
          </cell>
          <cell r="D358" t="str">
            <v>1.17.18 )</v>
          </cell>
          <cell r="E358" t="str">
            <v>2.17.18 )</v>
          </cell>
          <cell r="F358" t="str">
            <v>3.17.18 )</v>
          </cell>
        </row>
        <row r="359">
          <cell r="B359" t="str">
            <v>356.0 )</v>
          </cell>
          <cell r="C359" t="str">
            <v>17.19 )</v>
          </cell>
          <cell r="D359" t="str">
            <v>1.17.19 )</v>
          </cell>
          <cell r="E359" t="str">
            <v>2.17.19 )</v>
          </cell>
          <cell r="F359" t="str">
            <v>3.17.19 )</v>
          </cell>
        </row>
        <row r="360">
          <cell r="B360" t="str">
            <v>357.0 )</v>
          </cell>
          <cell r="C360" t="str">
            <v>17.20 )</v>
          </cell>
          <cell r="D360" t="str">
            <v>1.17.20 )</v>
          </cell>
          <cell r="E360" t="str">
            <v>2.17.20 )</v>
          </cell>
          <cell r="F360" t="str">
            <v>3.17.20 )</v>
          </cell>
        </row>
        <row r="361">
          <cell r="B361" t="str">
            <v>358.0 )</v>
          </cell>
          <cell r="C361" t="str">
            <v>18.0 )</v>
          </cell>
          <cell r="D361" t="str">
            <v>1.18.0 )</v>
          </cell>
          <cell r="E361" t="str">
            <v>2.18.0 )</v>
          </cell>
          <cell r="F361" t="str">
            <v>3.18.0 )</v>
          </cell>
        </row>
        <row r="362">
          <cell r="B362" t="str">
            <v>359.0 )</v>
          </cell>
          <cell r="C362" t="str">
            <v>18.1 )</v>
          </cell>
          <cell r="D362" t="str">
            <v>1.18.1 )</v>
          </cell>
          <cell r="E362" t="str">
            <v>2.18.1 )</v>
          </cell>
          <cell r="F362" t="str">
            <v>3.18.1 )</v>
          </cell>
        </row>
        <row r="363">
          <cell r="B363" t="str">
            <v>360.0 )</v>
          </cell>
          <cell r="C363" t="str">
            <v>18.2 )</v>
          </cell>
          <cell r="D363" t="str">
            <v>1.18.2 )</v>
          </cell>
          <cell r="E363" t="str">
            <v>2.18.2 )</v>
          </cell>
          <cell r="F363" t="str">
            <v>3.18.2 )</v>
          </cell>
        </row>
        <row r="364">
          <cell r="B364" t="str">
            <v>361.0 )</v>
          </cell>
          <cell r="C364" t="str">
            <v>18.3 )</v>
          </cell>
          <cell r="D364" t="str">
            <v>1.18.3 )</v>
          </cell>
          <cell r="E364" t="str">
            <v>2.18.3 )</v>
          </cell>
          <cell r="F364" t="str">
            <v>3.18.3 )</v>
          </cell>
        </row>
        <row r="365">
          <cell r="B365" t="str">
            <v>362.0 )</v>
          </cell>
          <cell r="C365" t="str">
            <v>18.4 )</v>
          </cell>
          <cell r="D365" t="str">
            <v>1.18.4 )</v>
          </cell>
          <cell r="E365" t="str">
            <v>2.18.4 )</v>
          </cell>
          <cell r="F365" t="str">
            <v>3.18.4 )</v>
          </cell>
        </row>
        <row r="366">
          <cell r="B366" t="str">
            <v>363.0 )</v>
          </cell>
          <cell r="C366" t="str">
            <v>18.5 )</v>
          </cell>
          <cell r="D366" t="str">
            <v>1.18.5 )</v>
          </cell>
          <cell r="E366" t="str">
            <v>2.18.5 )</v>
          </cell>
          <cell r="F366" t="str">
            <v>3.18.5 )</v>
          </cell>
        </row>
        <row r="367">
          <cell r="B367" t="str">
            <v>364.0 )</v>
          </cell>
          <cell r="C367" t="str">
            <v>18.6 )</v>
          </cell>
          <cell r="D367" t="str">
            <v>1.18.6 )</v>
          </cell>
          <cell r="E367" t="str">
            <v>2.18.6 )</v>
          </cell>
          <cell r="F367" t="str">
            <v>3.18.6 )</v>
          </cell>
        </row>
        <row r="368">
          <cell r="B368" t="str">
            <v>365.0 )</v>
          </cell>
          <cell r="C368" t="str">
            <v>18.7 )</v>
          </cell>
          <cell r="D368" t="str">
            <v>1.18.7 )</v>
          </cell>
          <cell r="E368" t="str">
            <v>2.18.7 )</v>
          </cell>
          <cell r="F368" t="str">
            <v>3.18.7 )</v>
          </cell>
        </row>
        <row r="369">
          <cell r="B369" t="str">
            <v>366.0 )</v>
          </cell>
          <cell r="C369" t="str">
            <v>18.8 )</v>
          </cell>
          <cell r="D369" t="str">
            <v>1.18.8 )</v>
          </cell>
          <cell r="E369" t="str">
            <v>2.18.8 )</v>
          </cell>
          <cell r="F369" t="str">
            <v>3.18.8 )</v>
          </cell>
        </row>
        <row r="370">
          <cell r="B370" t="str">
            <v>367.0 )</v>
          </cell>
          <cell r="C370" t="str">
            <v>18.9 )</v>
          </cell>
          <cell r="D370" t="str">
            <v>1.18.9 )</v>
          </cell>
          <cell r="E370" t="str">
            <v>2.18.9 )</v>
          </cell>
          <cell r="F370" t="str">
            <v>3.18.9 )</v>
          </cell>
        </row>
        <row r="371">
          <cell r="B371" t="str">
            <v>368.0 )</v>
          </cell>
          <cell r="C371" t="str">
            <v>18.10 )</v>
          </cell>
          <cell r="D371" t="str">
            <v>1.18.10 )</v>
          </cell>
          <cell r="E371" t="str">
            <v>2.18.10 )</v>
          </cell>
          <cell r="F371" t="str">
            <v>3.18.10 )</v>
          </cell>
        </row>
        <row r="372">
          <cell r="B372" t="str">
            <v>369.0 )</v>
          </cell>
          <cell r="C372" t="str">
            <v>18.11 )</v>
          </cell>
          <cell r="D372" t="str">
            <v>1.18.11 )</v>
          </cell>
          <cell r="E372" t="str">
            <v>2.18.11 )</v>
          </cell>
          <cell r="F372" t="str">
            <v>3.18.11 )</v>
          </cell>
        </row>
        <row r="373">
          <cell r="B373" t="str">
            <v>370.0 )</v>
          </cell>
          <cell r="C373" t="str">
            <v>18.12 )</v>
          </cell>
          <cell r="D373" t="str">
            <v>1.18.12 )</v>
          </cell>
          <cell r="E373" t="str">
            <v>2.18.12 )</v>
          </cell>
          <cell r="F373" t="str">
            <v>3.18.12 )</v>
          </cell>
        </row>
        <row r="374">
          <cell r="B374" t="str">
            <v>371.0 )</v>
          </cell>
          <cell r="C374" t="str">
            <v>18.13 )</v>
          </cell>
          <cell r="D374" t="str">
            <v>1.18.13 )</v>
          </cell>
          <cell r="E374" t="str">
            <v>2.18.13 )</v>
          </cell>
          <cell r="F374" t="str">
            <v>3.18.13 )</v>
          </cell>
        </row>
        <row r="375">
          <cell r="B375" t="str">
            <v>372.0 )</v>
          </cell>
          <cell r="C375" t="str">
            <v>18.14 )</v>
          </cell>
          <cell r="D375" t="str">
            <v>1.18.14 )</v>
          </cell>
          <cell r="E375" t="str">
            <v>2.18.14 )</v>
          </cell>
          <cell r="F375" t="str">
            <v>3.18.14 )</v>
          </cell>
        </row>
        <row r="376">
          <cell r="B376" t="str">
            <v>373.0 )</v>
          </cell>
          <cell r="C376" t="str">
            <v>18.15 )</v>
          </cell>
          <cell r="D376" t="str">
            <v>1.18.15 )</v>
          </cell>
          <cell r="E376" t="str">
            <v>2.18.15 )</v>
          </cell>
          <cell r="F376" t="str">
            <v>3.18.15 )</v>
          </cell>
        </row>
        <row r="377">
          <cell r="B377" t="str">
            <v>374.0 )</v>
          </cell>
          <cell r="C377" t="str">
            <v>18.16 )</v>
          </cell>
          <cell r="D377" t="str">
            <v>1.18.16 )</v>
          </cell>
          <cell r="E377" t="str">
            <v>2.18.16 )</v>
          </cell>
          <cell r="F377" t="str">
            <v>3.18.16 )</v>
          </cell>
        </row>
        <row r="378">
          <cell r="B378" t="str">
            <v>375.0 )</v>
          </cell>
          <cell r="C378" t="str">
            <v>18.17 )</v>
          </cell>
          <cell r="D378" t="str">
            <v>1.18.17 )</v>
          </cell>
          <cell r="E378" t="str">
            <v>2.18.17 )</v>
          </cell>
          <cell r="F378" t="str">
            <v>3.18.17 )</v>
          </cell>
        </row>
        <row r="379">
          <cell r="B379" t="str">
            <v>376.0 )</v>
          </cell>
          <cell r="C379" t="str">
            <v>18.18 )</v>
          </cell>
          <cell r="D379" t="str">
            <v>1.18.18 )</v>
          </cell>
          <cell r="E379" t="str">
            <v>2.18.18 )</v>
          </cell>
          <cell r="F379" t="str">
            <v>3.18.18 )</v>
          </cell>
        </row>
        <row r="380">
          <cell r="B380" t="str">
            <v>377.0 )</v>
          </cell>
          <cell r="C380" t="str">
            <v>18.19 )</v>
          </cell>
          <cell r="D380" t="str">
            <v>1.18.19 )</v>
          </cell>
          <cell r="E380" t="str">
            <v>2.18.19 )</v>
          </cell>
          <cell r="F380" t="str">
            <v>3.18.19 )</v>
          </cell>
        </row>
        <row r="381">
          <cell r="B381" t="str">
            <v>378.0 )</v>
          </cell>
          <cell r="C381" t="str">
            <v>18.20 )</v>
          </cell>
          <cell r="D381" t="str">
            <v>1.18.20 )</v>
          </cell>
          <cell r="E381" t="str">
            <v>2.18.20 )</v>
          </cell>
          <cell r="F381" t="str">
            <v>3.18.20 )</v>
          </cell>
        </row>
        <row r="382">
          <cell r="B382" t="str">
            <v>379.0 )</v>
          </cell>
          <cell r="C382" t="str">
            <v>19.0 )</v>
          </cell>
          <cell r="D382" t="str">
            <v>1.19.0 )</v>
          </cell>
          <cell r="E382" t="str">
            <v>2.19.0 )</v>
          </cell>
          <cell r="F382" t="str">
            <v>3.19.0 )</v>
          </cell>
        </row>
        <row r="383">
          <cell r="B383" t="str">
            <v>380.0 )</v>
          </cell>
          <cell r="C383" t="str">
            <v>19.1 )</v>
          </cell>
          <cell r="D383" t="str">
            <v>1.19.1 )</v>
          </cell>
          <cell r="E383" t="str">
            <v>2.19.1 )</v>
          </cell>
          <cell r="F383" t="str">
            <v>3.19.1 )</v>
          </cell>
        </row>
        <row r="384">
          <cell r="B384" t="str">
            <v>381.0 )</v>
          </cell>
          <cell r="C384" t="str">
            <v>19.2 )</v>
          </cell>
          <cell r="D384" t="str">
            <v>1.19.2 )</v>
          </cell>
          <cell r="E384" t="str">
            <v>2.19.2 )</v>
          </cell>
          <cell r="F384" t="str">
            <v>3.19.2 )</v>
          </cell>
        </row>
        <row r="385">
          <cell r="B385" t="str">
            <v>382.0 )</v>
          </cell>
          <cell r="C385" t="str">
            <v>19.3 )</v>
          </cell>
          <cell r="D385" t="str">
            <v>1.19.3 )</v>
          </cell>
          <cell r="E385" t="str">
            <v>2.19.3 )</v>
          </cell>
          <cell r="F385" t="str">
            <v>3.19.3 )</v>
          </cell>
        </row>
        <row r="386">
          <cell r="B386" t="str">
            <v>383.0 )</v>
          </cell>
          <cell r="C386" t="str">
            <v>19.4 )</v>
          </cell>
          <cell r="D386" t="str">
            <v>1.19.4 )</v>
          </cell>
          <cell r="E386" t="str">
            <v>2.19.4 )</v>
          </cell>
          <cell r="F386" t="str">
            <v>3.19.4 )</v>
          </cell>
        </row>
        <row r="387">
          <cell r="B387" t="str">
            <v>384.0 )</v>
          </cell>
          <cell r="C387" t="str">
            <v>19.5 )</v>
          </cell>
          <cell r="D387" t="str">
            <v>1.19.5 )</v>
          </cell>
          <cell r="E387" t="str">
            <v>2.19.5 )</v>
          </cell>
          <cell r="F387" t="str">
            <v>3.19.5 )</v>
          </cell>
        </row>
        <row r="388">
          <cell r="B388" t="str">
            <v>385.0 )</v>
          </cell>
          <cell r="C388" t="str">
            <v>19.6 )</v>
          </cell>
          <cell r="D388" t="str">
            <v>1.19.6 )</v>
          </cell>
          <cell r="E388" t="str">
            <v>2.19.6 )</v>
          </cell>
          <cell r="F388" t="str">
            <v>3.19.6 )</v>
          </cell>
        </row>
        <row r="389">
          <cell r="B389" t="str">
            <v>386.0 )</v>
          </cell>
          <cell r="C389" t="str">
            <v>19.7 )</v>
          </cell>
          <cell r="D389" t="str">
            <v>1.19.7 )</v>
          </cell>
          <cell r="E389" t="str">
            <v>2.19.7 )</v>
          </cell>
          <cell r="F389" t="str">
            <v>3.19.7 )</v>
          </cell>
        </row>
        <row r="390">
          <cell r="B390" t="str">
            <v>387.0 )</v>
          </cell>
          <cell r="C390" t="str">
            <v>19.8 )</v>
          </cell>
          <cell r="D390" t="str">
            <v>1.19.8 )</v>
          </cell>
          <cell r="E390" t="str">
            <v>2.19.8 )</v>
          </cell>
          <cell r="F390" t="str">
            <v>3.19.8 )</v>
          </cell>
        </row>
        <row r="391">
          <cell r="B391" t="str">
            <v>388.0 )</v>
          </cell>
          <cell r="C391" t="str">
            <v>19.9 )</v>
          </cell>
          <cell r="D391" t="str">
            <v>1.19.9 )</v>
          </cell>
          <cell r="E391" t="str">
            <v>2.19.9 )</v>
          </cell>
          <cell r="F391" t="str">
            <v>3.19.9 )</v>
          </cell>
        </row>
        <row r="392">
          <cell r="B392" t="str">
            <v>389.0 )</v>
          </cell>
          <cell r="C392" t="str">
            <v>19.10 )</v>
          </cell>
          <cell r="D392" t="str">
            <v>1.19.10 )</v>
          </cell>
          <cell r="E392" t="str">
            <v>2.19.10 )</v>
          </cell>
          <cell r="F392" t="str">
            <v>3.19.10 )</v>
          </cell>
        </row>
        <row r="393">
          <cell r="B393" t="str">
            <v>390.0 )</v>
          </cell>
          <cell r="C393" t="str">
            <v>19.11 )</v>
          </cell>
          <cell r="D393" t="str">
            <v>1.19.11 )</v>
          </cell>
          <cell r="E393" t="str">
            <v>2.19.11 )</v>
          </cell>
          <cell r="F393" t="str">
            <v>3.19.11 )</v>
          </cell>
        </row>
        <row r="394">
          <cell r="B394" t="str">
            <v>391.0 )</v>
          </cell>
          <cell r="C394" t="str">
            <v>19.12 )</v>
          </cell>
          <cell r="D394" t="str">
            <v>1.19.12 )</v>
          </cell>
          <cell r="E394" t="str">
            <v>2.19.12 )</v>
          </cell>
          <cell r="F394" t="str">
            <v>3.19.12 )</v>
          </cell>
        </row>
        <row r="395">
          <cell r="B395" t="str">
            <v>392.0 )</v>
          </cell>
          <cell r="C395" t="str">
            <v>19.13 )</v>
          </cell>
          <cell r="D395" t="str">
            <v>1.19.13 )</v>
          </cell>
          <cell r="E395" t="str">
            <v>2.19.13 )</v>
          </cell>
          <cell r="F395" t="str">
            <v>3.19.13 )</v>
          </cell>
        </row>
        <row r="396">
          <cell r="B396" t="str">
            <v>393.0 )</v>
          </cell>
          <cell r="C396" t="str">
            <v>19.14 )</v>
          </cell>
          <cell r="D396" t="str">
            <v>1.19.14 )</v>
          </cell>
          <cell r="E396" t="str">
            <v>2.19.14 )</v>
          </cell>
          <cell r="F396" t="str">
            <v>3.19.14 )</v>
          </cell>
        </row>
        <row r="397">
          <cell r="B397" t="str">
            <v>394.0 )</v>
          </cell>
          <cell r="C397" t="str">
            <v>19.15 )</v>
          </cell>
          <cell r="D397" t="str">
            <v>1.19.15 )</v>
          </cell>
          <cell r="E397" t="str">
            <v>2.19.15 )</v>
          </cell>
          <cell r="F397" t="str">
            <v>3.19.15 )</v>
          </cell>
        </row>
        <row r="398">
          <cell r="B398" t="str">
            <v>395.0 )</v>
          </cell>
          <cell r="C398" t="str">
            <v>19.16 )</v>
          </cell>
          <cell r="D398" t="str">
            <v>1.19.16 )</v>
          </cell>
          <cell r="E398" t="str">
            <v>2.19.16 )</v>
          </cell>
          <cell r="F398" t="str">
            <v>3.19.16 )</v>
          </cell>
        </row>
        <row r="399">
          <cell r="B399" t="str">
            <v>396.0 )</v>
          </cell>
          <cell r="C399" t="str">
            <v>19.17 )</v>
          </cell>
          <cell r="D399" t="str">
            <v>1.19.17 )</v>
          </cell>
          <cell r="E399" t="str">
            <v>2.19.17 )</v>
          </cell>
          <cell r="F399" t="str">
            <v>3.19.17 )</v>
          </cell>
        </row>
        <row r="400">
          <cell r="B400" t="str">
            <v>397.0 )</v>
          </cell>
          <cell r="C400" t="str">
            <v>19.18 )</v>
          </cell>
          <cell r="D400" t="str">
            <v>1.19.18 )</v>
          </cell>
          <cell r="E400" t="str">
            <v>2.19.18 )</v>
          </cell>
          <cell r="F400" t="str">
            <v>3.19.18 )</v>
          </cell>
        </row>
        <row r="401">
          <cell r="B401" t="str">
            <v>398.0 )</v>
          </cell>
          <cell r="C401" t="str">
            <v>19.19 )</v>
          </cell>
          <cell r="D401" t="str">
            <v>1.19.19 )</v>
          </cell>
          <cell r="E401" t="str">
            <v>2.19.19 )</v>
          </cell>
          <cell r="F401" t="str">
            <v>3.19.19 )</v>
          </cell>
        </row>
        <row r="402">
          <cell r="B402" t="str">
            <v>399.0 )</v>
          </cell>
          <cell r="C402" t="str">
            <v>19.20 )</v>
          </cell>
          <cell r="D402" t="str">
            <v>1.19.20 )</v>
          </cell>
          <cell r="E402" t="str">
            <v>2.19.20 )</v>
          </cell>
          <cell r="F402" t="str">
            <v>3.19.20 )</v>
          </cell>
        </row>
        <row r="403">
          <cell r="B403" t="str">
            <v>400.0 )</v>
          </cell>
          <cell r="C403" t="str">
            <v>20.0 )</v>
          </cell>
          <cell r="D403" t="str">
            <v>1.20.0 )</v>
          </cell>
          <cell r="E403" t="str">
            <v>2.20.0 )</v>
          </cell>
          <cell r="F403" t="str">
            <v>3.20.0 )</v>
          </cell>
        </row>
        <row r="404">
          <cell r="B404" t="str">
            <v>401.0 )</v>
          </cell>
          <cell r="C404" t="str">
            <v>20.1 )</v>
          </cell>
          <cell r="D404" t="str">
            <v>1.20.1 )</v>
          </cell>
          <cell r="E404" t="str">
            <v>2.20.1 )</v>
          </cell>
          <cell r="F404" t="str">
            <v>3.20.1 )</v>
          </cell>
        </row>
        <row r="405">
          <cell r="B405" t="str">
            <v>402.0 )</v>
          </cell>
          <cell r="C405" t="str">
            <v>20.2 )</v>
          </cell>
          <cell r="D405" t="str">
            <v>1.20.2 )</v>
          </cell>
          <cell r="E405" t="str">
            <v>2.20.2 )</v>
          </cell>
          <cell r="F405" t="str">
            <v>3.20.2 )</v>
          </cell>
        </row>
        <row r="406">
          <cell r="B406" t="str">
            <v>403.0 )</v>
          </cell>
          <cell r="C406" t="str">
            <v>20.3 )</v>
          </cell>
          <cell r="D406" t="str">
            <v>1.20.3 )</v>
          </cell>
          <cell r="E406" t="str">
            <v>2.20.3 )</v>
          </cell>
          <cell r="F406" t="str">
            <v>3.20.3 )</v>
          </cell>
        </row>
        <row r="407">
          <cell r="B407" t="str">
            <v>404.0 )</v>
          </cell>
          <cell r="C407" t="str">
            <v>20.4 )</v>
          </cell>
          <cell r="D407" t="str">
            <v>1.20.4 )</v>
          </cell>
          <cell r="E407" t="str">
            <v>2.20.4 )</v>
          </cell>
          <cell r="F407" t="str">
            <v>3.20.4 )</v>
          </cell>
        </row>
        <row r="408">
          <cell r="B408" t="str">
            <v>405.0 )</v>
          </cell>
          <cell r="C408" t="str">
            <v>20.5 )</v>
          </cell>
          <cell r="D408" t="str">
            <v>1.20.5 )</v>
          </cell>
          <cell r="E408" t="str">
            <v>2.20.5 )</v>
          </cell>
          <cell r="F408" t="str">
            <v>3.20.5 )</v>
          </cell>
        </row>
        <row r="409">
          <cell r="B409" t="str">
            <v>406.0 )</v>
          </cell>
          <cell r="C409" t="str">
            <v>20.6 )</v>
          </cell>
          <cell r="D409" t="str">
            <v>1.20.6 )</v>
          </cell>
          <cell r="E409" t="str">
            <v>2.20.6 )</v>
          </cell>
          <cell r="F409" t="str">
            <v>3.20.6 )</v>
          </cell>
        </row>
        <row r="410">
          <cell r="B410" t="str">
            <v>407.0 )</v>
          </cell>
          <cell r="C410" t="str">
            <v>20.7 )</v>
          </cell>
          <cell r="D410" t="str">
            <v>1.20.7 )</v>
          </cell>
          <cell r="E410" t="str">
            <v>2.20.7 )</v>
          </cell>
          <cell r="F410" t="str">
            <v>3.20.7 )</v>
          </cell>
        </row>
        <row r="411">
          <cell r="B411" t="str">
            <v>408.0 )</v>
          </cell>
          <cell r="C411" t="str">
            <v>20.8 )</v>
          </cell>
          <cell r="D411" t="str">
            <v>1.20.8 )</v>
          </cell>
          <cell r="E411" t="str">
            <v>2.20.8 )</v>
          </cell>
          <cell r="F411" t="str">
            <v>3.20.8 )</v>
          </cell>
        </row>
        <row r="412">
          <cell r="B412" t="str">
            <v>409.0 )</v>
          </cell>
          <cell r="C412" t="str">
            <v>20.9 )</v>
          </cell>
          <cell r="D412" t="str">
            <v>1.20.9 )</v>
          </cell>
          <cell r="E412" t="str">
            <v>2.20.9 )</v>
          </cell>
          <cell r="F412" t="str">
            <v>3.20.9 )</v>
          </cell>
        </row>
        <row r="413">
          <cell r="B413" t="str">
            <v>410.0 )</v>
          </cell>
          <cell r="C413" t="str">
            <v>20.10 )</v>
          </cell>
          <cell r="D413" t="str">
            <v>1.20.10 )</v>
          </cell>
          <cell r="E413" t="str">
            <v>2.20.10 )</v>
          </cell>
          <cell r="F413" t="str">
            <v>3.20.10 )</v>
          </cell>
        </row>
        <row r="414">
          <cell r="B414" t="str">
            <v>411.0 )</v>
          </cell>
          <cell r="C414" t="str">
            <v>20.11 )</v>
          </cell>
          <cell r="D414" t="str">
            <v>1.20.11 )</v>
          </cell>
          <cell r="E414" t="str">
            <v>2.20.11 )</v>
          </cell>
          <cell r="F414" t="str">
            <v>3.20.11 )</v>
          </cell>
        </row>
        <row r="415">
          <cell r="B415" t="str">
            <v>412.0 )</v>
          </cell>
          <cell r="C415" t="str">
            <v>20.12 )</v>
          </cell>
          <cell r="D415" t="str">
            <v>1.20.12 )</v>
          </cell>
          <cell r="E415" t="str">
            <v>2.20.12 )</v>
          </cell>
          <cell r="F415" t="str">
            <v>3.20.12 )</v>
          </cell>
        </row>
        <row r="416">
          <cell r="B416" t="str">
            <v>413.0 )</v>
          </cell>
          <cell r="C416" t="str">
            <v>20.13 )</v>
          </cell>
          <cell r="D416" t="str">
            <v>1.20.13 )</v>
          </cell>
          <cell r="E416" t="str">
            <v>2.20.13 )</v>
          </cell>
          <cell r="F416" t="str">
            <v>3.20.13 )</v>
          </cell>
        </row>
        <row r="417">
          <cell r="B417" t="str">
            <v>414.0 )</v>
          </cell>
          <cell r="C417" t="str">
            <v>20.14 )</v>
          </cell>
          <cell r="D417" t="str">
            <v>1.20.14 )</v>
          </cell>
          <cell r="E417" t="str">
            <v>2.20.14 )</v>
          </cell>
          <cell r="F417" t="str">
            <v>3.20.14 )</v>
          </cell>
        </row>
        <row r="418">
          <cell r="B418" t="str">
            <v>415.0 )</v>
          </cell>
          <cell r="C418" t="str">
            <v>20.15 )</v>
          </cell>
          <cell r="D418" t="str">
            <v>1.20.15 )</v>
          </cell>
          <cell r="E418" t="str">
            <v>2.20.15 )</v>
          </cell>
          <cell r="F418" t="str">
            <v>3.20.15 )</v>
          </cell>
        </row>
        <row r="419">
          <cell r="B419" t="str">
            <v>416.0 )</v>
          </cell>
          <cell r="C419" t="str">
            <v>20.16 )</v>
          </cell>
          <cell r="D419" t="str">
            <v>1.20.16 )</v>
          </cell>
          <cell r="E419" t="str">
            <v>2.20.16 )</v>
          </cell>
          <cell r="F419" t="str">
            <v>3.20.16 )</v>
          </cell>
        </row>
        <row r="420">
          <cell r="B420" t="str">
            <v>417.0 )</v>
          </cell>
          <cell r="C420" t="str">
            <v>20.17 )</v>
          </cell>
          <cell r="D420" t="str">
            <v>1.20.17 )</v>
          </cell>
          <cell r="E420" t="str">
            <v>2.20.17 )</v>
          </cell>
          <cell r="F420" t="str">
            <v>3.20.17 )</v>
          </cell>
        </row>
        <row r="421">
          <cell r="B421" t="str">
            <v>418.0 )</v>
          </cell>
          <cell r="C421" t="str">
            <v>20.18 )</v>
          </cell>
          <cell r="D421" t="str">
            <v>1.20.18 )</v>
          </cell>
          <cell r="E421" t="str">
            <v>2.20.18 )</v>
          </cell>
          <cell r="F421" t="str">
            <v>3.20.18 )</v>
          </cell>
        </row>
        <row r="422">
          <cell r="B422" t="str">
            <v>419.0 )</v>
          </cell>
          <cell r="C422" t="str">
            <v>20.19 )</v>
          </cell>
          <cell r="D422" t="str">
            <v>1.20.19 )</v>
          </cell>
          <cell r="E422" t="str">
            <v>2.20.19 )</v>
          </cell>
          <cell r="F422" t="str">
            <v>3.20.19 )</v>
          </cell>
        </row>
        <row r="423">
          <cell r="B423" t="str">
            <v>420.0 )</v>
          </cell>
          <cell r="C423" t="str">
            <v>20.20 )</v>
          </cell>
          <cell r="D423" t="str">
            <v>1.20.20 )</v>
          </cell>
          <cell r="E423" t="str">
            <v>2.20.20 )</v>
          </cell>
          <cell r="F423" t="str">
            <v>3.20.20 )</v>
          </cell>
        </row>
      </sheetData>
      <sheetData sheetId="6" refreshError="1">
        <row r="9">
          <cell r="D9" t="str">
            <v>( AGGREGATES )</v>
          </cell>
        </row>
        <row r="10">
          <cell r="D10" t="str">
            <v>Sand</v>
          </cell>
        </row>
        <row r="11">
          <cell r="D11" t="str">
            <v>Gravel</v>
          </cell>
        </row>
        <row r="12">
          <cell r="D12" t="str">
            <v>Gravel Bedding</v>
          </cell>
        </row>
        <row r="13">
          <cell r="D13" t="str">
            <v>Stone</v>
          </cell>
        </row>
        <row r="14">
          <cell r="D14" t="str">
            <v>Boulders / Stone</v>
          </cell>
        </row>
        <row r="15">
          <cell r="D15" t="str">
            <v>Boulders (20-30 cm dia.)</v>
          </cell>
        </row>
        <row r="16">
          <cell r="D16" t="str">
            <v>Filling Materials</v>
          </cell>
        </row>
        <row r="17">
          <cell r="D17" t="str">
            <v>Aggregate Sub Base Course (Item 200)</v>
          </cell>
        </row>
        <row r="18">
          <cell r="D18" t="str">
            <v>Aggregate Base Course (Item 201)</v>
          </cell>
        </row>
        <row r="19">
          <cell r="D19" t="str">
            <v>Common Borrow</v>
          </cell>
        </row>
        <row r="20">
          <cell r="D20" t="str">
            <v>Gravelfill</v>
          </cell>
        </row>
        <row r="21">
          <cell r="D21" t="str">
            <v>Sand Fill</v>
          </cell>
        </row>
        <row r="22">
          <cell r="D22" t="str">
            <v>Granular Fill</v>
          </cell>
        </row>
        <row r="23">
          <cell r="D23" t="str">
            <v>Rock / Boulder (50-200 kg)</v>
          </cell>
        </row>
        <row r="24">
          <cell r="D24" t="str">
            <v>Rock / Boulder (100-200 kg)</v>
          </cell>
        </row>
        <row r="25">
          <cell r="D25" t="str">
            <v>Crushed Gravel</v>
          </cell>
        </row>
        <row r="26">
          <cell r="D26" t="str">
            <v>Selected Borrow</v>
          </cell>
        </row>
        <row r="29">
          <cell r="D29" t="str">
            <v>( WATER )</v>
          </cell>
        </row>
        <row r="30">
          <cell r="D30" t="str">
            <v>Water</v>
          </cell>
        </row>
        <row r="32">
          <cell r="D32" t="str">
            <v>( CEMENT )</v>
          </cell>
        </row>
        <row r="33">
          <cell r="D33" t="str">
            <v>Portland Cement 40kg</v>
          </cell>
        </row>
        <row r="34">
          <cell r="D34" t="str">
            <v>Portland Cement</v>
          </cell>
        </row>
        <row r="35">
          <cell r="D35" t="str">
            <v>Pozzoland Cement 40 kg</v>
          </cell>
        </row>
        <row r="36">
          <cell r="D36" t="str">
            <v xml:space="preserve">Pozzoland Cement </v>
          </cell>
        </row>
        <row r="37">
          <cell r="D37" t="str">
            <v>Red cement</v>
          </cell>
        </row>
        <row r="38">
          <cell r="D38" t="str">
            <v>White Cement</v>
          </cell>
        </row>
        <row r="39">
          <cell r="D39" t="str">
            <v>Water Sealant Cement</v>
          </cell>
        </row>
        <row r="40">
          <cell r="D40" t="str">
            <v>Bentonite</v>
          </cell>
        </row>
        <row r="41">
          <cell r="D41" t="str">
            <v>Epoxy Grout</v>
          </cell>
        </row>
        <row r="42">
          <cell r="D42" t="str">
            <v>Epoxy Resin</v>
          </cell>
        </row>
        <row r="43">
          <cell r="D43" t="str">
            <v>Non-Shrink Grout</v>
          </cell>
        </row>
        <row r="44">
          <cell r="D44" t="str">
            <v>Sahara</v>
          </cell>
        </row>
        <row r="45">
          <cell r="D45" t="str">
            <v>100mm Conc. Hollow Block</v>
          </cell>
        </row>
        <row r="46">
          <cell r="D46" t="str">
            <v>( CEMENT PRODUCTS )</v>
          </cell>
        </row>
        <row r="47">
          <cell r="D47" t="str">
            <v>100mm Conc. Hollow Block</v>
          </cell>
        </row>
        <row r="48">
          <cell r="D48" t="str">
            <v>150mm Conc. Hollow Block</v>
          </cell>
        </row>
        <row r="49">
          <cell r="D49" t="str">
            <v>Decorative Concrete Block (Louver Type)</v>
          </cell>
        </row>
        <row r="50">
          <cell r="D50" t="str">
            <v>250mm x 250mm Decorative Concrete Block</v>
          </cell>
        </row>
        <row r="51">
          <cell r="D51" t="str">
            <v>300mm RC Pipe Culvert</v>
          </cell>
        </row>
        <row r="52">
          <cell r="D52" t="str">
            <v>450mm RC Pipe Culvert</v>
          </cell>
        </row>
        <row r="53">
          <cell r="D53" t="str">
            <v>610mm RC Pipe Culvert</v>
          </cell>
        </row>
        <row r="54">
          <cell r="D54" t="str">
            <v>760mm RC Pipe Culvert</v>
          </cell>
        </row>
        <row r="55">
          <cell r="D55" t="str">
            <v>910mm RC Pipe Culvert</v>
          </cell>
        </row>
        <row r="56">
          <cell r="D56" t="str">
            <v>1070mm RC Pipe Culvert</v>
          </cell>
        </row>
        <row r="57">
          <cell r="D57" t="str">
            <v>1220mm RC Pipe Culvert</v>
          </cell>
        </row>
        <row r="58">
          <cell r="D58" t="str">
            <v>3"dia. Conc. Baluster, 18"</v>
          </cell>
        </row>
        <row r="59">
          <cell r="D59" t="str">
            <v>PRESTRESSED PILES</v>
          </cell>
        </row>
        <row r="60">
          <cell r="D60" t="str">
            <v>PRESTRESSED PILES</v>
          </cell>
        </row>
        <row r="61">
          <cell r="D61" t="str">
            <v>PSC Piles, 400mm x 400mm x 10m.</v>
          </cell>
        </row>
        <row r="62">
          <cell r="D62" t="str">
            <v>PSC Piles, 400mm x 400mm x 10m.</v>
          </cell>
        </row>
        <row r="63">
          <cell r="D63" t="str">
            <v>PSC Piles, 400mm x 400mm x 12m.</v>
          </cell>
        </row>
        <row r="64">
          <cell r="D64" t="str">
            <v>PSC Piles, 400mm x 400mm x 14m.</v>
          </cell>
        </row>
        <row r="65">
          <cell r="D65" t="str">
            <v>PSC Piles, 400mm x 400mm x 21m.</v>
          </cell>
        </row>
        <row r="66">
          <cell r="D66" t="str">
            <v>PSC Piles, 400mm x 400mm x 22m.</v>
          </cell>
        </row>
        <row r="67">
          <cell r="D67" t="str">
            <v>PSC Piles, 400mm x 400mm x 24m.</v>
          </cell>
        </row>
        <row r="68">
          <cell r="D68" t="str">
            <v>PSC Test Piles, 400mm x 400mm x 10m.</v>
          </cell>
        </row>
        <row r="69">
          <cell r="D69" t="str">
            <v>PSC Test Piles, 400mm x 400mm x 12m.</v>
          </cell>
        </row>
        <row r="70">
          <cell r="D70" t="str">
            <v>PSC Test Piles, 400mm x 400mm x 14m.</v>
          </cell>
        </row>
        <row r="71">
          <cell r="D71" t="str">
            <v>PSC Test Piles, 400mm x 400mm x 21m.</v>
          </cell>
        </row>
        <row r="72">
          <cell r="D72" t="str">
            <v>PSC Test Piles, 400mm x 400mm x 22m.</v>
          </cell>
        </row>
        <row r="73">
          <cell r="D73" t="str">
            <v xml:space="preserve">PSC Test Piles, 400mm x 400mm x 24m. </v>
          </cell>
        </row>
        <row r="74">
          <cell r="D74" t="str">
            <v xml:space="preserve">PSC Test Piles, 450mm x 450mm x 35m. </v>
          </cell>
        </row>
        <row r="75">
          <cell r="D75" t="str">
            <v xml:space="preserve">PSC Test Piles, 450mm x 450mm x 35m. </v>
          </cell>
        </row>
        <row r="76">
          <cell r="D76" t="str">
            <v>PSC Piles, 450mm x 450mm x 35m.</v>
          </cell>
        </row>
        <row r="77">
          <cell r="D77" t="str">
            <v xml:space="preserve">PSC Test Piles, 450mm x 450mm x 25m. </v>
          </cell>
        </row>
        <row r="78">
          <cell r="D78" t="str">
            <v>PSC Piles, 450mm x 450mm x 25m.</v>
          </cell>
        </row>
        <row r="79">
          <cell r="D79" t="str">
            <v>PSC Piles, 400mm x 400mm x 40m.</v>
          </cell>
        </row>
        <row r="80">
          <cell r="D80" t="str">
            <v xml:space="preserve">PSC Test Piles, 400mm x 400mm x 40m. </v>
          </cell>
        </row>
        <row r="81">
          <cell r="D81" t="str">
            <v xml:space="preserve">PSC Test Piles, 400mm x 400mm x 40m. </v>
          </cell>
        </row>
        <row r="82">
          <cell r="D82" t="str">
            <v>PSC Piles, 400mm x 400mm x 40m.</v>
          </cell>
        </row>
        <row r="83">
          <cell r="D83" t="str">
            <v xml:space="preserve">PSC Test Piles - 400mm x 400mm x 24m. </v>
          </cell>
        </row>
        <row r="84">
          <cell r="D84" t="str">
            <v xml:space="preserve">PSC Test Piles - 400mm x 400mm x 24m. </v>
          </cell>
        </row>
        <row r="85">
          <cell r="D85" t="str">
            <v>PSC Piles - 400mm x 400mm x 24m.</v>
          </cell>
        </row>
        <row r="86">
          <cell r="D86" t="str">
            <v>Steel Piles</v>
          </cell>
        </row>
        <row r="87">
          <cell r="D87" t="str">
            <v>Steel Sheet Pile (PZ27)</v>
          </cell>
        </row>
        <row r="88">
          <cell r="D88" t="str">
            <v>Steel Piles</v>
          </cell>
        </row>
        <row r="89">
          <cell r="D89" t="str">
            <v>Steel Piles</v>
          </cell>
        </row>
        <row r="90">
          <cell r="D90" t="str">
            <v>Steel Sheet Pile (PZ27)</v>
          </cell>
        </row>
        <row r="91">
          <cell r="D91" t="str">
            <v>Steel Pipe Pile (Ø 450 x 12t x 18m. - SKK400)</v>
          </cell>
        </row>
        <row r="92">
          <cell r="D92" t="str">
            <v>Steel Pipe Pile (Ø 150 x 12t x 6m. - SKK400)</v>
          </cell>
        </row>
        <row r="96">
          <cell r="D96" t="str">
            <v>( TIMBER and INDIGENOUS MATERIALS )</v>
          </cell>
        </row>
        <row r="97">
          <cell r="D97" t="str">
            <v>1" x 6" (Yakal)</v>
          </cell>
        </row>
        <row r="98">
          <cell r="D98" t="str">
            <v>( TIMBER and INDIGENOUS MATERIALS )</v>
          </cell>
        </row>
        <row r="99">
          <cell r="D99" t="str">
            <v>( TIMBER and INDIGENOUS MATERIALS )</v>
          </cell>
        </row>
        <row r="100">
          <cell r="D100" t="str">
            <v>1" x 6" (Yakal)</v>
          </cell>
        </row>
        <row r="101">
          <cell r="D101" t="str">
            <v>2" x 2" (Yakal)</v>
          </cell>
        </row>
        <row r="102">
          <cell r="D102" t="str">
            <v>2" x 6" (Yakal)</v>
          </cell>
        </row>
        <row r="103">
          <cell r="D103" t="str">
            <v>2" x 4" (Yakal or equivalent)</v>
          </cell>
        </row>
        <row r="104">
          <cell r="D104" t="str">
            <v>2" x 4" (Yakal)</v>
          </cell>
        </row>
        <row r="105">
          <cell r="D105" t="str">
            <v>2" x 3" (Yakal)</v>
          </cell>
        </row>
        <row r="106">
          <cell r="D106" t="str">
            <v>2" x 6" (Yakal)</v>
          </cell>
        </row>
        <row r="107">
          <cell r="D107" t="str">
            <v>2" x 6" x 6' (Yakal)</v>
          </cell>
        </row>
        <row r="108">
          <cell r="D108" t="str">
            <v>2" x 6" x 6' (Yakal or equivalent)</v>
          </cell>
        </row>
        <row r="109">
          <cell r="D109" t="str">
            <v>2" x 6" x 8' (Yakal)</v>
          </cell>
        </row>
        <row r="110">
          <cell r="D110" t="str">
            <v>2" x 6" x 10' (Yakal)</v>
          </cell>
        </row>
        <row r="111">
          <cell r="D111" t="str">
            <v>2" x 6" x 12' (Yakal)</v>
          </cell>
        </row>
        <row r="112">
          <cell r="D112" t="str">
            <v>2" x 6" x 14' (Yakal)</v>
          </cell>
        </row>
        <row r="113">
          <cell r="D113" t="str">
            <v>3" x 4" (Yakal)</v>
          </cell>
        </row>
        <row r="114">
          <cell r="D114" t="str">
            <v>4" x 4" (Yakal)</v>
          </cell>
        </row>
        <row r="115">
          <cell r="D115" t="str">
            <v>3" x 4" (Yakal or equivalent)</v>
          </cell>
        </row>
        <row r="116">
          <cell r="D116" t="str">
            <v>3" x 4" x 8' (Yakal)</v>
          </cell>
        </row>
        <row r="117">
          <cell r="D117" t="str">
            <v>3" x 4" x 10' (Yakal)</v>
          </cell>
        </row>
        <row r="118">
          <cell r="D118" t="str">
            <v>6" x 6" (Yakal)</v>
          </cell>
        </row>
        <row r="119">
          <cell r="D119" t="str">
            <v>6" x 6" (Yakal or equivalent)</v>
          </cell>
        </row>
        <row r="120">
          <cell r="D120" t="str">
            <v>6" x 6" (Molave)</v>
          </cell>
        </row>
        <row r="121">
          <cell r="D121" t="str">
            <v>6" x 6" (Molave or equivalent)</v>
          </cell>
        </row>
        <row r="122">
          <cell r="D122" t="str">
            <v>6" x 6" x 10' (Yakal)</v>
          </cell>
        </row>
        <row r="123">
          <cell r="D123" t="str">
            <v>6" x 6" x 8' (Molave)</v>
          </cell>
        </row>
        <row r="124">
          <cell r="D124" t="str">
            <v>6" x 6" x 10' (Molave)</v>
          </cell>
        </row>
        <row r="125">
          <cell r="D125" t="str">
            <v>6" x 6" x 14' (Molave)</v>
          </cell>
        </row>
        <row r="126">
          <cell r="D126" t="str">
            <v>6" x 6" x 16' (Molave)</v>
          </cell>
        </row>
        <row r="127">
          <cell r="D127" t="str">
            <v>6" x 6" x 18' (Molave)</v>
          </cell>
        </row>
        <row r="128">
          <cell r="D128" t="str">
            <v>6" x 6" x 20' (Molave)</v>
          </cell>
        </row>
        <row r="129">
          <cell r="D129" t="str">
            <v>6" x 6" x 22' (Molave)</v>
          </cell>
        </row>
        <row r="130">
          <cell r="D130" t="str">
            <v>8" Ø Molave Pile</v>
          </cell>
        </row>
        <row r="131">
          <cell r="D131" t="str">
            <v>Yakal</v>
          </cell>
        </row>
        <row r="132">
          <cell r="D132" t="str">
            <v>Guijo</v>
          </cell>
        </row>
        <row r="133">
          <cell r="D133" t="str">
            <v>Apitong</v>
          </cell>
        </row>
        <row r="134">
          <cell r="D134" t="str">
            <v>Lauan</v>
          </cell>
        </row>
        <row r="135">
          <cell r="D135" t="str">
            <v>Coco Trunks</v>
          </cell>
        </row>
        <row r="136">
          <cell r="D136" t="str">
            <v>Coco Lumber</v>
          </cell>
        </row>
        <row r="137">
          <cell r="D137" t="str">
            <v>Coco Lumber (Miscut)</v>
          </cell>
        </row>
        <row r="138">
          <cell r="D138" t="str">
            <v>Falsework &amp; Scaffolds (Coco Lumber)</v>
          </cell>
        </row>
        <row r="139">
          <cell r="D139" t="str">
            <v>Falsework, Scaffolds &amp; Formworks (Coco Lumber)</v>
          </cell>
        </row>
        <row r="140">
          <cell r="D140" t="str">
            <v>Bamboo Poles</v>
          </cell>
        </row>
        <row r="141">
          <cell r="D141" t="str">
            <v>1½"   Bamboo Slats</v>
          </cell>
        </row>
        <row r="142">
          <cell r="D142" t="str">
            <v>Bamboo Slats</v>
          </cell>
        </row>
        <row r="143">
          <cell r="D143" t="str">
            <v>Bacauan</v>
          </cell>
        </row>
        <row r="144">
          <cell r="D144" t="str">
            <v>Tambulian or Equivalent</v>
          </cell>
        </row>
        <row r="145">
          <cell r="D145" t="str">
            <v>Nipa Shingles</v>
          </cell>
        </row>
        <row r="146">
          <cell r="D146" t="str">
            <v>Gemilina</v>
          </cell>
        </row>
        <row r="147">
          <cell r="D147" t="str">
            <v>( TIMBER PRODUCTS )</v>
          </cell>
        </row>
        <row r="148">
          <cell r="D148" t="str">
            <v>( TIMBER PRODUCTS )</v>
          </cell>
        </row>
        <row r="149">
          <cell r="D149" t="str">
            <v>Mouldings and Slats</v>
          </cell>
        </row>
        <row r="150">
          <cell r="D150" t="str">
            <v>S-Type Mouldings/Cornice</v>
          </cell>
        </row>
        <row r="151">
          <cell r="D151" t="str">
            <v>Moulding/Cornice</v>
          </cell>
        </row>
        <row r="152">
          <cell r="D152" t="str">
            <v>0.70 x 1.00 fixed Louvers</v>
          </cell>
        </row>
        <row r="153">
          <cell r="D153" t="str">
            <v>Wall Boards, T&amp;G, stone-cut, etc.</v>
          </cell>
        </row>
        <row r="154">
          <cell r="D154" t="str">
            <v>¼" thk, Ordinary Plywood</v>
          </cell>
        </row>
        <row r="155">
          <cell r="D155" t="str">
            <v>3/8" thk, Ordinary Plywood</v>
          </cell>
        </row>
        <row r="156">
          <cell r="D156" t="str">
            <v>½" thk, Ordinary Plywood</v>
          </cell>
        </row>
        <row r="157">
          <cell r="D157" t="str">
            <v>3/4" thk,  Ordinary Plywood</v>
          </cell>
        </row>
        <row r="158">
          <cell r="D158" t="str">
            <v>¼" thk,  Marine Plywood</v>
          </cell>
        </row>
        <row r="159">
          <cell r="D159" t="str">
            <v>½" thk,  Marine Plywood</v>
          </cell>
        </row>
        <row r="160">
          <cell r="D160" t="str">
            <v>3/8" thk,  Form Plywood</v>
          </cell>
        </row>
        <row r="161">
          <cell r="D161" t="str">
            <v>4" x 8' Stone-Cut T&amp;G</v>
          </cell>
        </row>
        <row r="162">
          <cell r="D162" t="str">
            <v>1/4"Hardiflex</v>
          </cell>
        </row>
        <row r="163">
          <cell r="D163" t="str">
            <v>Wooden Door Set</v>
          </cell>
        </row>
        <row r="164">
          <cell r="D164" t="str">
            <v>Wooden Window Set w/ Steel Grilles</v>
          </cell>
        </row>
        <row r="165">
          <cell r="D165" t="str">
            <v>Wooden Window-1 Set w/ Steel Grilles</v>
          </cell>
        </row>
        <row r="166">
          <cell r="D166" t="str">
            <v>Wooden Window-2 Set w/ Steel Grilles</v>
          </cell>
        </row>
        <row r="167">
          <cell r="D167" t="str">
            <v>Wooden Door-1 Set</v>
          </cell>
        </row>
        <row r="168">
          <cell r="D168" t="str">
            <v>Wooden Door-1 Set</v>
          </cell>
        </row>
        <row r="169">
          <cell r="D169" t="str">
            <v>Wooden Door-2 Set</v>
          </cell>
        </row>
        <row r="170">
          <cell r="D170" t="str">
            <v>Wooden Door-3 Set</v>
          </cell>
        </row>
        <row r="171">
          <cell r="D171" t="str">
            <v>Wooden Window Set</v>
          </cell>
        </row>
        <row r="172">
          <cell r="D172" t="str">
            <v>Wooden Window-1 Set w/ Steel Grilles</v>
          </cell>
        </row>
        <row r="173">
          <cell r="D173" t="str">
            <v>Wooden Window Set w/ Steel Grilles</v>
          </cell>
        </row>
        <row r="174">
          <cell r="D174" t="str">
            <v>Wooden Window Set w/ Steel Grilles</v>
          </cell>
        </row>
        <row r="175">
          <cell r="D175" t="str">
            <v>Wooden Window-1 Set w/ Steel Grilles</v>
          </cell>
        </row>
        <row r="176">
          <cell r="D176" t="str">
            <v>Wooden Window-2 Set w/ Steel Grilles</v>
          </cell>
        </row>
        <row r="178">
          <cell r="D178" t="str">
            <v>( FLAT &amp; ROUND STEEL BARS )</v>
          </cell>
        </row>
        <row r="179">
          <cell r="D179" t="str">
            <v>Deformed Bars, Grade 40</v>
          </cell>
        </row>
        <row r="180">
          <cell r="D180" t="str">
            <v>( FLAT &amp; ROUND STEEL BARS )</v>
          </cell>
        </row>
        <row r="181">
          <cell r="D181" t="str">
            <v>( FLAT &amp; ROUND STEEL BARS )</v>
          </cell>
        </row>
        <row r="182">
          <cell r="D182" t="str">
            <v>Deformed Bars, Grade 40</v>
          </cell>
        </row>
        <row r="183">
          <cell r="D183" t="str">
            <v>Deformed Bars, Grade 33</v>
          </cell>
        </row>
        <row r="184">
          <cell r="D184" t="str">
            <v xml:space="preserve">6mmØ x 6m. RSB </v>
          </cell>
        </row>
        <row r="185">
          <cell r="D185" t="str">
            <v xml:space="preserve">8mmØ x 6m. RSB </v>
          </cell>
        </row>
        <row r="186">
          <cell r="D186" t="str">
            <v xml:space="preserve">10mmØ x 6m. RSB </v>
          </cell>
        </row>
        <row r="187">
          <cell r="D187" t="str">
            <v xml:space="preserve">12mmØ x 6m. RSB </v>
          </cell>
        </row>
        <row r="188">
          <cell r="D188" t="str">
            <v>Deformed Bars, (276 Mpa)</v>
          </cell>
        </row>
        <row r="189">
          <cell r="D189" t="str">
            <v>Deformed Bars, (230 Mpa)</v>
          </cell>
        </row>
        <row r="190">
          <cell r="D190" t="str">
            <v>Plain Round Bars, Grade 33</v>
          </cell>
        </row>
        <row r="191">
          <cell r="D191" t="str">
            <v>12mm  Suction Rod with Threaded Coupling</v>
          </cell>
        </row>
        <row r="192">
          <cell r="D192" t="str">
            <v>Square Bar</v>
          </cell>
        </row>
        <row r="193">
          <cell r="D193" t="str">
            <v>¼" X 2½" Flat Bar</v>
          </cell>
        </row>
        <row r="194">
          <cell r="D194" t="str">
            <v>36mmØ Splicing Bar</v>
          </cell>
        </row>
        <row r="195">
          <cell r="D195" t="str">
            <v>10mmØ x 6m. RSB Grade 33</v>
          </cell>
        </row>
        <row r="196">
          <cell r="D196" t="str">
            <v>10mmØ x 6m. RSB Grade 33</v>
          </cell>
        </row>
        <row r="197">
          <cell r="D197" t="str">
            <v>10mmØ x 7.5m. RSB Grade 33</v>
          </cell>
        </row>
        <row r="198">
          <cell r="D198" t="str">
            <v>10mmØ x 9m. RSB Grade 33</v>
          </cell>
        </row>
        <row r="199">
          <cell r="D199" t="str">
            <v>12mmØ x 6m. RSB Grade 33</v>
          </cell>
        </row>
        <row r="200">
          <cell r="D200" t="str">
            <v>12mmØ x 7.5m. RSB Grade 33</v>
          </cell>
        </row>
        <row r="201">
          <cell r="D201" t="str">
            <v>12mmØ x 9m. RSB Grade 33</v>
          </cell>
        </row>
        <row r="202">
          <cell r="D202" t="str">
            <v>16mmØ x 6m. RSB Grade 33</v>
          </cell>
        </row>
        <row r="203">
          <cell r="D203" t="str">
            <v>16mmØ x 7.5m. RSB Grade 33</v>
          </cell>
        </row>
        <row r="204">
          <cell r="D204" t="str">
            <v>16mmØ x 9m. RSB Grade 33</v>
          </cell>
        </row>
        <row r="205">
          <cell r="D205" t="str">
            <v>20mmØ x 6m. RSB Grade 33</v>
          </cell>
        </row>
        <row r="206">
          <cell r="D206" t="str">
            <v>20mmØ x 7.5m. RSB Grade 33</v>
          </cell>
        </row>
        <row r="207">
          <cell r="D207" t="str">
            <v>20mmØ x 9m. RSB Grade 33</v>
          </cell>
        </row>
        <row r="208">
          <cell r="D208" t="str">
            <v>25mmØ x 6m. RSB Grade 33</v>
          </cell>
        </row>
        <row r="209">
          <cell r="D209" t="str">
            <v>25mmØ x 7.5m. RSB Grade 33</v>
          </cell>
        </row>
        <row r="210">
          <cell r="D210" t="str">
            <v>25mmØ x 9m. RSB Grade 33</v>
          </cell>
        </row>
        <row r="211">
          <cell r="D211" t="str">
            <v>28mmØ x 6m. RSB Grade 33</v>
          </cell>
        </row>
        <row r="212">
          <cell r="D212" t="str">
            <v>3/16"x1½"x1½" Angle Bar</v>
          </cell>
        </row>
        <row r="213">
          <cell r="D213" t="str">
            <v>( STRUCTURAL STEEL )</v>
          </cell>
        </row>
        <row r="214">
          <cell r="D214" t="str">
            <v>( STRUCTURAL STEEL )</v>
          </cell>
        </row>
        <row r="215">
          <cell r="D215" t="str">
            <v>3/16"x1½"x1½" Angle Bar</v>
          </cell>
        </row>
        <row r="216">
          <cell r="D216" t="str">
            <v>1/8" x 2" x 2" Angle Bar</v>
          </cell>
        </row>
        <row r="217">
          <cell r="D217" t="str">
            <v>3/16" x 2" x 2" Angle Bar</v>
          </cell>
        </row>
        <row r="218">
          <cell r="D218" t="str">
            <v>3/16" x 1" x1" Angle Bar</v>
          </cell>
        </row>
        <row r="219">
          <cell r="D219" t="str">
            <v>1" x 1/4" Flat Bar</v>
          </cell>
        </row>
        <row r="220">
          <cell r="D220" t="str">
            <v>38mm x 38mmx 5mm Angle Bar</v>
          </cell>
        </row>
        <row r="221">
          <cell r="D221" t="str">
            <v>38mm x 38mmx 6mm Angle Bar</v>
          </cell>
        </row>
        <row r="222">
          <cell r="D222" t="str">
            <v>40mm x 40mmx 6mm Angle Bar</v>
          </cell>
        </row>
        <row r="223">
          <cell r="D223" t="str">
            <v>25mm x 25mm x 3mm Angle Bar</v>
          </cell>
        </row>
        <row r="224">
          <cell r="D224" t="str">
            <v>25mm x 25mm x 6mm Angle Bar</v>
          </cell>
        </row>
        <row r="225">
          <cell r="D225" t="str">
            <v>50mm x 50mm x 4.5mm Angle Bar</v>
          </cell>
        </row>
        <row r="226">
          <cell r="D226" t="str">
            <v>3/16" x 2½" x2½" Angle Bar</v>
          </cell>
        </row>
        <row r="227">
          <cell r="D227" t="str">
            <v>100mm x 100mm x 8mm Angle Bar</v>
          </cell>
        </row>
        <row r="228">
          <cell r="D228" t="str">
            <v>100mm x 100mm x 10mm Angle Bar</v>
          </cell>
        </row>
        <row r="229">
          <cell r="D229" t="str">
            <v>100mm x 100mm x 12mm Angle Bar</v>
          </cell>
        </row>
        <row r="230">
          <cell r="D230" t="str">
            <v>Structural Steel, ASTM A36</v>
          </cell>
        </row>
        <row r="231">
          <cell r="D231" t="str">
            <v>Structural Steel Plate 9mm thk., ASTM A36</v>
          </cell>
        </row>
        <row r="232">
          <cell r="D232" t="str">
            <v>Structural Steel Plate 12mm thk., ASTM A36</v>
          </cell>
        </row>
        <row r="233">
          <cell r="D233" t="str">
            <v>Structural Steel Plate 16mm thk., ASTM A36</v>
          </cell>
        </row>
        <row r="234">
          <cell r="D234" t="str">
            <v>Structural Steel Plate 25mm thk., ASTM A36</v>
          </cell>
        </row>
        <row r="235">
          <cell r="D235" t="str">
            <v>Structural Steel 50mm x 50mm x 6m., ASTM A36</v>
          </cell>
        </row>
        <row r="236">
          <cell r="D236" t="str">
            <v>Steel Channel, 4 x 7.25</v>
          </cell>
        </row>
        <row r="237">
          <cell r="D237" t="str">
            <v>Steel Channel, 6 x 13</v>
          </cell>
        </row>
        <row r="238">
          <cell r="D238" t="str">
            <v>Steel Channel, C10 x 30</v>
          </cell>
        </row>
        <row r="239">
          <cell r="D239" t="str">
            <v>2" x 4" C-Purlin, Ga.16</v>
          </cell>
        </row>
        <row r="240">
          <cell r="D240" t="str">
            <v>LC 100x50x15x2.0 Purlins</v>
          </cell>
        </row>
        <row r="241">
          <cell r="D241" t="str">
            <v>12mmØ x 210mm A325 Bolts</v>
          </cell>
        </row>
        <row r="242">
          <cell r="D242" t="str">
            <v>20mmØ x 210mm A325 Bolts</v>
          </cell>
        </row>
        <row r="243">
          <cell r="D243" t="str">
            <v>25mmØ x 300mm A325 Bolts</v>
          </cell>
        </row>
        <row r="244">
          <cell r="D244" t="str">
            <v>32mmØ Standard Turn Buckle</v>
          </cell>
        </row>
        <row r="245">
          <cell r="D245" t="str">
            <v>32mmØ Standard Ring Joint</v>
          </cell>
        </row>
        <row r="246">
          <cell r="D246" t="str">
            <v>32mmØ Tie Rod</v>
          </cell>
        </row>
        <row r="247">
          <cell r="D247" t="str">
            <v>25mmØ x 500mm A325 Bolts</v>
          </cell>
        </row>
        <row r="248">
          <cell r="D248" t="str">
            <v>16mmØ x 250mm A325 Bolts</v>
          </cell>
        </row>
        <row r="249">
          <cell r="D249" t="str">
            <v>16mmØ x 50mm A325 Bolts</v>
          </cell>
        </row>
        <row r="250">
          <cell r="D250" t="str">
            <v>12mmØ x 75mm A325 Bolts</v>
          </cell>
        </row>
        <row r="251">
          <cell r="D251" t="str">
            <v>Steel Plate</v>
          </cell>
        </row>
        <row r="252">
          <cell r="D252" t="str">
            <v>Steel Plate</v>
          </cell>
        </row>
        <row r="253">
          <cell r="D253" t="str">
            <v>Consumables</v>
          </cell>
        </row>
        <row r="254">
          <cell r="D254" t="str">
            <v>Joint Sealer</v>
          </cell>
        </row>
        <row r="257">
          <cell r="D257" t="str">
            <v>( NAILS, BOLTS and FASTENERS )</v>
          </cell>
        </row>
        <row r="258">
          <cell r="D258" t="str">
            <v>Common Wire Nails</v>
          </cell>
        </row>
        <row r="259">
          <cell r="D259" t="str">
            <v>( NAILS, BOLTS and FASTENERS )</v>
          </cell>
        </row>
        <row r="260">
          <cell r="D260" t="str">
            <v>( NAILS, BOLTS and FASTENERS )</v>
          </cell>
        </row>
        <row r="261">
          <cell r="D261" t="str">
            <v>Common Wire Nails</v>
          </cell>
        </row>
        <row r="262">
          <cell r="D262" t="str">
            <v>Common Wire Nails (Keg)</v>
          </cell>
        </row>
        <row r="263">
          <cell r="D263" t="str">
            <v>Finishing Nails</v>
          </cell>
        </row>
        <row r="264">
          <cell r="D264" t="str">
            <v>Roofing Nails umbrella type</v>
          </cell>
        </row>
        <row r="265">
          <cell r="D265" t="str">
            <v>Concrete Nail</v>
          </cell>
        </row>
        <row r="266">
          <cell r="D266" t="str">
            <v>13mm, High-Strength Bolt, 4"</v>
          </cell>
        </row>
        <row r="267">
          <cell r="D267" t="str">
            <v>Machine Bolt w/ nut &amp; washer</v>
          </cell>
        </row>
        <row r="268">
          <cell r="D268" t="str">
            <v>16mmØ x 229 Machine Bolt w/ nut &amp; washer</v>
          </cell>
        </row>
        <row r="269">
          <cell r="D269" t="str">
            <v>20mmØ GI Machine Bolt w/ nut &amp; washer</v>
          </cell>
        </row>
        <row r="270">
          <cell r="D270" t="str">
            <v>16mmØ GI Machine Bolt w/ nut &amp; washer</v>
          </cell>
        </row>
        <row r="271">
          <cell r="D271" t="str">
            <v>12mmØ GI Machine Bolt w/ nut &amp; washer</v>
          </cell>
        </row>
        <row r="272">
          <cell r="D272" t="str">
            <v>Boat Spike (Nail)</v>
          </cell>
        </row>
        <row r="273">
          <cell r="D273" t="str">
            <v>7/8" Anchor Bolt, 10"</v>
          </cell>
        </row>
        <row r="274">
          <cell r="D274" t="str">
            <v>16mmØ x 250mm Anchor Bolt</v>
          </cell>
        </row>
        <row r="275">
          <cell r="D275" t="str">
            <v>12mmØ x 38mm Anchor Bolt</v>
          </cell>
        </row>
        <row r="276">
          <cell r="D276" t="str">
            <v>20mm, Turn Buckle</v>
          </cell>
        </row>
        <row r="277">
          <cell r="D277" t="str">
            <v>16mm, Turn Buckle</v>
          </cell>
        </row>
        <row r="278">
          <cell r="D278" t="str">
            <v>12mm  Turnbuckle</v>
          </cell>
        </row>
        <row r="279">
          <cell r="D279" t="str">
            <v>13mm, U-Bolt</v>
          </cell>
        </row>
        <row r="280">
          <cell r="D280" t="str">
            <v>13mm, Cable Clip</v>
          </cell>
        </row>
        <row r="281">
          <cell r="D281" t="str">
            <v>32mm, Cable Clip</v>
          </cell>
        </row>
        <row r="282">
          <cell r="D282" t="str">
            <v>13mm,  Thimble</v>
          </cell>
        </row>
        <row r="283">
          <cell r="D283" t="str">
            <v>12mm  Stainless Screw, 1/2"</v>
          </cell>
        </row>
        <row r="284">
          <cell r="D284" t="str">
            <v>Tekscrew</v>
          </cell>
        </row>
        <row r="285">
          <cell r="D285" t="str">
            <v>Post Strap Flat Bar</v>
          </cell>
        </row>
        <row r="286">
          <cell r="D286" t="str">
            <v>( GI WIRES )</v>
          </cell>
        </row>
        <row r="287">
          <cell r="D287" t="str">
            <v>( GI WIRES )</v>
          </cell>
        </row>
        <row r="288">
          <cell r="D288" t="str">
            <v>Ga.16 GI Tie Wire</v>
          </cell>
        </row>
        <row r="289">
          <cell r="D289" t="str">
            <v>G.I. Rivets</v>
          </cell>
        </row>
        <row r="290">
          <cell r="D290" t="str">
            <v>( ROOFING SHEET )</v>
          </cell>
        </row>
        <row r="291">
          <cell r="D291" t="str">
            <v>( ROOFING SHEET )</v>
          </cell>
        </row>
        <row r="292">
          <cell r="D292" t="str">
            <v>GI Sheet Roofing</v>
          </cell>
        </row>
        <row r="293">
          <cell r="D293" t="str">
            <v>CORR. G.I.sheets, Ga.26 x 10ft.</v>
          </cell>
        </row>
        <row r="294">
          <cell r="D294" t="str">
            <v>CORR. G.I.sheets, Ga.31</v>
          </cell>
        </row>
        <row r="295">
          <cell r="D295" t="str">
            <v>CORR. G.I.sheets x 6' , Ga.26</v>
          </cell>
        </row>
        <row r="296">
          <cell r="D296" t="str">
            <v>CORR. G.I.sheets x 8' , Ga.26</v>
          </cell>
        </row>
        <row r="297">
          <cell r="D297" t="str">
            <v>3' x 8' Plain G.I. Sheet, Ga.26</v>
          </cell>
        </row>
        <row r="298">
          <cell r="D298" t="str">
            <v>3' x 8' Plain G.I. Sheet, Ga.31</v>
          </cell>
        </row>
        <row r="299">
          <cell r="D299" t="str">
            <v>Plain G.I. Sheet, Ga.26 x 10ft.</v>
          </cell>
        </row>
        <row r="300">
          <cell r="D300" t="str">
            <v>Pre-Painted Corr. GI Sht, Ga.26</v>
          </cell>
        </row>
        <row r="301">
          <cell r="D301" t="str">
            <v>24" Prefab GI Gutter</v>
          </cell>
        </row>
        <row r="302">
          <cell r="D302" t="str">
            <v>12" Prefab GI Ridge Roll</v>
          </cell>
        </row>
        <row r="303">
          <cell r="D303" t="str">
            <v>18" Prefab GI Flashing</v>
          </cell>
        </row>
        <row r="304">
          <cell r="D304" t="str">
            <v>3' x 8' Plain G.I. Sheet, Ga.24</v>
          </cell>
        </row>
        <row r="305">
          <cell r="D305" t="str">
            <v>0.40mm x 0.830m Durawide Rib Type Roofing Sheet (Phil Metal)</v>
          </cell>
        </row>
        <row r="306">
          <cell r="D306" t="str">
            <v>0.40mm x 0.45m x 3.66m) Pre-painted ridge roll (Phil Metal)</v>
          </cell>
        </row>
        <row r="307">
          <cell r="D307" t="str">
            <v>0.40mm x 0.915 x 3.66m) Spanish End Flashing (Phil Metal)</v>
          </cell>
        </row>
        <row r="308">
          <cell r="D308" t="str">
            <v>0.40mm x 0.915 x 3.66m) Spanish Gutter (Phil Metal)</v>
          </cell>
        </row>
        <row r="309">
          <cell r="D309" t="str">
            <v>Teks 4 #12-24 x 45mm Hex w/ Neo</v>
          </cell>
        </row>
        <row r="310">
          <cell r="D310" t="str">
            <v>Prepainted Galvallum Corr..sheets , 0.35mm thk.</v>
          </cell>
        </row>
        <row r="311">
          <cell r="D311" t="str">
            <v>Prepainted Galvallum Plain sheets, 0.35mm thk.</v>
          </cell>
        </row>
        <row r="312">
          <cell r="D312" t="str">
            <v>Prepainted Galvallum Corr..sheets x 6' , 0.35mm thk.</v>
          </cell>
        </row>
        <row r="313">
          <cell r="D313" t="str">
            <v>Prepainted Galvallum Corr..sheets x 8' , 0.35mm thk.</v>
          </cell>
        </row>
        <row r="314">
          <cell r="D314" t="str">
            <v>Prepainted Galvallum Plain sheets x 10' , 0.35mm thk.</v>
          </cell>
        </row>
        <row r="315">
          <cell r="D315" t="str">
            <v>Blind Rivets</v>
          </cell>
        </row>
        <row r="316">
          <cell r="D316" t="str">
            <v>Silicon Rubber Sealant</v>
          </cell>
        </row>
        <row r="317">
          <cell r="D317" t="str">
            <v>Blind Rivets</v>
          </cell>
        </row>
        <row r="318">
          <cell r="D318" t="str">
            <v>Blind Rivets</v>
          </cell>
        </row>
        <row r="319">
          <cell r="D319" t="str">
            <v>Silicon Rubber Sealant</v>
          </cell>
        </row>
        <row r="320">
          <cell r="D320" t="str">
            <v>Touch-up Acrylic Paint</v>
          </cell>
        </row>
        <row r="321">
          <cell r="D321" t="str">
            <v>( HARDWARES )</v>
          </cell>
        </row>
        <row r="322">
          <cell r="D322" t="str">
            <v>( HARDWARES )</v>
          </cell>
        </row>
        <row r="323">
          <cell r="D323" t="str">
            <v>Gutter seal</v>
          </cell>
        </row>
        <row r="324">
          <cell r="D324" t="str">
            <v>4'-wide Cyclone  Wire x 8m</v>
          </cell>
        </row>
        <row r="325">
          <cell r="D325" t="str">
            <v>1¼ "dia. X 6" Double Type Pulley Level</v>
          </cell>
        </row>
        <row r="326">
          <cell r="D326" t="str">
            <v>1¼ "dia. X 6" Steel Ring Bolt Adaptor</v>
          </cell>
        </row>
        <row r="327">
          <cell r="D327" t="str">
            <v>1¼ "dia. X 1¼" Steel Ring Bolt Adaptor</v>
          </cell>
        </row>
        <row r="328">
          <cell r="D328" t="str">
            <v>1" Cylindrical Ejector Assembly, 32"</v>
          </cell>
        </row>
        <row r="329">
          <cell r="D329" t="str">
            <v>1½" " Cylindrical Ejector Assembly, 32"</v>
          </cell>
        </row>
        <row r="330">
          <cell r="D330" t="str">
            <v>Cylindrical Door Knob</v>
          </cell>
        </row>
        <row r="331">
          <cell r="D331" t="str">
            <v>4" Barrel Bolts</v>
          </cell>
        </row>
        <row r="332">
          <cell r="D332" t="str">
            <v>4" x 4" Loose Pin Butt Hinges</v>
          </cell>
        </row>
        <row r="333">
          <cell r="D333" t="str">
            <v>3" x 3" Loose Pin Butt Hinges</v>
          </cell>
        </row>
        <row r="334">
          <cell r="D334" t="str">
            <v>4" Hasp Lock Hinges</v>
          </cell>
        </row>
        <row r="335">
          <cell r="D335" t="str">
            <v>Alum. Mesh Wire, 1/8" eye x 3'</v>
          </cell>
        </row>
        <row r="336">
          <cell r="D336" t="str">
            <v>Alum. Mesh Wire, 1/2" eye x 3'</v>
          </cell>
        </row>
        <row r="337">
          <cell r="D337" t="str">
            <v>Alum. Mesh Wire, 1" eye x 3'</v>
          </cell>
        </row>
        <row r="338">
          <cell r="D338" t="str">
            <v>Aluminum Mosquito Screen, 3ft-wide</v>
          </cell>
        </row>
        <row r="339">
          <cell r="D339" t="str">
            <v>Aukom Rug</v>
          </cell>
        </row>
        <row r="340">
          <cell r="D340" t="str">
            <v>Welding Rods 1/8"ø E60</v>
          </cell>
        </row>
        <row r="341">
          <cell r="D341" t="str">
            <v>Welding Rods 1/8"ø E70XX</v>
          </cell>
        </row>
        <row r="342">
          <cell r="D342" t="str">
            <v>Welwood Glue</v>
          </cell>
        </row>
        <row r="343">
          <cell r="D343" t="str">
            <v>Solvent Cement</v>
          </cell>
        </row>
        <row r="344">
          <cell r="D344" t="str">
            <v xml:space="preserve">1½"   Cylindrical Ejector Assmbly, CLAYTON USA </v>
          </cell>
        </row>
        <row r="345">
          <cell r="D345" t="str">
            <v xml:space="preserve">1¼" Cylindrical Ejector Assmbly, CLAYTON USA </v>
          </cell>
        </row>
        <row r="346">
          <cell r="D346" t="str">
            <v>½" Teflon Tape</v>
          </cell>
        </row>
        <row r="347">
          <cell r="D347" t="str">
            <v>¾" Teflon Tape</v>
          </cell>
        </row>
        <row r="348">
          <cell r="D348" t="str">
            <v>1"  Teflon Tape</v>
          </cell>
        </row>
        <row r="349">
          <cell r="D349" t="str">
            <v>Cabinet Door Handle</v>
          </cell>
        </row>
        <row r="350">
          <cell r="D350" t="str">
            <v>½" dia. x 3/4"  Pillow Block</v>
          </cell>
        </row>
        <row r="351">
          <cell r="D351" t="str">
            <v>#6203  Bearing</v>
          </cell>
        </row>
        <row r="352">
          <cell r="D352" t="str">
            <v>3/4"dia. x 4"  Steel Spring</v>
          </cell>
        </row>
        <row r="353">
          <cell r="D353" t="str">
            <v>1¼" Foot Valve, Brass</v>
          </cell>
        </row>
        <row r="354">
          <cell r="D354" t="str">
            <v>1" x 2" Cabinet Hinges</v>
          </cell>
        </row>
        <row r="355">
          <cell r="D355" t="str">
            <v>16 blades 4" Alum. Jal. Frame</v>
          </cell>
        </row>
        <row r="356">
          <cell r="D356" t="str">
            <v>14 blades 4" Alum. Jal. Frame</v>
          </cell>
        </row>
        <row r="357">
          <cell r="D357" t="str">
            <v>7 blades 4" Alum. Jal. Frame</v>
          </cell>
        </row>
        <row r="358">
          <cell r="D358" t="str">
            <v>Gabion Mattress</v>
          </cell>
        </row>
        <row r="359">
          <cell r="D359" t="str">
            <v>( STRUCTURAL STEEL WIRES AND CABLES )</v>
          </cell>
        </row>
        <row r="360">
          <cell r="D360" t="str">
            <v>( STRUCTURAL STEEL WIRES AND CABLES )</v>
          </cell>
        </row>
        <row r="361">
          <cell r="D361" t="str">
            <v>6mm,  IWRC (6 x  25)</v>
          </cell>
        </row>
        <row r="362">
          <cell r="D362" t="str">
            <v>8mm,  IWRC (6 x  25)</v>
          </cell>
        </row>
        <row r="363">
          <cell r="D363" t="str">
            <v>10mm,  IWRC (6 x  25)</v>
          </cell>
        </row>
        <row r="364">
          <cell r="D364" t="str">
            <v>11mm,  IWRC (6 x  25)</v>
          </cell>
        </row>
        <row r="365">
          <cell r="D365" t="str">
            <v>13mm,  IWRC (6 x  25)</v>
          </cell>
        </row>
        <row r="366">
          <cell r="D366" t="str">
            <v>14mm,  IWRC (6 x  25)</v>
          </cell>
        </row>
        <row r="367">
          <cell r="D367" t="str">
            <v>16mm,  IWRC (6 x  25)</v>
          </cell>
        </row>
        <row r="368">
          <cell r="D368" t="str">
            <v>20mm,  IWRC (6 x  25)</v>
          </cell>
        </row>
        <row r="369">
          <cell r="D369" t="str">
            <v>22mm,  IWRC (6 x  25)</v>
          </cell>
        </row>
        <row r="370">
          <cell r="D370" t="str">
            <v>25mm,  IWRC (6 x  25)</v>
          </cell>
        </row>
        <row r="371">
          <cell r="D371" t="str">
            <v>29mm,  IWRC (6 x  25)</v>
          </cell>
        </row>
        <row r="372">
          <cell r="D372" t="str">
            <v>32mm,  IWRC (6 x  25)</v>
          </cell>
        </row>
        <row r="373">
          <cell r="D373" t="str">
            <v>35mm, ,  IWRC (6 x  25)</v>
          </cell>
        </row>
        <row r="374">
          <cell r="D374" t="str">
            <v>38mm,  IWRC (6 x  25)</v>
          </cell>
        </row>
        <row r="375">
          <cell r="D375" t="str">
            <v>41mm,  IWRC (6 x  25)</v>
          </cell>
        </row>
        <row r="376">
          <cell r="D376" t="str">
            <v>44mm,  IWRC (6 x  25)</v>
          </cell>
        </row>
        <row r="377">
          <cell r="D377" t="str">
            <v>48mm,  IWRC (6 x  25)</v>
          </cell>
        </row>
        <row r="378">
          <cell r="D378" t="str">
            <v>51mm,  IWRC (6 x  25)</v>
          </cell>
        </row>
        <row r="379">
          <cell r="D379" t="str">
            <v>54mm,  IWRC (6 x  25)</v>
          </cell>
        </row>
        <row r="380">
          <cell r="D380" t="str">
            <v>57mm,  IWRC (6 x  25)</v>
          </cell>
        </row>
        <row r="381">
          <cell r="D381" t="str">
            <v>5mm, Wire Rope Fiber Core (6 x 25)</v>
          </cell>
        </row>
        <row r="382">
          <cell r="D382" t="str">
            <v>6mm, Wire Rope Fiber Core (6 x 25)</v>
          </cell>
        </row>
        <row r="383">
          <cell r="D383" t="str">
            <v>8mm, Wire Rope Fiber Core (6 x 25)</v>
          </cell>
        </row>
        <row r="384">
          <cell r="D384" t="str">
            <v>10mm, Wire Rope Fiber Core (6 x 25)</v>
          </cell>
        </row>
        <row r="385">
          <cell r="D385" t="str">
            <v>11mm, Wire Rope Fiber Core (6 x 25)</v>
          </cell>
        </row>
        <row r="386">
          <cell r="D386" t="str">
            <v>13mm, Wire Rope Fiber Core (6 x 25)</v>
          </cell>
        </row>
        <row r="387">
          <cell r="D387" t="str">
            <v>14mm, Wire Rope Fiber Core (6 x 25)</v>
          </cell>
        </row>
        <row r="388">
          <cell r="D388" t="str">
            <v>16mm, Wire Rope Fiber Core (6 x 25)</v>
          </cell>
        </row>
        <row r="389">
          <cell r="D389" t="str">
            <v>20mm, Wire Rope Fiber Core (6 x 25)</v>
          </cell>
        </row>
        <row r="390">
          <cell r="D390" t="str">
            <v>22mm, Wire Rope Fiber Core (6 x 25)</v>
          </cell>
        </row>
        <row r="391">
          <cell r="D391" t="str">
            <v>25mm, Wire Rope Fiber Core (6 x 25)</v>
          </cell>
        </row>
        <row r="392">
          <cell r="D392" t="str">
            <v>29mm, Wire Rope Fiber Core (6 x 25)</v>
          </cell>
        </row>
        <row r="393">
          <cell r="D393" t="str">
            <v>32mm, Wire Rope Fiber Core (6 x 25)</v>
          </cell>
        </row>
        <row r="394">
          <cell r="D394" t="str">
            <v>35mm, , Wire Rope Fiber Core (6 x 25)</v>
          </cell>
        </row>
        <row r="395">
          <cell r="D395" t="str">
            <v>38mm, Wire Rope Fiber Core (6 x 25)</v>
          </cell>
        </row>
        <row r="396">
          <cell r="D396" t="str">
            <v>41mm, Wire Rope Fiber Core (6 x 25)</v>
          </cell>
        </row>
        <row r="397">
          <cell r="D397" t="str">
            <v>44mm, Wire Rope Fiber Core (6 x 25)</v>
          </cell>
        </row>
        <row r="398">
          <cell r="D398" t="str">
            <v>48mm, Wire Rope Fiber Core (6 x 25)</v>
          </cell>
        </row>
        <row r="399">
          <cell r="D399" t="str">
            <v>51mm, Wire Rope Fiber Core (6 x 25)</v>
          </cell>
        </row>
        <row r="400">
          <cell r="D400" t="str">
            <v>54mm, Wire Rope Fiber Core (6 x 25)</v>
          </cell>
        </row>
        <row r="401">
          <cell r="D401" t="str">
            <v>57mm, Wire Rope Fiber Core (6 x 25)</v>
          </cell>
        </row>
        <row r="402">
          <cell r="D402" t="str">
            <v>10mm, High Grade Steel Cable</v>
          </cell>
        </row>
        <row r="403">
          <cell r="D403" t="str">
            <v>6mmØ Cable Clips</v>
          </cell>
        </row>
        <row r="404">
          <cell r="D404" t="str">
            <v>20mmØ Cable Clips</v>
          </cell>
        </row>
        <row r="405">
          <cell r="D405" t="str">
            <v>( STEEL PLATES )</v>
          </cell>
        </row>
        <row r="406">
          <cell r="D406" t="str">
            <v>( STEEL PLATES )</v>
          </cell>
        </row>
        <row r="407">
          <cell r="D407" t="str">
            <v>6mm, Expanded Metal Mesh</v>
          </cell>
        </row>
        <row r="408">
          <cell r="D408" t="str">
            <v>10mm, Steel Plate</v>
          </cell>
        </row>
        <row r="409">
          <cell r="D409" t="str">
            <v>6mm, Steel Plate</v>
          </cell>
        </row>
        <row r="410">
          <cell r="D410" t="str">
            <v>25mm, Steel Plate</v>
          </cell>
        </row>
        <row r="411">
          <cell r="D411" t="str">
            <v>200mm x 200mm x 6mm, Steel Plate</v>
          </cell>
        </row>
        <row r="412">
          <cell r="D412" t="str">
            <v>300mm x 300mm x 6mm, Steel Plate</v>
          </cell>
        </row>
        <row r="413">
          <cell r="D413" t="str">
            <v>Steel Plate</v>
          </cell>
        </row>
        <row r="414">
          <cell r="D414" t="str">
            <v>( STAINLESS STEEL CYLINDRICAL TANK )</v>
          </cell>
        </row>
        <row r="415">
          <cell r="D415" t="str">
            <v>( STAINLESS STEEL CYLINDRICAL TANK )</v>
          </cell>
        </row>
        <row r="416">
          <cell r="D416" t="str">
            <v>600L Ga. 18 Cylindrical H2O Tank</v>
          </cell>
        </row>
        <row r="417">
          <cell r="D417" t="str">
            <v>800L Ga. 18 Cylindrical H2O Tank</v>
          </cell>
        </row>
        <row r="418">
          <cell r="D418" t="str">
            <v>1000L Ga. 18 Cylindrical H2O Tank</v>
          </cell>
        </row>
        <row r="419">
          <cell r="D419" t="str">
            <v>( ALUMINUM AND GLASS )</v>
          </cell>
        </row>
        <row r="420">
          <cell r="D420" t="str">
            <v>( ALUMINUM AND GLASS )</v>
          </cell>
        </row>
        <row r="421">
          <cell r="D421" t="str">
            <v>Jalousie Glass Blade w/ Alum. Frame</v>
          </cell>
        </row>
        <row r="422">
          <cell r="D422" t="str">
            <v>Clear Glass</v>
          </cell>
        </row>
        <row r="423">
          <cell r="D423" t="str">
            <v>Smoke Glass</v>
          </cell>
        </row>
        <row r="424">
          <cell r="D424" t="str">
            <v>16 blades 4" Alum. Jal. Frame</v>
          </cell>
        </row>
        <row r="425">
          <cell r="D425" t="str">
            <v>14 blades 4" Alum. Jal. Frame</v>
          </cell>
        </row>
        <row r="426">
          <cell r="D426" t="str">
            <v>7 blades 4" Alum. Jal. Frame</v>
          </cell>
        </row>
        <row r="427">
          <cell r="D427" t="str">
            <v>( PLASTIC PRODUCTS )</v>
          </cell>
        </row>
        <row r="428">
          <cell r="D428" t="str">
            <v>( PLASTIC PRODUCTS )</v>
          </cell>
        </row>
        <row r="429">
          <cell r="D429" t="str">
            <v>25mm  Plastic Stranded Rope</v>
          </cell>
        </row>
        <row r="430">
          <cell r="D430" t="str">
            <v>PIPING &amp; EQUIPMENTS</v>
          </cell>
        </row>
        <row r="431">
          <cell r="D431" t="str">
            <v>PIPING &amp; EQUIPMENTS</v>
          </cell>
        </row>
        <row r="432">
          <cell r="D432" t="str">
            <v>Submersible Pumps &amp; its accessories</v>
          </cell>
        </row>
        <row r="433">
          <cell r="D433" t="str">
            <v>Submersible Pumps &amp; its accessories (3HP - 186S3.412)</v>
          </cell>
        </row>
        <row r="434">
          <cell r="D434" t="str">
            <v>Submersible Pumps &amp; its accessories (1HP - 136S10412)</v>
          </cell>
        </row>
        <row r="435">
          <cell r="D435" t="str">
            <v>3/4" G.I. Pipe, sch. 40</v>
          </cell>
        </row>
        <row r="436">
          <cell r="D436" t="str">
            <v>1" G.I. Pipe, sch. 40</v>
          </cell>
        </row>
        <row r="437">
          <cell r="D437" t="str">
            <v>1¼" G.I. Pipe, sch. 40</v>
          </cell>
        </row>
        <row r="438">
          <cell r="D438" t="str">
            <v>1½" G.I. Pipe, sch. 40</v>
          </cell>
        </row>
        <row r="439">
          <cell r="D439" t="str">
            <v>GI PIPES AND FITTINGS</v>
          </cell>
        </row>
        <row r="440">
          <cell r="D440" t="str">
            <v>GI PIPES AND FITTINGS</v>
          </cell>
        </row>
        <row r="441">
          <cell r="D441" t="str">
            <v>½" G.I. Pipe, sch. 40</v>
          </cell>
        </row>
        <row r="442">
          <cell r="D442" t="str">
            <v>3/4" G.I. Pipe, sch. 40</v>
          </cell>
        </row>
        <row r="443">
          <cell r="D443" t="str">
            <v>1" G.I. Pipe, sch. 40</v>
          </cell>
        </row>
        <row r="444">
          <cell r="D444" t="str">
            <v>1¼" G.I. Pipe, sch. 40</v>
          </cell>
        </row>
        <row r="445">
          <cell r="D445" t="str">
            <v>1½" G.I. Pipe, sch. 40</v>
          </cell>
        </row>
        <row r="446">
          <cell r="D446" t="str">
            <v>2" G.I. Pipe, sch. 40</v>
          </cell>
        </row>
        <row r="447">
          <cell r="D447" t="str">
            <v>2¼" G.I. Pipe, sch. 40</v>
          </cell>
        </row>
        <row r="448">
          <cell r="D448" t="str">
            <v>3" G.I. Pipe, sch. 40</v>
          </cell>
        </row>
        <row r="449">
          <cell r="D449" t="str">
            <v>4" G.I. Pipe, sch. 40</v>
          </cell>
        </row>
        <row r="450">
          <cell r="D450" t="str">
            <v>2½" G.I. Pipe, sch. 40</v>
          </cell>
        </row>
        <row r="451">
          <cell r="D451" t="str">
            <v>4" G.I. Pipe ,sch. 20</v>
          </cell>
        </row>
        <row r="452">
          <cell r="D452" t="str">
            <v>1½" G.I. Pipe ,sch. 20</v>
          </cell>
        </row>
        <row r="453">
          <cell r="D453" t="str">
            <v>½" G.I. Coupling, sch. 40</v>
          </cell>
        </row>
        <row r="454">
          <cell r="D454" t="str">
            <v>1" G.I. Coupling, sch. 40</v>
          </cell>
        </row>
        <row r="455">
          <cell r="D455" t="str">
            <v>1¼" G.I. Coupling, sch. 40</v>
          </cell>
        </row>
        <row r="456">
          <cell r="D456" t="str">
            <v>1½" G.I. Coupling, sch. 40</v>
          </cell>
        </row>
        <row r="457">
          <cell r="D457" t="str">
            <v>2"  G.I. Coupling, sch. 40</v>
          </cell>
        </row>
        <row r="458">
          <cell r="D458" t="str">
            <v>2¼" G.I. Coupling, sch. 40</v>
          </cell>
        </row>
        <row r="459">
          <cell r="D459" t="str">
            <v>3" G.I. Coupling, sch. 40</v>
          </cell>
        </row>
        <row r="460">
          <cell r="D460" t="str">
            <v>4"  G.I. Coupling, sch. 40</v>
          </cell>
        </row>
        <row r="461">
          <cell r="D461" t="str">
            <v>2½" G.I. Coupling, sch. 40</v>
          </cell>
        </row>
        <row r="462">
          <cell r="D462" t="str">
            <v>½" G.I. Elbow 45°, sch. 40</v>
          </cell>
        </row>
        <row r="463">
          <cell r="D463" t="str">
            <v>1"G.I. Elbow 45°, sch. 40</v>
          </cell>
        </row>
        <row r="464">
          <cell r="D464" t="str">
            <v>1¼"G.I. Elbow 45°, sch. 40</v>
          </cell>
        </row>
        <row r="465">
          <cell r="D465" t="str">
            <v>1½"G.I. Elbow 45°, sch. 40</v>
          </cell>
        </row>
        <row r="466">
          <cell r="D466" t="str">
            <v>2"G.I. Elbow 45°, sch. 40</v>
          </cell>
        </row>
        <row r="467">
          <cell r="D467" t="str">
            <v>2½" G.I. Elbow 45°, sch. 40</v>
          </cell>
        </row>
        <row r="468">
          <cell r="D468" t="str">
            <v>3" G.I. Elbow 45°, sch. 40</v>
          </cell>
        </row>
        <row r="469">
          <cell r="D469" t="str">
            <v>4" G.I. Elbow 45°, sch. 40</v>
          </cell>
        </row>
        <row r="470">
          <cell r="D470" t="str">
            <v>½" G.I. Elbow 90°, sch 40</v>
          </cell>
        </row>
        <row r="471">
          <cell r="D471" t="str">
            <v>1" G.I. Elbow 90°, sch 40</v>
          </cell>
        </row>
        <row r="472">
          <cell r="D472" t="str">
            <v>1¼" G.I. Elbow 90°, sch 40</v>
          </cell>
        </row>
        <row r="473">
          <cell r="D473" t="str">
            <v>1½"  G.I. Elbow 90°, sch 40</v>
          </cell>
        </row>
        <row r="474">
          <cell r="D474" t="str">
            <v>2" G.I. Elbow 90°, sch 40</v>
          </cell>
        </row>
        <row r="475">
          <cell r="D475" t="str">
            <v>2½" G.I. Elbow 90°, sch 40</v>
          </cell>
        </row>
        <row r="476">
          <cell r="D476" t="str">
            <v>3" G.I. Elbow 90°, sch 40</v>
          </cell>
        </row>
        <row r="477">
          <cell r="D477" t="str">
            <v>4" G.I. Elbow 90°, sch 40</v>
          </cell>
        </row>
        <row r="478">
          <cell r="D478" t="str">
            <v>2" G.I. Street Elbow, sch 40</v>
          </cell>
        </row>
        <row r="479">
          <cell r="D479" t="str">
            <v>3/4"  G.I. Elbow 90°, sch 40</v>
          </cell>
        </row>
        <row r="480">
          <cell r="D480" t="str">
            <v>½" G.I. TEE, sch 40</v>
          </cell>
        </row>
        <row r="481">
          <cell r="D481" t="str">
            <v>1" G.I. TEE, sch 40</v>
          </cell>
        </row>
        <row r="482">
          <cell r="D482" t="str">
            <v>1¼" G.I. TEE, sch 40</v>
          </cell>
        </row>
        <row r="483">
          <cell r="D483" t="str">
            <v>1½" G.I. TEE, sch 40</v>
          </cell>
        </row>
        <row r="484">
          <cell r="D484" t="str">
            <v>2"  G.I. TEE, sch 40</v>
          </cell>
        </row>
        <row r="485">
          <cell r="D485" t="str">
            <v>2½" G.I. TEE, sch 40</v>
          </cell>
        </row>
        <row r="486">
          <cell r="D486" t="str">
            <v>3" G.I. TEE, sch 40</v>
          </cell>
        </row>
        <row r="487">
          <cell r="D487" t="str">
            <v>4" G.I. TEE, sch 40</v>
          </cell>
        </row>
        <row r="488">
          <cell r="D488" t="str">
            <v>½" G.I. Nipples, 12"</v>
          </cell>
        </row>
        <row r="489">
          <cell r="D489" t="str">
            <v>1" G.I. Nipples, 12"</v>
          </cell>
        </row>
        <row r="490">
          <cell r="D490" t="str">
            <v>1" G.I. Nipple, 10"</v>
          </cell>
        </row>
        <row r="491">
          <cell r="D491" t="str">
            <v>1¼" G.I. Nipples, 4"</v>
          </cell>
        </row>
        <row r="492">
          <cell r="D492" t="str">
            <v>1¼" G.I. Nipples, 12"</v>
          </cell>
        </row>
        <row r="493">
          <cell r="D493" t="str">
            <v>½" G.I. Nipples, 4"</v>
          </cell>
        </row>
        <row r="494">
          <cell r="D494" t="str">
            <v>½" G.I. Nipples, 8"</v>
          </cell>
        </row>
        <row r="495">
          <cell r="D495" t="str">
            <v>3/4"  G.I. Nipples, 4"</v>
          </cell>
        </row>
        <row r="496">
          <cell r="D496" t="str">
            <v>63mmØ Gate Valve</v>
          </cell>
        </row>
        <row r="497">
          <cell r="D497" t="str">
            <v>63mmØ x 90° G.I. Elbow</v>
          </cell>
        </row>
        <row r="498">
          <cell r="D498" t="str">
            <v>63mmØ x 63mmØ Female Adaptor</v>
          </cell>
        </row>
        <row r="499">
          <cell r="D499" t="str">
            <v>63mmØ GI Union Patente</v>
          </cell>
        </row>
        <row r="500">
          <cell r="D500" t="str">
            <v>63mmØ GI Pipe</v>
          </cell>
        </row>
        <row r="501">
          <cell r="D501" t="str">
            <v>50mmØ GI Pipe</v>
          </cell>
        </row>
        <row r="502">
          <cell r="D502" t="str">
            <v>50mmØ GI Union Patente</v>
          </cell>
        </row>
        <row r="503">
          <cell r="D503" t="str">
            <v>50mmØ x 90° G.I. Elbow</v>
          </cell>
        </row>
        <row r="504">
          <cell r="D504" t="str">
            <v>50mmØ G.I. Nipples x 600mm</v>
          </cell>
        </row>
        <row r="505">
          <cell r="D505" t="str">
            <v>50mmØ G.I. Nipples x 500mm</v>
          </cell>
        </row>
        <row r="506">
          <cell r="D506" t="str">
            <v>50mmØ G.I. Nipples x 300mm</v>
          </cell>
        </row>
        <row r="507">
          <cell r="D507" t="str">
            <v>50mmØ G.I. Nipples x 200mm</v>
          </cell>
        </row>
        <row r="508">
          <cell r="D508" t="str">
            <v>50mmØ G.I. Gate Valve</v>
          </cell>
        </row>
        <row r="509">
          <cell r="D509" t="str">
            <v>50mmØ G.I. End Cap</v>
          </cell>
        </row>
        <row r="510">
          <cell r="D510" t="str">
            <v>50mmØ G.I. Perforated w/ Strainer</v>
          </cell>
        </row>
        <row r="511">
          <cell r="D511" t="str">
            <v>40mmØ x 50mmØ Female Adaptor</v>
          </cell>
        </row>
        <row r="512">
          <cell r="D512" t="str">
            <v>40mmØ x 90° G.I. Elbow</v>
          </cell>
        </row>
        <row r="513">
          <cell r="D513" t="str">
            <v>40mmØ G.I. Gate Valve</v>
          </cell>
        </row>
        <row r="514">
          <cell r="D514" t="str">
            <v>40mmØ G.I. Tee</v>
          </cell>
        </row>
        <row r="515">
          <cell r="D515" t="str">
            <v>40mmØ G.I. Coupling</v>
          </cell>
        </row>
        <row r="516">
          <cell r="D516" t="str">
            <v>38mmØ G.I. Nipples x 400mm</v>
          </cell>
        </row>
        <row r="517">
          <cell r="D517" t="str">
            <v>38mmØ G.I. Nipples x 100mm</v>
          </cell>
        </row>
        <row r="518">
          <cell r="D518" t="str">
            <v>38mmØ x 90° G.I. Elbow</v>
          </cell>
        </row>
        <row r="519">
          <cell r="D519" t="str">
            <v>12mmØ Brass Faucet</v>
          </cell>
        </row>
        <row r="520">
          <cell r="D520" t="str">
            <v>12mmØ Globe Valve</v>
          </cell>
        </row>
        <row r="521">
          <cell r="D521" t="str">
            <v>12mmØ Gate Valve</v>
          </cell>
        </row>
        <row r="522">
          <cell r="D522" t="str">
            <v>12mmØ Saddle Clamp</v>
          </cell>
        </row>
        <row r="523">
          <cell r="D523" t="str">
            <v>12mmØ PE Pipe</v>
          </cell>
        </row>
        <row r="524">
          <cell r="D524" t="str">
            <v>12mmØ GI Pipe</v>
          </cell>
        </row>
        <row r="525">
          <cell r="D525" t="str">
            <v>12mmØ x 90° GI Elbow</v>
          </cell>
        </row>
        <row r="526">
          <cell r="D526" t="str">
            <v>100mmØ PVC Pipe</v>
          </cell>
        </row>
        <row r="527">
          <cell r="D527" t="str">
            <v>½" G.I. Cap</v>
          </cell>
        </row>
        <row r="528">
          <cell r="D528" t="str">
            <v>½" G.I. Cap</v>
          </cell>
        </row>
        <row r="529">
          <cell r="D529" t="str">
            <v>1¼" G.I. Cap</v>
          </cell>
        </row>
        <row r="530">
          <cell r="D530" t="str">
            <v>2" G.I. Cap</v>
          </cell>
        </row>
        <row r="531">
          <cell r="D531" t="str">
            <v>2"x3/4", Saddle Clamp</v>
          </cell>
        </row>
        <row r="532">
          <cell r="D532" t="str">
            <v>½" Gate Valve</v>
          </cell>
        </row>
        <row r="533">
          <cell r="D533" t="str">
            <v>2" Gate Valve</v>
          </cell>
        </row>
        <row r="534">
          <cell r="D534" t="str">
            <v>3/4"  Gate Valve</v>
          </cell>
        </row>
        <row r="535">
          <cell r="D535" t="str">
            <v>½" Check Valve</v>
          </cell>
        </row>
        <row r="536">
          <cell r="D536" t="str">
            <v xml:space="preserve">½"  G.I. Union Patent </v>
          </cell>
        </row>
        <row r="537">
          <cell r="D537" t="str">
            <v xml:space="preserve">2" G.I. Union Patent </v>
          </cell>
        </row>
        <row r="538">
          <cell r="D538" t="str">
            <v xml:space="preserve">2½" G.I. Union Patent </v>
          </cell>
        </row>
        <row r="539">
          <cell r="D539" t="str">
            <v xml:space="preserve">1¼" x 3/4"  G.I. Bushing </v>
          </cell>
        </row>
        <row r="540">
          <cell r="D540" t="str">
            <v xml:space="preserve">1"x2", G.I. Bushing </v>
          </cell>
        </row>
        <row r="541">
          <cell r="D541" t="str">
            <v>1½" GI Male Adapter</v>
          </cell>
        </row>
        <row r="542">
          <cell r="D542" t="str">
            <v xml:space="preserve">2" x ½"  G.I. Bushing </v>
          </cell>
        </row>
        <row r="543">
          <cell r="D543" t="str">
            <v>2" x 1½" Reducer, Bell Cap</v>
          </cell>
        </row>
        <row r="544">
          <cell r="D544" t="str">
            <v>3/4" x ½" Reducer, Bell Cap</v>
          </cell>
        </row>
        <row r="545">
          <cell r="D545" t="str">
            <v>50mmØ G.I. Check Valve</v>
          </cell>
        </row>
        <row r="546">
          <cell r="D546" t="str">
            <v>50mmØ G.I. End Cap</v>
          </cell>
        </row>
        <row r="547">
          <cell r="D547" t="str">
            <v>2" PVC TEE</v>
          </cell>
        </row>
        <row r="548">
          <cell r="D548" t="str">
            <v>( PVC AND UPVC PIPES AND FITTINGS )</v>
          </cell>
        </row>
        <row r="549">
          <cell r="D549" t="str">
            <v>PVC AND UPVC PIPES AND FITTINGS - Blue Pipes (WaterPipes)</v>
          </cell>
        </row>
        <row r="550">
          <cell r="D550" t="str">
            <v>1/2" PVC Blue Pipe</v>
          </cell>
        </row>
        <row r="551">
          <cell r="D551" t="str">
            <v>4" PVC Pipe</v>
          </cell>
        </row>
        <row r="552">
          <cell r="D552" t="str">
            <v>( PVC AND UPVC PIPES AND FITTINGS )</v>
          </cell>
        </row>
        <row r="553">
          <cell r="D553" t="str">
            <v>2" PVC Pipe</v>
          </cell>
        </row>
        <row r="554">
          <cell r="D554" t="str">
            <v>3" PVC Pipe</v>
          </cell>
        </row>
        <row r="555">
          <cell r="D555" t="str">
            <v>4" PVC Pipe</v>
          </cell>
        </row>
        <row r="556">
          <cell r="D556" t="str">
            <v>4" PVC Pipe (S-40)</v>
          </cell>
        </row>
        <row r="557">
          <cell r="D557" t="str">
            <v>2" PVC TEE</v>
          </cell>
        </row>
        <row r="558">
          <cell r="D558" t="str">
            <v>3" PVC TEE</v>
          </cell>
        </row>
        <row r="559">
          <cell r="D559" t="str">
            <v>4" PVC TEE</v>
          </cell>
        </row>
        <row r="560">
          <cell r="D560" t="str">
            <v>2" PVC Elbow 45°</v>
          </cell>
        </row>
        <row r="561">
          <cell r="D561" t="str">
            <v>3" PVC Elbow 45°</v>
          </cell>
        </row>
        <row r="562">
          <cell r="D562" t="str">
            <v>4" PVC Elbow 45°</v>
          </cell>
        </row>
        <row r="563">
          <cell r="D563" t="str">
            <v>2" PVC Elbow 90°</v>
          </cell>
        </row>
        <row r="564">
          <cell r="D564" t="str">
            <v>3" PVC Elbow 90°</v>
          </cell>
        </row>
        <row r="565">
          <cell r="D565" t="str">
            <v>4" PVC Elbow 90°</v>
          </cell>
        </row>
        <row r="566">
          <cell r="D566" t="str">
            <v>2" PVC WYE</v>
          </cell>
        </row>
        <row r="567">
          <cell r="D567" t="str">
            <v>3" PVC WYE</v>
          </cell>
        </row>
        <row r="568">
          <cell r="D568" t="str">
            <v>4"  PVC WYE</v>
          </cell>
        </row>
        <row r="569">
          <cell r="D569" t="str">
            <v>2" PVC 1/8" bend</v>
          </cell>
        </row>
        <row r="570">
          <cell r="D570" t="str">
            <v>3"  PVC 1/8" bend</v>
          </cell>
        </row>
        <row r="571">
          <cell r="D571" t="str">
            <v>4"  PVC 1/8" bend</v>
          </cell>
        </row>
        <row r="572">
          <cell r="D572" t="str">
            <v>2" PVC clean-out</v>
          </cell>
        </row>
        <row r="573">
          <cell r="D573" t="str">
            <v>3" PVC clean-out</v>
          </cell>
        </row>
        <row r="574">
          <cell r="D574" t="str">
            <v>4" PVC clean-out</v>
          </cell>
        </row>
        <row r="575">
          <cell r="D575" t="str">
            <v>4" PVC end cap</v>
          </cell>
        </row>
        <row r="576">
          <cell r="D576" t="str">
            <v>2" PVC P-Trap</v>
          </cell>
        </row>
        <row r="577">
          <cell r="D577" t="str">
            <v>3"  PVC P-Trap</v>
          </cell>
        </row>
        <row r="578">
          <cell r="D578" t="str">
            <v>4" PVC P-Trap</v>
          </cell>
        </row>
        <row r="579">
          <cell r="D579" t="str">
            <v>2"x3", PVC Reducer</v>
          </cell>
        </row>
        <row r="580">
          <cell r="D580" t="str">
            <v>3"x4", PVC Reducer</v>
          </cell>
        </row>
        <row r="581">
          <cell r="D581" t="str">
            <v>2"x4", PVC Reducer</v>
          </cell>
        </row>
        <row r="582">
          <cell r="D582" t="str">
            <v>4"x2", PVC TEE</v>
          </cell>
        </row>
        <row r="583">
          <cell r="D583" t="str">
            <v>4"x2", PVC  WYE</v>
          </cell>
        </row>
        <row r="584">
          <cell r="D584" t="str">
            <v>3"x4", PVC  WYE</v>
          </cell>
        </row>
        <row r="585">
          <cell r="D585" t="str">
            <v>3"x2", PVC  WYE</v>
          </cell>
        </row>
        <row r="586">
          <cell r="D586" t="str">
            <v>4" PVC Coupling</v>
          </cell>
        </row>
        <row r="587">
          <cell r="D587" t="str">
            <v>3/4" uPVC Elbow</v>
          </cell>
        </row>
        <row r="588">
          <cell r="D588" t="str">
            <v>3/4" uPVC Tee</v>
          </cell>
        </row>
        <row r="589">
          <cell r="D589" t="str">
            <v>3/4" uPVC Coupling</v>
          </cell>
        </row>
        <row r="590">
          <cell r="D590" t="str">
            <v>3" uPVC Coupling</v>
          </cell>
        </row>
        <row r="591">
          <cell r="D591" t="str">
            <v>3-1/2" uPVC Coupling</v>
          </cell>
        </row>
        <row r="592">
          <cell r="D592" t="str">
            <v>4" uPVC Coupling</v>
          </cell>
        </row>
        <row r="593">
          <cell r="D593" t="str">
            <v>3/4" uPVC Nipple</v>
          </cell>
        </row>
        <row r="594">
          <cell r="D594" t="str">
            <v>½"x3/4", uPVC Reducer</v>
          </cell>
        </row>
        <row r="595">
          <cell r="D595" t="str">
            <v xml:space="preserve">½" uPVC Water Pipe </v>
          </cell>
        </row>
        <row r="596">
          <cell r="D596" t="str">
            <v xml:space="preserve">3/4" uPVC Water Pipe </v>
          </cell>
        </row>
        <row r="597">
          <cell r="D597" t="str">
            <v xml:space="preserve">4" uPVC Water Pipe </v>
          </cell>
        </row>
        <row r="598">
          <cell r="D598" t="str">
            <v xml:space="preserve">3" uPVC Water Pipe </v>
          </cell>
        </row>
        <row r="599">
          <cell r="D599" t="str">
            <v xml:space="preserve">2" uPVC Water Pipe </v>
          </cell>
        </row>
        <row r="600">
          <cell r="D600" t="str">
            <v xml:space="preserve">1-1/2" uPVC Water Pipe </v>
          </cell>
        </row>
        <row r="601">
          <cell r="D601" t="str">
            <v xml:space="preserve">1" uPVC Water Pipe </v>
          </cell>
        </row>
        <row r="602">
          <cell r="D602" t="str">
            <v xml:space="preserve">2-1/2" uPVC Water Pipe </v>
          </cell>
        </row>
        <row r="603">
          <cell r="D603" t="str">
            <v>PE Pipe, SDR 9  1"</v>
          </cell>
        </row>
        <row r="604">
          <cell r="D604" t="str">
            <v>( PE PIPES AND FITTINGS )</v>
          </cell>
        </row>
        <row r="605">
          <cell r="D605" t="str">
            <v>PE Pipe, SDR 9  3/8"</v>
          </cell>
        </row>
        <row r="606">
          <cell r="D606" t="str">
            <v>PE Pipe, SDR 9  1/2"</v>
          </cell>
        </row>
        <row r="607">
          <cell r="D607" t="str">
            <v>PE Pipe, SDR 9  3/4"</v>
          </cell>
        </row>
        <row r="608">
          <cell r="D608" t="str">
            <v>PE Pipe, SDR 9  1"</v>
          </cell>
        </row>
        <row r="609">
          <cell r="D609" t="str">
            <v>PE Pipe, SDR 9  1-1/4"</v>
          </cell>
        </row>
        <row r="610">
          <cell r="D610" t="str">
            <v>PE Pipe, SDR 9  1-1/2"</v>
          </cell>
        </row>
        <row r="611">
          <cell r="D611" t="str">
            <v>PE Pipe, SDR 9  2"</v>
          </cell>
        </row>
        <row r="612">
          <cell r="D612" t="str">
            <v>PE Pipe, SDR 9  2-1/2"</v>
          </cell>
        </row>
        <row r="613">
          <cell r="D613" t="str">
            <v>PE Pipe, SDR 9  3"</v>
          </cell>
        </row>
        <row r="614">
          <cell r="D614" t="str">
            <v>PE Pipe, SDR 9  4"</v>
          </cell>
        </row>
        <row r="615">
          <cell r="D615" t="str">
            <v>PE Pipe, SDR 9  6"</v>
          </cell>
        </row>
        <row r="616">
          <cell r="D616" t="str">
            <v>PE Pipe, SDR 11  3/8"</v>
          </cell>
        </row>
        <row r="617">
          <cell r="D617" t="str">
            <v>PE Pipe, SDR 11  1/2"</v>
          </cell>
        </row>
        <row r="618">
          <cell r="D618" t="str">
            <v>PE Pipe, SDR 11  3/4"</v>
          </cell>
        </row>
        <row r="619">
          <cell r="D619" t="str">
            <v>PE Pipe, SDR 11  1"</v>
          </cell>
        </row>
        <row r="620">
          <cell r="D620" t="str">
            <v>PE Pipe, SDR 11  1-1/4"</v>
          </cell>
        </row>
        <row r="621">
          <cell r="D621" t="str">
            <v>PE Pipe, SDR 11  1-1/2"</v>
          </cell>
        </row>
        <row r="622">
          <cell r="D622" t="str">
            <v>PE Pipe, SDR 11  2"</v>
          </cell>
        </row>
        <row r="623">
          <cell r="D623" t="str">
            <v>PE Pipe, SDR 11  2-1/2"</v>
          </cell>
        </row>
        <row r="624">
          <cell r="D624" t="str">
            <v>PE Pipe, SDR 11  3"</v>
          </cell>
        </row>
        <row r="625">
          <cell r="D625" t="str">
            <v>PE Pipe, SDR 11  4"</v>
          </cell>
        </row>
        <row r="626">
          <cell r="D626" t="str">
            <v>PE Pipe, SDR 11  6"</v>
          </cell>
        </row>
        <row r="627">
          <cell r="D627" t="str">
            <v>PE Pipe, SDR 13.5   3/8"</v>
          </cell>
        </row>
        <row r="628">
          <cell r="D628" t="str">
            <v>PE Pipe, SDR 13.5   1/2"</v>
          </cell>
        </row>
        <row r="629">
          <cell r="D629" t="str">
            <v>PE Pipe, SDR 13.5   3/4"</v>
          </cell>
        </row>
        <row r="630">
          <cell r="D630" t="str">
            <v>PE Pipe, SDR 13.5   1"</v>
          </cell>
        </row>
        <row r="631">
          <cell r="D631" t="str">
            <v>PE Pipe, SDR 13.5   1-1/4"</v>
          </cell>
        </row>
        <row r="632">
          <cell r="D632" t="str">
            <v>PE Pipe, SDR 13.5   1-1/2"</v>
          </cell>
        </row>
        <row r="633">
          <cell r="D633" t="str">
            <v>PE Pipe, SDR 13.5   2"</v>
          </cell>
        </row>
        <row r="634">
          <cell r="D634" t="str">
            <v>PE Pipe, SDR 13.5   2-1/2"</v>
          </cell>
        </row>
        <row r="635">
          <cell r="D635" t="str">
            <v>PE Pipe, SDR 13.5   3"</v>
          </cell>
        </row>
        <row r="636">
          <cell r="D636" t="str">
            <v>PE Pipe, SDR 13.5   4"</v>
          </cell>
        </row>
        <row r="637">
          <cell r="D637" t="str">
            <v>PE Pipe, SDR 13.5   6"</v>
          </cell>
        </row>
        <row r="638">
          <cell r="D638" t="str">
            <v>PE Pipe, SDR 17   3/8"</v>
          </cell>
        </row>
        <row r="639">
          <cell r="D639" t="str">
            <v>PE Pipe, SDR 17   1/2"</v>
          </cell>
        </row>
        <row r="640">
          <cell r="D640" t="str">
            <v>PE Pipe, SDR 17   3/4"</v>
          </cell>
        </row>
        <row r="641">
          <cell r="D641" t="str">
            <v>PE Pipe, SDR 17   1"</v>
          </cell>
        </row>
        <row r="642">
          <cell r="D642" t="str">
            <v>PE Pipe, SDR 17   1-1/4"</v>
          </cell>
        </row>
        <row r="643">
          <cell r="D643" t="str">
            <v>PE Pipe, SDR 17   1-1/2"</v>
          </cell>
        </row>
        <row r="644">
          <cell r="D644" t="str">
            <v>PE Pipe, SDR 17   2"</v>
          </cell>
        </row>
        <row r="645">
          <cell r="D645" t="str">
            <v>PE Pipe, SDR 17   2-1/2"</v>
          </cell>
        </row>
        <row r="646">
          <cell r="D646" t="str">
            <v>PE Pipe, SDR 17   3"</v>
          </cell>
        </row>
        <row r="647">
          <cell r="D647" t="str">
            <v>PE Pipe, SDR 17   4"</v>
          </cell>
        </row>
        <row r="648">
          <cell r="D648" t="str">
            <v>PE Pipe, SDR 17   6"</v>
          </cell>
        </row>
        <row r="649">
          <cell r="D649" t="str">
            <v>PE Pipe Male Thread Adaptor - 25mm x 3/4"</v>
          </cell>
        </row>
        <row r="650">
          <cell r="D650" t="str">
            <v>PE PIPES FITTINGS FACTOR =</v>
          </cell>
        </row>
        <row r="651">
          <cell r="D651" t="str">
            <v>PE Pipe Male Thread Adaptor - 40mm x 1-1/4"</v>
          </cell>
        </row>
        <row r="652">
          <cell r="D652" t="str">
            <v>PE PIPE MALE ADAPTOR</v>
          </cell>
        </row>
        <row r="653">
          <cell r="D653" t="str">
            <v>PE Pipe Male Thread Adaptor - 20mm x 1/2"</v>
          </cell>
        </row>
        <row r="654">
          <cell r="D654" t="str">
            <v>PE Pipe Male Thread Adaptor - 25mm x 3/4"</v>
          </cell>
        </row>
        <row r="655">
          <cell r="D655" t="str">
            <v>PE Pipe Male Thread Adaptor - 32mm x 1"</v>
          </cell>
        </row>
        <row r="656">
          <cell r="D656" t="str">
            <v>PE Pipe Male Thread Adaptor - 40mm x 1-1/4"</v>
          </cell>
        </row>
        <row r="657">
          <cell r="D657" t="str">
            <v>PE Pipe Male Thread Adaptor - 50mm x 1-1/2"</v>
          </cell>
        </row>
        <row r="658">
          <cell r="D658" t="str">
            <v>PE Pipe Male Thread Adaptor - 63mm x 2"</v>
          </cell>
        </row>
        <row r="659">
          <cell r="D659" t="str">
            <v>PE Pipe Male Thread Adaptor - 90mm x 3"</v>
          </cell>
        </row>
        <row r="660">
          <cell r="D660" t="str">
            <v>PE Pipe Female Thread Adaptor - 50mm x 1-1/2"</v>
          </cell>
        </row>
        <row r="661">
          <cell r="D661" t="str">
            <v>PE PIPE FEMALE ADAPTOR</v>
          </cell>
        </row>
        <row r="662">
          <cell r="D662" t="str">
            <v>PE Pipe Female Thread Adaptor - 20mm x 1/2"</v>
          </cell>
        </row>
        <row r="663">
          <cell r="D663" t="str">
            <v>PE Pipe Female Thread Adaptor - 25mm x 3/4"</v>
          </cell>
        </row>
        <row r="664">
          <cell r="D664" t="str">
            <v>PE Pipe Female Thread Adaptor - 32mm x 1"</v>
          </cell>
        </row>
        <row r="665">
          <cell r="D665" t="str">
            <v>PE Pipe Female Thread Adaptor - 50mm x 1-1/2"</v>
          </cell>
        </row>
        <row r="666">
          <cell r="D666" t="str">
            <v>PE Pipe Female Thread Adaptor - 63mm x 2"</v>
          </cell>
        </row>
        <row r="667">
          <cell r="D667" t="str">
            <v>PE Pipe Female Thread Adaptor - 90mm x 3"</v>
          </cell>
        </row>
        <row r="668">
          <cell r="D668" t="str">
            <v>PE Pipe Straight Coupler - 40mm x 40mm</v>
          </cell>
        </row>
        <row r="669">
          <cell r="D669" t="str">
            <v>STRAIGHT COUPLER</v>
          </cell>
        </row>
        <row r="670">
          <cell r="D670" t="str">
            <v>PE Pipe Straight Coupler - 20mm x 20mm</v>
          </cell>
        </row>
        <row r="671">
          <cell r="D671" t="str">
            <v>PE Pipe Straight Coupler - 25mm x 25mm</v>
          </cell>
        </row>
        <row r="672">
          <cell r="D672" t="str">
            <v>PE Pipe Straight Coupler - 32mm x 32mm</v>
          </cell>
        </row>
        <row r="673">
          <cell r="D673" t="str">
            <v>PE Pipe Straight Coupler - 40mm x 40mm</v>
          </cell>
        </row>
        <row r="674">
          <cell r="D674" t="str">
            <v>PE Pipe Straight Coupler - 50mm x 50mm</v>
          </cell>
        </row>
        <row r="675">
          <cell r="D675" t="str">
            <v>PE Pipe Straight Coupler - 63mm x 63mm</v>
          </cell>
        </row>
        <row r="676">
          <cell r="D676" t="str">
            <v>PE Pipe Straight Coupler - 75mm x 75mm</v>
          </cell>
        </row>
        <row r="677">
          <cell r="D677" t="str">
            <v>PE Pipe Straight Coupler - 90mm x 90mm</v>
          </cell>
        </row>
        <row r="678">
          <cell r="D678" t="str">
            <v>PE Pipe Reducing Coupler - 40mm x 32mm</v>
          </cell>
        </row>
        <row r="679">
          <cell r="D679" t="str">
            <v>REDUCING COUPLER</v>
          </cell>
        </row>
        <row r="680">
          <cell r="D680" t="str">
            <v>PE Pipe Reducing Coupler - 25mm x 20mm</v>
          </cell>
        </row>
        <row r="681">
          <cell r="D681" t="str">
            <v>PE Pipe Reducing Coupler - 32mm x 20mm</v>
          </cell>
        </row>
        <row r="682">
          <cell r="D682" t="str">
            <v>PE Pipe Reducing Coupler - 32mm x 25mm</v>
          </cell>
        </row>
        <row r="683">
          <cell r="D683" t="str">
            <v>PE Pipe Reducing Coupler - 40mm x 32mm</v>
          </cell>
        </row>
        <row r="684">
          <cell r="D684" t="str">
            <v>PE Pipe Reducing Coupler - 50mm x 25mm</v>
          </cell>
        </row>
        <row r="685">
          <cell r="D685" t="str">
            <v>PE Pipe Reducing Coupler - 50mm x 32mm</v>
          </cell>
        </row>
        <row r="686">
          <cell r="D686" t="str">
            <v>PE Pipe Reducing Coupler - 50mm x 40mm</v>
          </cell>
        </row>
        <row r="687">
          <cell r="D687" t="str">
            <v>PE Pipe Reducing Coupler - 63mm x 32mm</v>
          </cell>
        </row>
        <row r="688">
          <cell r="D688" t="str">
            <v>PE Pipe Reducing Coupler - 63mm x 40mm</v>
          </cell>
        </row>
        <row r="689">
          <cell r="D689" t="str">
            <v>PE Pipe Reducing Coupler - 63mm x 50mm</v>
          </cell>
        </row>
        <row r="690">
          <cell r="D690" t="str">
            <v>PE Pipe Reducing Coupler - 90mm x 63mm</v>
          </cell>
        </row>
        <row r="691">
          <cell r="D691" t="str">
            <v>PE Pipe End Cap - 40mm</v>
          </cell>
        </row>
        <row r="692">
          <cell r="D692" t="str">
            <v>END CAP</v>
          </cell>
        </row>
        <row r="693">
          <cell r="D693" t="str">
            <v>PE Pipe End Cap - 20mm</v>
          </cell>
        </row>
        <row r="694">
          <cell r="D694" t="str">
            <v>PE Pipe End Cap - 25mm</v>
          </cell>
        </row>
        <row r="695">
          <cell r="D695" t="str">
            <v>PE Pipe End Cap - 32mm</v>
          </cell>
        </row>
        <row r="696">
          <cell r="D696" t="str">
            <v>PE Pipe End Cap - 40mm</v>
          </cell>
        </row>
        <row r="697">
          <cell r="D697" t="str">
            <v>PE Pipe End Cap - 50mm</v>
          </cell>
        </row>
        <row r="698">
          <cell r="D698" t="str">
            <v>PE Pipe End Cap - 63mm</v>
          </cell>
        </row>
        <row r="699">
          <cell r="D699" t="str">
            <v>PE Pipe End Cap - 90mm</v>
          </cell>
        </row>
        <row r="700">
          <cell r="D700" t="str">
            <v>PE Pipe Male Tee - 25mm x 3/4"</v>
          </cell>
        </row>
        <row r="701">
          <cell r="D701" t="str">
            <v>MALE TEE</v>
          </cell>
        </row>
        <row r="702">
          <cell r="D702" t="str">
            <v>PE Pipe Male Tee - 20mm x 1/2"</v>
          </cell>
        </row>
        <row r="703">
          <cell r="D703" t="str">
            <v>PE Pipe Male Tee - 20mm x 3/4"</v>
          </cell>
        </row>
        <row r="704">
          <cell r="D704" t="str">
            <v>PE Pipe Male Tee - 25mm x 1/2"</v>
          </cell>
        </row>
        <row r="705">
          <cell r="D705" t="str">
            <v>PE Pipe Male Tee - 25mm x 3/4"</v>
          </cell>
        </row>
        <row r="706">
          <cell r="D706" t="str">
            <v>PE Pipe Male Tee - 32mm x 3/4"</v>
          </cell>
        </row>
        <row r="707">
          <cell r="D707" t="str">
            <v>PE Pipe Male Tee - 32mm x 1"</v>
          </cell>
        </row>
        <row r="708">
          <cell r="D708" t="str">
            <v>PE Pipe Male Tee - 50mm x 1-1/2"</v>
          </cell>
        </row>
        <row r="709">
          <cell r="D709" t="str">
            <v>PE Pipe Male Tee - 63mm x 2"</v>
          </cell>
        </row>
        <row r="710">
          <cell r="D710" t="str">
            <v>PE Pipe Male Tee - 90mm x 3"</v>
          </cell>
        </row>
        <row r="711">
          <cell r="D711" t="str">
            <v>PE Pipe Female Tee - 25mm x 3/4"</v>
          </cell>
        </row>
        <row r="712">
          <cell r="D712" t="str">
            <v>FEMALE TEE</v>
          </cell>
        </row>
        <row r="713">
          <cell r="D713" t="str">
            <v>PE Pipe Female Tee - 20mm x 1/2"</v>
          </cell>
        </row>
        <row r="714">
          <cell r="D714" t="str">
            <v>PE Pipe Female Tee - 20mm x 3/4"</v>
          </cell>
        </row>
        <row r="715">
          <cell r="D715" t="str">
            <v>PE Pipe Female Tee - 25mm x 1/2"</v>
          </cell>
        </row>
        <row r="716">
          <cell r="D716" t="str">
            <v>PE Pipe Female Tee - 25mm x 3/4"</v>
          </cell>
        </row>
        <row r="717">
          <cell r="D717" t="str">
            <v>PE Pipe Female Tee - 32mm x 3/4"</v>
          </cell>
        </row>
        <row r="718">
          <cell r="D718" t="str">
            <v>PE Pipe Female Tee - 32mm x 1"</v>
          </cell>
        </row>
        <row r="719">
          <cell r="D719" t="str">
            <v>PE Pipe Female Tee - 50mm x 1-1/2"</v>
          </cell>
        </row>
        <row r="720">
          <cell r="D720" t="str">
            <v>PE Pipe Female Tee - 63mm x 2"</v>
          </cell>
        </row>
        <row r="721">
          <cell r="D721" t="str">
            <v>PE Pipe Female Tee - 90mm x 3"</v>
          </cell>
        </row>
        <row r="722">
          <cell r="D722" t="str">
            <v>PE Pipe Reducing Tee - 40mm x 32mm</v>
          </cell>
        </row>
        <row r="723">
          <cell r="D723" t="str">
            <v>REDUCING TEE</v>
          </cell>
        </row>
        <row r="724">
          <cell r="D724" t="str">
            <v>PE Pipe Reducing Tee - 25mm x 20mm</v>
          </cell>
        </row>
        <row r="725">
          <cell r="D725" t="str">
            <v>PE Pipe Reducing Tee - 32mm x 20mm</v>
          </cell>
        </row>
        <row r="726">
          <cell r="D726" t="str">
            <v>PE Pipe Reducing Tee - 32mm x 25mm</v>
          </cell>
        </row>
        <row r="727">
          <cell r="D727" t="str">
            <v>PE Pipe Reducing Tee - 40mm x 32mm</v>
          </cell>
        </row>
        <row r="728">
          <cell r="D728" t="str">
            <v>PE Pipe Reducing Tee - 50mm x 32mm</v>
          </cell>
        </row>
        <row r="729">
          <cell r="D729" t="str">
            <v>PE Pipe Reducing Tee - 50mm x 40mm</v>
          </cell>
        </row>
        <row r="730">
          <cell r="D730" t="str">
            <v>PE Pipe Reducing Tee - 63mm x 50mm</v>
          </cell>
        </row>
        <row r="731">
          <cell r="D731" t="str">
            <v>PE Pipe Equal Tee - 40mm x 40mm</v>
          </cell>
        </row>
        <row r="732">
          <cell r="D732" t="str">
            <v>EQUAL TEE</v>
          </cell>
        </row>
        <row r="733">
          <cell r="D733" t="str">
            <v>PE Pipe Equal Tee - 20mm x 20mm</v>
          </cell>
        </row>
        <row r="734">
          <cell r="D734" t="str">
            <v>PE Pipe Equal Tee - 20mm x 25mm</v>
          </cell>
        </row>
        <row r="735">
          <cell r="D735" t="str">
            <v>PE Pipe Equal Tee - 32mm x 32mm</v>
          </cell>
        </row>
        <row r="736">
          <cell r="D736" t="str">
            <v>PE Pipe Equal Tee - 40mm x 40mm</v>
          </cell>
        </row>
        <row r="737">
          <cell r="D737" t="str">
            <v>PE Pipe Equal Tee - 50mm x 50mm</v>
          </cell>
        </row>
        <row r="738">
          <cell r="D738" t="str">
            <v>PE Pipe Equal Tee - 63mm x 63mm</v>
          </cell>
        </row>
        <row r="739">
          <cell r="D739" t="str">
            <v>PE Pipe Equal Tee - 90mm x 90mm</v>
          </cell>
        </row>
        <row r="740">
          <cell r="D740" t="str">
            <v>PE Pipe Equal Bend 90° - 40mm x 40mm</v>
          </cell>
        </row>
        <row r="741">
          <cell r="D741" t="str">
            <v>EQUAL BEND 90°</v>
          </cell>
        </row>
        <row r="742">
          <cell r="D742" t="str">
            <v>PE Pipe Equal Bend 90° - 20mm x 20mm</v>
          </cell>
        </row>
        <row r="743">
          <cell r="D743" t="str">
            <v>PE Pipe Equal Bend 90° - 20mm x 25mm</v>
          </cell>
        </row>
        <row r="744">
          <cell r="D744" t="str">
            <v>PE Pipe Equal Bend 90° - 32mm x 32mm</v>
          </cell>
        </row>
        <row r="745">
          <cell r="D745" t="str">
            <v>PE Pipe Equal Bend 90° - 40mm x 40mm</v>
          </cell>
        </row>
        <row r="746">
          <cell r="D746" t="str">
            <v>PE Pipe Equal Bend 90° - 50mm x 50mm</v>
          </cell>
        </row>
        <row r="747">
          <cell r="D747" t="str">
            <v>PE Pipe Equal Bend 90° - 63mm x 63mm</v>
          </cell>
        </row>
        <row r="748">
          <cell r="D748" t="str">
            <v>PE Pipe Equal Bend 90° - 90mm x 90mm</v>
          </cell>
        </row>
        <row r="749">
          <cell r="D749" t="str">
            <v>PE Pipe Female Bend 90° - 25mm x 3/4"</v>
          </cell>
        </row>
        <row r="750">
          <cell r="D750" t="str">
            <v>FEMALE BEND 90°</v>
          </cell>
        </row>
        <row r="751">
          <cell r="D751" t="str">
            <v>PE Pipe Female Bend 90° - 20mm x 1/2"</v>
          </cell>
        </row>
        <row r="752">
          <cell r="D752" t="str">
            <v>PE Pipe Female Bend 90° - 20mm x 3/4"</v>
          </cell>
        </row>
        <row r="753">
          <cell r="D753" t="str">
            <v>PE Pipe Female Bend 90° - 25mm x 1/2"</v>
          </cell>
        </row>
        <row r="754">
          <cell r="D754" t="str">
            <v>PE Pipe Female Bend 90° - 25mm x 3/4"</v>
          </cell>
        </row>
        <row r="755">
          <cell r="D755" t="str">
            <v>PE Pipe Female Bend 90° - 25mm x 1"</v>
          </cell>
        </row>
        <row r="756">
          <cell r="D756" t="str">
            <v>PE Pipe Female Bend 90° - 32mm x 3/4"</v>
          </cell>
        </row>
        <row r="757">
          <cell r="D757" t="str">
            <v>PE Pipe Female Bend 90° - 32mm x 1"</v>
          </cell>
        </row>
        <row r="758">
          <cell r="D758" t="str">
            <v>PE Pipe Female Bend 90° - 50mm x 1-1/2"</v>
          </cell>
        </row>
        <row r="759">
          <cell r="D759" t="str">
            <v>PE Pipe Female Bend 90° - 63mm x 2"</v>
          </cell>
        </row>
        <row r="760">
          <cell r="D760" t="str">
            <v>PE Pipe Female Bend 90° - 90mm x 3"</v>
          </cell>
        </row>
        <row r="761">
          <cell r="D761" t="str">
            <v>PE Pipe Male Bend 90° - 25mm x 3/4"</v>
          </cell>
        </row>
        <row r="762">
          <cell r="D762" t="str">
            <v>MALE BEND 90°</v>
          </cell>
        </row>
        <row r="763">
          <cell r="D763" t="str">
            <v>PE Pipe Male Bend 90° - 20mm x 1/2"</v>
          </cell>
        </row>
        <row r="764">
          <cell r="D764" t="str">
            <v>PE Pipe Male Bend 90° - 20mm x 3/4"</v>
          </cell>
        </row>
        <row r="765">
          <cell r="D765" t="str">
            <v>PE Pipe Male Bend 90° - 25mm x 1/2"</v>
          </cell>
        </row>
        <row r="766">
          <cell r="D766" t="str">
            <v>PE Pipe Male Bend 90° - 25mm x 3/4"</v>
          </cell>
        </row>
        <row r="767">
          <cell r="D767" t="str">
            <v>PE Pipe Male Bend 90° - 25mm x 1"</v>
          </cell>
        </row>
        <row r="768">
          <cell r="D768" t="str">
            <v>PE Pipe Male Bend 90° - 32mm x 3/4"</v>
          </cell>
        </row>
        <row r="769">
          <cell r="D769" t="str">
            <v>PE Pipe Male Bend 90° - 32mm x 1"</v>
          </cell>
        </row>
        <row r="770">
          <cell r="D770" t="str">
            <v>PE Pipe Male Bend 90° - 50mm x 1-1/2"</v>
          </cell>
        </row>
        <row r="771">
          <cell r="D771" t="str">
            <v>PE Pipe Male Bend 90° - 63mm x 2"</v>
          </cell>
        </row>
        <row r="772">
          <cell r="D772" t="str">
            <v>PE Pipe Male Bend 90° - 90mm x 3"</v>
          </cell>
        </row>
        <row r="773">
          <cell r="D773" t="str">
            <v>PE Pipe Single Outlet Saddle Clamp - 50mm x 3/4"</v>
          </cell>
        </row>
        <row r="774">
          <cell r="D774" t="str">
            <v>SINGLE OUTLET SADDLE CLAMP</v>
          </cell>
        </row>
        <row r="775">
          <cell r="D775" t="str">
            <v>PE Pipe Single Outlet Saddle Clamp - 32mm x 3/4"</v>
          </cell>
        </row>
        <row r="776">
          <cell r="D776" t="str">
            <v>PE Pipe Single Outlet Saddle Clamp - 32mm x 1"</v>
          </cell>
        </row>
        <row r="777">
          <cell r="D777" t="str">
            <v>PE Pipe Single Outlet Saddle Clamp - 40mm x 1"</v>
          </cell>
        </row>
        <row r="778">
          <cell r="D778" t="str">
            <v>PE Pipe Single Outlet Saddle Clamp - 50mm x 3/4"</v>
          </cell>
        </row>
        <row r="779">
          <cell r="D779" t="str">
            <v>PE Pipe Single Outlet Saddle Clamp - 50mm x 1"</v>
          </cell>
        </row>
        <row r="780">
          <cell r="D780" t="str">
            <v>PE Pipe Single Outlet Saddle Clamp - 63mm x 3/4"</v>
          </cell>
        </row>
        <row r="781">
          <cell r="D781" t="str">
            <v>PE Pipe Single Outlet Saddle Clamp - 63mm x 1"</v>
          </cell>
        </row>
        <row r="782">
          <cell r="D782" t="str">
            <v>PE Pipe Single Outlet Saddle Clamp - 73mm x 1"</v>
          </cell>
        </row>
        <row r="783">
          <cell r="D783" t="str">
            <v>PE Pipe Single Outlet Saddle Clamp - 90mm x 3/4"</v>
          </cell>
        </row>
        <row r="784">
          <cell r="D784" t="str">
            <v>PE Pipe Single Outlet Saddle Clamp - 90mm x 1"</v>
          </cell>
        </row>
        <row r="785">
          <cell r="D785" t="str">
            <v>PE Pipe Single Outlet Saddle Clamp - 90mm x 2"</v>
          </cell>
        </row>
        <row r="786">
          <cell r="D786" t="str">
            <v>PE Pipe Single Outlet Saddle Clamp - 110mm x 3/4"</v>
          </cell>
        </row>
        <row r="787">
          <cell r="D787" t="str">
            <v>PE Pipe Single Outlet Saddle Clamp - 110mm x 1"</v>
          </cell>
        </row>
        <row r="788">
          <cell r="D788" t="str">
            <v>PE Pipe Single Outlet Saddle Clamp - 110mm x 1-1/4"</v>
          </cell>
        </row>
        <row r="789">
          <cell r="D789" t="str">
            <v>PE Pipe Single Outlet Saddle Clamp - 110mm x 2"</v>
          </cell>
        </row>
        <row r="790">
          <cell r="D790" t="str">
            <v>PE Pipe Single Outlet Saddle Clamp - 160mm x 3/4"</v>
          </cell>
        </row>
        <row r="791">
          <cell r="D791" t="str">
            <v>PE Pipe Single Outlet Saddle Clamp - 160mm x 1"</v>
          </cell>
        </row>
        <row r="792">
          <cell r="D792" t="str">
            <v>PE Pipe Single Outlet Saddle Clamp - 160mm x 2"</v>
          </cell>
        </row>
        <row r="793">
          <cell r="D793" t="str">
            <v>PE Pipe Double Outlet Saddle Clamp - 50mm x 1" x 1"</v>
          </cell>
        </row>
        <row r="794">
          <cell r="D794" t="str">
            <v>DOUBLE OUTLET SADDLE CLAMP</v>
          </cell>
        </row>
        <row r="795">
          <cell r="D795" t="str">
            <v>PE Pipe Double Outlet Saddle Clamp - 32mm x 3/4" x 3/4"</v>
          </cell>
        </row>
        <row r="796">
          <cell r="D796" t="str">
            <v>PE Pipe Double Outlet Saddle Clamp - 32mm x 1" x 1"</v>
          </cell>
        </row>
        <row r="797">
          <cell r="D797" t="str">
            <v>PE Pipe Double Outlet Saddle Clamp - 50mm x 3/4" x 3/4"</v>
          </cell>
        </row>
        <row r="798">
          <cell r="D798" t="str">
            <v>PE Pipe Double Outlet Saddle Clamp - 50mm x 1" x 1"</v>
          </cell>
        </row>
        <row r="799">
          <cell r="D799" t="str">
            <v>PE Pipe Double Outlet Saddle Clamp - 63mm x 3/4" x 3/4"</v>
          </cell>
        </row>
        <row r="800">
          <cell r="D800" t="str">
            <v>PE Pipe Double Outlet Saddle Clamp - 63mm x 1" x 1"</v>
          </cell>
        </row>
        <row r="801">
          <cell r="D801" t="str">
            <v>PE Pipe Double Outlet Saddle Clamp - 90mm x 3/4" x 3/4"</v>
          </cell>
        </row>
        <row r="802">
          <cell r="D802" t="str">
            <v>PE Pipe Double Outlet Saddle Clamp - 90mm x 1" x 1"</v>
          </cell>
        </row>
        <row r="803">
          <cell r="D803" t="str">
            <v>PE Pipe Double Outlet Saddle Clamp - 90mm x 2" x 2"</v>
          </cell>
        </row>
        <row r="804">
          <cell r="D804" t="str">
            <v>PE Pipe Double Outlet Saddle Clamp - 110mm x 3/4" x 3/4"</v>
          </cell>
        </row>
        <row r="805">
          <cell r="D805" t="str">
            <v>PE Pipe Double Outlet Saddle Clamp - 110mm x 1" x 1"</v>
          </cell>
        </row>
        <row r="806">
          <cell r="D806" t="str">
            <v>PE Pipe Double Outlet Saddle Clamp - 110mm x 2" x 2"</v>
          </cell>
        </row>
        <row r="807">
          <cell r="D807" t="str">
            <v>PE Pipe Double Outlet Saddle Clamp - 160mm x 3/4" x 3/4"</v>
          </cell>
        </row>
        <row r="808">
          <cell r="D808" t="str">
            <v>PE Pipe Double Outlet Saddle Clamp - 160mm x 1" x 1"</v>
          </cell>
        </row>
        <row r="809">
          <cell r="D809" t="str">
            <v>PE Pipe Double Outlet Saddle Clamp - 160mm x 2" x 2"</v>
          </cell>
        </row>
        <row r="810">
          <cell r="D810" t="str">
            <v>PE Pipe Stub End Long Collar - 160mm x 110mm</v>
          </cell>
        </row>
        <row r="811">
          <cell r="D811" t="str">
            <v>SPIGOT - Stub End</v>
          </cell>
        </row>
        <row r="812">
          <cell r="D812" t="str">
            <v>PE Pipe Stub End Long Collar - 90mm x 63mm</v>
          </cell>
        </row>
        <row r="813">
          <cell r="D813" t="str">
            <v>PE Pipe Stub End Long Collar - 110mm x 63mm</v>
          </cell>
        </row>
        <row r="814">
          <cell r="D814" t="str">
            <v>PE Pipe Stub End Long Collar - 160mm x 63mm</v>
          </cell>
        </row>
        <row r="815">
          <cell r="D815" t="str">
            <v>PE Pipe Stub End Long Collar - 160mm x 110mm</v>
          </cell>
        </row>
        <row r="816">
          <cell r="D816" t="str">
            <v>PE Pipe (Spigot) Reducer - 160mm</v>
          </cell>
        </row>
        <row r="817">
          <cell r="D817" t="str">
            <v>SPIGOT - Reducer</v>
          </cell>
        </row>
        <row r="818">
          <cell r="D818" t="str">
            <v>PE Pipe (Spigot) Reducer - 63mm</v>
          </cell>
        </row>
        <row r="819">
          <cell r="D819" t="str">
            <v>PE Pipe (Spigot) Reducer - 90mm</v>
          </cell>
        </row>
        <row r="820">
          <cell r="D820" t="str">
            <v>PE Pipe (Spigot) Reducer - 110mm</v>
          </cell>
        </row>
        <row r="821">
          <cell r="D821" t="str">
            <v>PE Pipe (Spigot) Reducer - 160mm</v>
          </cell>
        </row>
        <row r="822">
          <cell r="D822" t="str">
            <v>PE Pipe Male Thread Adaptor - 63mm x 2"</v>
          </cell>
        </row>
        <row r="823">
          <cell r="D823" t="str">
            <v>PE Pipe Male Thread Adaptor - 90mm x 3"</v>
          </cell>
        </row>
        <row r="824">
          <cell r="D824" t="str">
            <v>PE Pipe, SDR 17  75mmØ</v>
          </cell>
        </row>
        <row r="825">
          <cell r="D825" t="str">
            <v>PE Pipe Male Thread Adaptor - 40mm x 1-1/4"</v>
          </cell>
        </row>
        <row r="826">
          <cell r="D826" t="str">
            <v>PE Pipe Male Thread Adaptor - 50mm x 1-1/2"</v>
          </cell>
        </row>
        <row r="827">
          <cell r="D827" t="str">
            <v>PE Pipe Male Thread Adaptor - 63mm x 2"</v>
          </cell>
        </row>
        <row r="828">
          <cell r="D828" t="str">
            <v>PE Pipe Male Thread Adaptor - 90mm x 3"</v>
          </cell>
        </row>
        <row r="829">
          <cell r="D829" t="str">
            <v>PE Pipe, SDR 17   63mmØ</v>
          </cell>
        </row>
        <row r="830">
          <cell r="D830" t="str">
            <v>PE Pipe, SDR 17   25mmØ</v>
          </cell>
        </row>
        <row r="831">
          <cell r="D831" t="str">
            <v>PE Pipe, SDR 17   32mmØ</v>
          </cell>
        </row>
        <row r="832">
          <cell r="D832" t="str">
            <v>PE Pipe, SDR 17   40mmØ</v>
          </cell>
        </row>
        <row r="833">
          <cell r="D833" t="str">
            <v>PE Pipe, SDR 17   50mmØ</v>
          </cell>
        </row>
        <row r="834">
          <cell r="D834" t="str">
            <v>PE Pipe, SDR 17   63mmØ</v>
          </cell>
        </row>
        <row r="835">
          <cell r="D835" t="str">
            <v>PE Pipe, SDR 17  75mmØ</v>
          </cell>
        </row>
        <row r="836">
          <cell r="D836" t="str">
            <v>PE Pipe, SDR 17  90mmØ</v>
          </cell>
        </row>
        <row r="837">
          <cell r="D837" t="str">
            <v>1¼" PE Pipe Coupling/Connector</v>
          </cell>
        </row>
        <row r="838">
          <cell r="D838" t="str">
            <v>3/8" PE Pipe Coupling/Connector</v>
          </cell>
        </row>
        <row r="839">
          <cell r="D839" t="str">
            <v>½" PE Pipe Coupling/Connector</v>
          </cell>
        </row>
        <row r="840">
          <cell r="D840" t="str">
            <v>3/4" PE Pipe Coupling/Connector</v>
          </cell>
        </row>
        <row r="841">
          <cell r="D841" t="str">
            <v>1" PE Pipe Coupling/Connector</v>
          </cell>
        </row>
        <row r="842">
          <cell r="D842" t="str">
            <v>1¼" PE Pipe Coupling/Connector</v>
          </cell>
        </row>
        <row r="843">
          <cell r="D843" t="str">
            <v>1½" PE Pipe Coupling/Connector</v>
          </cell>
        </row>
        <row r="844">
          <cell r="D844" t="str">
            <v>2" PE Pipe Coupling/Connector</v>
          </cell>
        </row>
        <row r="845">
          <cell r="D845" t="str">
            <v>2½" PE Pipe Coupling/Connector</v>
          </cell>
        </row>
        <row r="846">
          <cell r="D846" t="str">
            <v>3" PE Pipe Coupling/Connector</v>
          </cell>
        </row>
        <row r="847">
          <cell r="D847" t="str">
            <v>63mm X 2"dia. Male Adaptor, PLASSON</v>
          </cell>
        </row>
        <row r="848">
          <cell r="D848" t="str">
            <v>75mm X 2½"dia. Male Adaptor, PLASSON</v>
          </cell>
        </row>
        <row r="849">
          <cell r="D849" t="str">
            <v>PE Pipe Butt Fussion - 50mmØ</v>
          </cell>
        </row>
        <row r="850">
          <cell r="D850" t="str">
            <v>Butt Fusion</v>
          </cell>
        </row>
        <row r="851">
          <cell r="D851" t="str">
            <v>PE Pipe Butt Fussion - 25mmØ</v>
          </cell>
        </row>
        <row r="852">
          <cell r="D852" t="str">
            <v>PE Pipe Butt Fussion - 32mmØ</v>
          </cell>
        </row>
        <row r="853">
          <cell r="D853" t="str">
            <v>PE Pipe Butt Fussion - 40mmØ</v>
          </cell>
        </row>
        <row r="854">
          <cell r="D854" t="str">
            <v>PE Pipe Butt Fussion - 50mmØ</v>
          </cell>
        </row>
        <row r="855">
          <cell r="D855" t="str">
            <v>PE Pipe Butt Fussion - 63mmØ</v>
          </cell>
        </row>
        <row r="856">
          <cell r="D856" t="str">
            <v>PE Pipe Butt Fussion - 75mmØ</v>
          </cell>
        </row>
        <row r="857">
          <cell r="D857" t="str">
            <v>PE Pipe Butt Fussion - 90mmØ</v>
          </cell>
        </row>
        <row r="858">
          <cell r="D858" t="str">
            <v>PE Pipe Butt Fussion - 50mm x 32mm</v>
          </cell>
        </row>
        <row r="859">
          <cell r="D859" t="str">
            <v>PE Pipe Butt Fussion - 25mm x 20mm</v>
          </cell>
        </row>
        <row r="860">
          <cell r="D860" t="str">
            <v>PE Pipe Butt Fussion - 32mm x 20mm</v>
          </cell>
        </row>
        <row r="861">
          <cell r="D861" t="str">
            <v>PE Pipe Butt Fussion - 32mm x 25mm</v>
          </cell>
        </row>
        <row r="862">
          <cell r="D862" t="str">
            <v>PE Pipe Butt Fussion - 50mm x 25mm</v>
          </cell>
        </row>
        <row r="863">
          <cell r="D863" t="str">
            <v>PE Pipe Butt Fussion - 50mm x 32mm</v>
          </cell>
        </row>
        <row r="864">
          <cell r="D864" t="str">
            <v>PE Pipe Butt Fussion - 50mm x 40mm</v>
          </cell>
        </row>
        <row r="865">
          <cell r="D865" t="str">
            <v>PE Pipe Butt Fussion - 63mm x 32mm</v>
          </cell>
        </row>
        <row r="866">
          <cell r="D866" t="str">
            <v>PE Pipe Butt Fussion - 63mm x 40mm</v>
          </cell>
        </row>
        <row r="867">
          <cell r="D867" t="str">
            <v>PE Pipe Butt Fussion - 63mm x 50mm</v>
          </cell>
        </row>
        <row r="868">
          <cell r="D868" t="str">
            <v>PE Pipe Butt Fussion - 90mm x 63mm</v>
          </cell>
        </row>
        <row r="869">
          <cell r="D869" t="str">
            <v>Lavatory, porcelain</v>
          </cell>
        </row>
        <row r="870">
          <cell r="D870" t="str">
            <v>( SANITARY FIXTURES )</v>
          </cell>
        </row>
        <row r="871">
          <cell r="D871" t="str">
            <v>½" Brass Faucet, Plain Bibb</v>
          </cell>
        </row>
        <row r="872">
          <cell r="D872" t="str">
            <v>Water closet (ordinary)</v>
          </cell>
        </row>
        <row r="873">
          <cell r="D873" t="str">
            <v>Water closet</v>
          </cell>
        </row>
        <row r="874">
          <cell r="D874" t="str">
            <v>Water seal bowl (Pail Flush)</v>
          </cell>
        </row>
        <row r="875">
          <cell r="D875" t="str">
            <v>( SANITARY FIXTURES )</v>
          </cell>
        </row>
        <row r="876">
          <cell r="D876" t="str">
            <v>½" Brass Faucet, Plain Bibb</v>
          </cell>
        </row>
        <row r="877">
          <cell r="D877" t="str">
            <v>Water closet (ordinary)</v>
          </cell>
        </row>
        <row r="878">
          <cell r="D878" t="str">
            <v>Water closet</v>
          </cell>
        </row>
        <row r="879">
          <cell r="D879" t="str">
            <v>Water seal bowl (Pail Flush)</v>
          </cell>
        </row>
        <row r="880">
          <cell r="D880" t="str">
            <v>Lavatory, porcelain</v>
          </cell>
        </row>
        <row r="881">
          <cell r="D881" t="str">
            <v xml:space="preserve">Kitchen sink ( Aluminum) </v>
          </cell>
        </row>
        <row r="882">
          <cell r="D882" t="str">
            <v>Kitchen sink ( Aluminum) 16x24</v>
          </cell>
        </row>
        <row r="883">
          <cell r="D883" t="str">
            <v>Soap Holder (ceramic)</v>
          </cell>
        </row>
        <row r="884">
          <cell r="D884" t="str">
            <v>Paper Holder (ceramic)</v>
          </cell>
        </row>
        <row r="885">
          <cell r="D885" t="str">
            <v>4x4 Floor drain plate</v>
          </cell>
        </row>
        <row r="886">
          <cell r="D886" t="str">
            <v>6x6 Floor drain plate</v>
          </cell>
        </row>
        <row r="887">
          <cell r="D887" t="str">
            <v>1¼" Jetmatic Pump, Heavy Duty</v>
          </cell>
        </row>
        <row r="888">
          <cell r="D888" t="str">
            <v>Sink Strainer</v>
          </cell>
        </row>
        <row r="889">
          <cell r="D889" t="str">
            <v>Dome Type Roof Drain</v>
          </cell>
        </row>
        <row r="890">
          <cell r="D890" t="str">
            <v>Kitchen sink (Stainless)</v>
          </cell>
        </row>
        <row r="891">
          <cell r="D891" t="str">
            <v>Kitchen sink (Stainless) 16x24</v>
          </cell>
        </row>
        <row r="892">
          <cell r="D892" t="str">
            <v>Brass Faucet</v>
          </cell>
        </row>
        <row r="893">
          <cell r="D893" t="str">
            <v>Stainless Lavatory Faucet</v>
          </cell>
        </row>
        <row r="894">
          <cell r="D894" t="str">
            <v>150mm PVC Sanitary/Sewer Pipe x 3000</v>
          </cell>
        </row>
        <row r="895">
          <cell r="D895" t="str">
            <v>#14 AWG TW Wire solid</v>
          </cell>
        </row>
        <row r="896">
          <cell r="D896" t="str">
            <v>( ELECTRICAL WIRES &amp; APURTENANCES )</v>
          </cell>
        </row>
        <row r="897">
          <cell r="D897" t="str">
            <v>#8 AWG TW Wire solid</v>
          </cell>
        </row>
        <row r="898">
          <cell r="D898" t="str">
            <v>#10 AWG TW Wire solid</v>
          </cell>
        </row>
        <row r="899">
          <cell r="D899" t="str">
            <v>#12 AWG TW Wire solid</v>
          </cell>
        </row>
        <row r="900">
          <cell r="D900" t="str">
            <v>#14 AWG TW Wire solid</v>
          </cell>
        </row>
        <row r="901">
          <cell r="D901" t="str">
            <v>#10 AWG TW Wire stranded</v>
          </cell>
        </row>
        <row r="902">
          <cell r="D902" t="str">
            <v>#12 AWG TW Wire stranded</v>
          </cell>
        </row>
        <row r="903">
          <cell r="D903" t="str">
            <v>#14 AWG TW Wire stranded</v>
          </cell>
        </row>
        <row r="904">
          <cell r="D904" t="str">
            <v>#10  PDX Wire</v>
          </cell>
        </row>
        <row r="905">
          <cell r="D905" t="str">
            <v>#12 PDX Wire</v>
          </cell>
        </row>
        <row r="906">
          <cell r="D906" t="str">
            <v>#14 PDX Wire</v>
          </cell>
        </row>
        <row r="907">
          <cell r="D907" t="str">
            <v>3/4" PolyFlex Pipe</v>
          </cell>
        </row>
        <row r="908">
          <cell r="D908" t="str">
            <v>½" Flexible conduit</v>
          </cell>
        </row>
        <row r="909">
          <cell r="D909" t="str">
            <v>1" Flexible conduit</v>
          </cell>
        </row>
        <row r="910">
          <cell r="D910" t="str">
            <v>½" Entrance Cap</v>
          </cell>
        </row>
        <row r="911">
          <cell r="D911" t="str">
            <v>20A Circuit Breakers</v>
          </cell>
        </row>
        <row r="912">
          <cell r="D912" t="str">
            <v>30A Circuit Breakers</v>
          </cell>
        </row>
        <row r="913">
          <cell r="D913" t="str">
            <v>40A Circuit Breakers</v>
          </cell>
        </row>
        <row r="914">
          <cell r="D914" t="str">
            <v>60ACircuit Breakers</v>
          </cell>
        </row>
        <row r="915">
          <cell r="D915" t="str">
            <v>100A Circuit Breakers</v>
          </cell>
        </row>
        <row r="916">
          <cell r="D916" t="str">
            <v>15A Fuse</v>
          </cell>
        </row>
        <row r="917">
          <cell r="D917" t="str">
            <v>20A Fuse</v>
          </cell>
        </row>
        <row r="918">
          <cell r="D918" t="str">
            <v>30A Fuse</v>
          </cell>
        </row>
        <row r="919">
          <cell r="D919" t="str">
            <v>60A Fuse</v>
          </cell>
        </row>
        <row r="920">
          <cell r="D920" t="str">
            <v>30A kWh Meter</v>
          </cell>
        </row>
        <row r="921">
          <cell r="D921" t="str">
            <v>60A kWh Meter</v>
          </cell>
        </row>
        <row r="922">
          <cell r="D922" t="str">
            <v>100A kWh Meter</v>
          </cell>
        </row>
        <row r="923">
          <cell r="D923" t="str">
            <v>2X4, Utility Box</v>
          </cell>
        </row>
        <row r="924">
          <cell r="D924" t="str">
            <v>4X4, Junction Box with cover</v>
          </cell>
        </row>
        <row r="925">
          <cell r="D925" t="str">
            <v>Porcelain Ceiling Outlet</v>
          </cell>
        </row>
        <row r="926">
          <cell r="D926" t="str">
            <v>Duplex convenience outlet (surface type)</v>
          </cell>
        </row>
        <row r="927">
          <cell r="D927" t="str">
            <v>Rubber female plug</v>
          </cell>
        </row>
        <row r="928">
          <cell r="D928" t="str">
            <v>Electrical Tape</v>
          </cell>
        </row>
        <row r="929">
          <cell r="D929" t="str">
            <v>Panel Board, 6-Breakers</v>
          </cell>
        </row>
        <row r="930">
          <cell r="D930" t="str">
            <v>One Gang Switch (flush type)</v>
          </cell>
        </row>
        <row r="931">
          <cell r="D931" t="str">
            <v>Two Gang Swicth (flush type)</v>
          </cell>
        </row>
        <row r="932">
          <cell r="D932" t="str">
            <v>Three Gang Swicth (flush type)</v>
          </cell>
        </row>
        <row r="933">
          <cell r="D933" t="str">
            <v>One Gang Outlet (flush type)</v>
          </cell>
        </row>
        <row r="934">
          <cell r="D934" t="str">
            <v>Two Gang Outlet (flush type)</v>
          </cell>
        </row>
        <row r="935">
          <cell r="D935" t="str">
            <v>Three Gang Outlet (flush type)</v>
          </cell>
        </row>
        <row r="936">
          <cell r="D936" t="str">
            <v>1/2" Metal Conduit Pipe, 3.0m</v>
          </cell>
        </row>
        <row r="937">
          <cell r="D937" t="str">
            <v>20mmØ PVC Conduit Pipes, 3.0m</v>
          </cell>
        </row>
        <row r="938">
          <cell r="D938" t="str">
            <v>Main Switch Box, 2P, Double-Throw</v>
          </cell>
        </row>
        <row r="939">
          <cell r="D939" t="str">
            <v>Porcelain Wire Holder</v>
          </cell>
        </row>
        <row r="940">
          <cell r="D940" t="str">
            <v>10W Incandescent Bulb</v>
          </cell>
        </row>
        <row r="941">
          <cell r="D941" t="str">
            <v>( LIGHTS AND LAMPS )</v>
          </cell>
        </row>
        <row r="942">
          <cell r="D942" t="str">
            <v>20W 220 V Flourescent Lamp</v>
          </cell>
        </row>
        <row r="943">
          <cell r="D943" t="str">
            <v>40W 220 V Flourescent Lamp</v>
          </cell>
        </row>
        <row r="944">
          <cell r="D944" t="str">
            <v>20W 220 V Reflectorized Flourescent Lamp, Single Housing</v>
          </cell>
        </row>
        <row r="945">
          <cell r="D945" t="str">
            <v>10W Incandescent Bulb</v>
          </cell>
        </row>
        <row r="946">
          <cell r="D946" t="str">
            <v>15W Incandescent Bulb</v>
          </cell>
        </row>
        <row r="947">
          <cell r="D947" t="str">
            <v>20W Incandescent Bulb</v>
          </cell>
        </row>
        <row r="948">
          <cell r="D948" t="str">
            <v>25W Incandescent Bulb</v>
          </cell>
        </row>
        <row r="949">
          <cell r="D949" t="str">
            <v>50W Incandescent Bulb</v>
          </cell>
        </row>
        <row r="950">
          <cell r="D950" t="str">
            <v>100W Incandescent Bulb</v>
          </cell>
        </row>
        <row r="951">
          <cell r="D951" t="str">
            <v>18 W SL 2000 Flourescent Bulb</v>
          </cell>
        </row>
        <row r="952">
          <cell r="D952" t="str">
            <v>Acrylic Gloss Latex</v>
          </cell>
        </row>
        <row r="953">
          <cell r="D953" t="str">
            <v>( PAINTS &amp; ACCESSORIES )</v>
          </cell>
        </row>
        <row r="954">
          <cell r="D954" t="str">
            <v>Latex Paint Flat</v>
          </cell>
        </row>
        <row r="955">
          <cell r="D955" t="str">
            <v>Acrylic Latex Paint Flat</v>
          </cell>
        </row>
        <row r="956">
          <cell r="D956" t="str">
            <v>Acrylic Semi-Gloss Paint Latex</v>
          </cell>
        </row>
        <row r="957">
          <cell r="D957" t="str">
            <v>Acrylic Gloss Latex</v>
          </cell>
        </row>
        <row r="958">
          <cell r="D958" t="str">
            <v>Acrylic Clear Gloss Emulsion</v>
          </cell>
        </row>
        <row r="959">
          <cell r="D959" t="str">
            <v>Latex High Gloss Enamel</v>
          </cell>
        </row>
        <row r="960">
          <cell r="D960" t="str">
            <v>Latex Tinting Color (Water-based)</v>
          </cell>
        </row>
        <row r="961">
          <cell r="D961" t="str">
            <v>Quick Drying Enamel</v>
          </cell>
        </row>
        <row r="962">
          <cell r="D962" t="str">
            <v>Interior Semi-Gloss Enamel</v>
          </cell>
        </row>
        <row r="963">
          <cell r="D963" t="str">
            <v>Flat Wall Enamel</v>
          </cell>
        </row>
        <row r="964">
          <cell r="D964" t="str">
            <v>Conc. Primer Sealer</v>
          </cell>
        </row>
        <row r="965">
          <cell r="D965" t="str">
            <v>Interior Primer Sealer</v>
          </cell>
        </row>
        <row r="966">
          <cell r="D966" t="str">
            <v>Exterior Wood Primer</v>
          </cell>
        </row>
        <row r="967">
          <cell r="D967" t="str">
            <v>Prepakote Red Oxide Primer</v>
          </cell>
        </row>
        <row r="968">
          <cell r="D968" t="str">
            <v>Zinc Chromate Primer.</v>
          </cell>
        </row>
        <row r="969">
          <cell r="D969" t="str">
            <v>Red Lead Primer</v>
          </cell>
        </row>
        <row r="970">
          <cell r="D970" t="str">
            <v>Blackboard Paint green</v>
          </cell>
        </row>
        <row r="971">
          <cell r="D971" t="str">
            <v>Portland Roofing Paint</v>
          </cell>
        </row>
        <row r="972">
          <cell r="D972" t="str">
            <v>Galva wash zinc remover</v>
          </cell>
        </row>
        <row r="973">
          <cell r="D973" t="str">
            <v>Sanding Sealer</v>
          </cell>
        </row>
        <row r="974">
          <cell r="D974" t="str">
            <v>Clear Gloss Lacquer</v>
          </cell>
        </row>
        <row r="975">
          <cell r="D975" t="str">
            <v>Paint Thinner</v>
          </cell>
        </row>
        <row r="976">
          <cell r="D976" t="str">
            <v>Concrete Neutralizer</v>
          </cell>
        </row>
        <row r="977">
          <cell r="D977" t="str">
            <v>Coal Tar</v>
          </cell>
        </row>
        <row r="978">
          <cell r="D978" t="str">
            <v>Wood Stain</v>
          </cell>
        </row>
        <row r="979">
          <cell r="D979" t="str">
            <v>Kalsomine powder</v>
          </cell>
        </row>
        <row r="980">
          <cell r="D980" t="str">
            <v>Sanding Paper</v>
          </cell>
        </row>
        <row r="981">
          <cell r="D981" t="str">
            <v>Epoxy Primer, Boysen</v>
          </cell>
        </row>
        <row r="982">
          <cell r="D982" t="str">
            <v>Roller Brush w/ Tray</v>
          </cell>
        </row>
        <row r="983">
          <cell r="D983" t="str">
            <v>Paint Brush</v>
          </cell>
        </row>
        <row r="984">
          <cell r="D984" t="str">
            <v>Reflectorized Paint</v>
          </cell>
        </row>
        <row r="985">
          <cell r="D985" t="str">
            <v>Marine Paint</v>
          </cell>
        </row>
        <row r="986">
          <cell r="D986" t="str">
            <v>Unglazed Tiles  4-1/4" x 4-1/4"</v>
          </cell>
        </row>
        <row r="987">
          <cell r="D987" t="str">
            <v>( PRESERVATIVES )</v>
          </cell>
        </row>
        <row r="988">
          <cell r="D988" t="str">
            <v>Wood preservative (Solignum)</v>
          </cell>
        </row>
        <row r="989">
          <cell r="D989" t="str">
            <v>Glazed Tiles  4" x 4"</v>
          </cell>
        </row>
        <row r="990">
          <cell r="D990" t="str">
            <v>( TILES )</v>
          </cell>
        </row>
        <row r="991">
          <cell r="D991" t="str">
            <v>Unglazed Tiles  4-1/4" x 4-1/4"</v>
          </cell>
        </row>
        <row r="992">
          <cell r="D992" t="str">
            <v>Glazed Tile (Plain Color)  4-1/4" x 4-1/4"</v>
          </cell>
        </row>
        <row r="993">
          <cell r="D993" t="str">
            <v>Mosaic Floor Tiles  12 x 12</v>
          </cell>
        </row>
        <row r="994">
          <cell r="D994" t="str">
            <v>Glazed Tiles  4" x 4"</v>
          </cell>
        </row>
        <row r="995">
          <cell r="D995" t="str">
            <v>Vitirified Tiles  4" x 8"</v>
          </cell>
        </row>
        <row r="996">
          <cell r="D996" t="str">
            <v>Floor Tiles (Plain Color)  8" x 8"</v>
          </cell>
        </row>
        <row r="997">
          <cell r="D997" t="str">
            <v>Glazed Tiles (Plain Color)  8" x 8"</v>
          </cell>
        </row>
        <row r="998">
          <cell r="D998" t="str">
            <v>Vinyl Tiles  8" x 8"</v>
          </cell>
        </row>
        <row r="999">
          <cell r="D999" t="str">
            <v>Capping</v>
          </cell>
        </row>
        <row r="1000">
          <cell r="D1000" t="str">
            <v>Internal Bead  4"</v>
          </cell>
        </row>
        <row r="1001">
          <cell r="D1001" t="str">
            <v xml:space="preserve">External Bead  4" </v>
          </cell>
        </row>
        <row r="1002">
          <cell r="D1002" t="str">
            <v>Internal Corner bead</v>
          </cell>
        </row>
        <row r="1003">
          <cell r="D1003" t="str">
            <v>External Corner bead</v>
          </cell>
        </row>
        <row r="1004">
          <cell r="D1004" t="str">
            <v>Unglazed Tiles  4" x 4"</v>
          </cell>
        </row>
        <row r="1005">
          <cell r="D1005" t="str">
            <v>Medical Trolley w/glass container</v>
          </cell>
        </row>
        <row r="1006">
          <cell r="D1006" t="str">
            <v>( INSTRUMENTS )</v>
          </cell>
        </row>
        <row r="1007">
          <cell r="D1007" t="str">
            <v>Weighing Scale w Ht Measurement (Adult)</v>
          </cell>
        </row>
        <row r="1008">
          <cell r="D1008" t="str">
            <v>Weighing Scale (Newborn)</v>
          </cell>
        </row>
        <row r="1009">
          <cell r="D1009" t="str">
            <v>Stethoscope</v>
          </cell>
        </row>
        <row r="1010">
          <cell r="D1010" t="str">
            <v>Medical Trolley w/glass container</v>
          </cell>
        </row>
        <row r="1011">
          <cell r="D1011" t="str">
            <v>Sphygmomanometer (Mercury)</v>
          </cell>
        </row>
        <row r="1012">
          <cell r="D1012" t="str">
            <v>Thermometer</v>
          </cell>
        </row>
        <row r="1013">
          <cell r="D1013" t="str">
            <v>Scissors (Surgical)</v>
          </cell>
        </row>
        <row r="1014">
          <cell r="D1014" t="str">
            <v>Scissors (Bandage)</v>
          </cell>
        </row>
        <row r="1015">
          <cell r="D1015" t="str">
            <v>Forceps (Curve)</v>
          </cell>
        </row>
        <row r="1016">
          <cell r="D1016" t="str">
            <v>Forceps (Straight)</v>
          </cell>
        </row>
        <row r="1017">
          <cell r="D1017" t="str">
            <v>Kidney Basin (Stainless)</v>
          </cell>
        </row>
        <row r="1018">
          <cell r="D1018" t="str">
            <v>Bed Pan (Metal)</v>
          </cell>
        </row>
        <row r="1019">
          <cell r="D1019" t="str">
            <v>Male Urinal</v>
          </cell>
        </row>
        <row r="1020">
          <cell r="D1020" t="str">
            <v>O.B. Bed with Stirrups</v>
          </cell>
        </row>
        <row r="1021">
          <cell r="D1021" t="str">
            <v>Hot Water Bag</v>
          </cell>
        </row>
        <row r="1022">
          <cell r="D1022" t="str">
            <v>Blackboard</v>
          </cell>
        </row>
        <row r="1023">
          <cell r="D1023" t="str">
            <v>( FURNITURES )</v>
          </cell>
        </row>
        <row r="1024">
          <cell r="D1024" t="str">
            <v>Monoblock Student Chair</v>
          </cell>
        </row>
        <row r="1025">
          <cell r="D1025" t="str">
            <v>Monoblock Chair</v>
          </cell>
        </row>
        <row r="1026">
          <cell r="D1026" t="str">
            <v>Standard Office Table, Wood (SZOPAD Standard)</v>
          </cell>
        </row>
        <row r="1027">
          <cell r="D1027" t="str">
            <v>Blackboard</v>
          </cell>
        </row>
        <row r="1028">
          <cell r="D1028" t="str">
            <v>Kitchen Table, Wood (SZOPAD Standard)</v>
          </cell>
        </row>
        <row r="1029">
          <cell r="D1029" t="str">
            <v>Monoblock Bench (2-seater)</v>
          </cell>
        </row>
        <row r="1030">
          <cell r="D1030" t="str">
            <v>Mooring Bitt 15T</v>
          </cell>
        </row>
        <row r="1031">
          <cell r="D1031" t="str">
            <v>( MOORING &amp; FENDERS )</v>
          </cell>
        </row>
        <row r="1032">
          <cell r="D1032" t="str">
            <v>Mooring Bollard 25T</v>
          </cell>
        </row>
        <row r="1033">
          <cell r="D1033" t="str">
            <v>Mooring Bollard 15T</v>
          </cell>
        </row>
        <row r="1034">
          <cell r="D1034" t="str">
            <v>Mooring Bitt 10T</v>
          </cell>
        </row>
        <row r="1035">
          <cell r="D1035" t="str">
            <v>Mooring Bitt 15T</v>
          </cell>
        </row>
        <row r="1036">
          <cell r="D1036" t="str">
            <v>Mooring Cleat 5T</v>
          </cell>
        </row>
        <row r="1037">
          <cell r="D1037" t="str">
            <v>V-Type Rubber Fender (200x1500) incl. its appurtenances</v>
          </cell>
        </row>
        <row r="1038">
          <cell r="D1038" t="str">
            <v>V-Type Rubber Fender (300x1500) incl. its appurtenances</v>
          </cell>
        </row>
        <row r="1039">
          <cell r="D1039" t="str">
            <v>V-Type Rubber Fender (400x1000) incl. its appurtenances</v>
          </cell>
        </row>
        <row r="1040">
          <cell r="D1040" t="str">
            <v>V-Type Rubber Fender (400x2000) incl. its appurtenances</v>
          </cell>
        </row>
        <row r="1041">
          <cell r="D1041" t="str">
            <v>L Corner Type Rubber Fender (250Hx1000Lx1000L) incl. its appurtenances</v>
          </cell>
        </row>
        <row r="1042">
          <cell r="D1042" t="str">
            <v>Used Tires (800mmØ)</v>
          </cell>
        </row>
        <row r="1043">
          <cell r="D1043" t="str">
            <v>Used Tires (1000mmØ) and its appurtenances</v>
          </cell>
        </row>
        <row r="1044">
          <cell r="D1044" t="str">
            <v>Gasoline, Regular</v>
          </cell>
        </row>
        <row r="1045">
          <cell r="D1045" t="str">
            <v>Ga#24 GI Sht Caps</v>
          </cell>
        </row>
        <row r="1046">
          <cell r="D1046" t="str">
            <v>( LUBRICANT AND OIL )</v>
          </cell>
        </row>
        <row r="1047">
          <cell r="D1047" t="str">
            <v>Used Oil</v>
          </cell>
        </row>
        <row r="1048">
          <cell r="D1048" t="str">
            <v>Oil, No. 110</v>
          </cell>
        </row>
        <row r="1049">
          <cell r="D1049" t="str">
            <v>Gasoline, Regular</v>
          </cell>
        </row>
        <row r="1050">
          <cell r="D1050" t="str">
            <v xml:space="preserve">Shop-made Door Lock, 5/8" Plain Bar </v>
          </cell>
        </row>
        <row r="1051">
          <cell r="D1051" t="str">
            <v>( JUNKS &amp; JOB ORDER )</v>
          </cell>
        </row>
        <row r="1052">
          <cell r="D1052" t="str">
            <v>Tension Rod</v>
          </cell>
        </row>
        <row r="1053">
          <cell r="D1053" t="str">
            <v>Steel Plate Cover 0.65 X 0.65 m</v>
          </cell>
        </row>
        <row r="1054">
          <cell r="D1054" t="str">
            <v>Window Grill, Steel</v>
          </cell>
        </row>
        <row r="1055">
          <cell r="D1055" t="str">
            <v xml:space="preserve">Shop-made Door Lock, 5/8" Plain Bar </v>
          </cell>
        </row>
        <row r="1056">
          <cell r="D1056" t="str">
            <v>Fabricated Clamp, 5mm thk x 3"</v>
          </cell>
        </row>
        <row r="1057">
          <cell r="D1057" t="str">
            <v>Used Tires</v>
          </cell>
        </row>
        <row r="1058">
          <cell r="D1058" t="str">
            <v>2.0m X 2.40m  GI Vertical Roll-Up Door</v>
          </cell>
        </row>
        <row r="1059">
          <cell r="D1059" t="str">
            <v>30"  Spherical Roof Vent, Turbine Type</v>
          </cell>
        </row>
        <row r="1060">
          <cell r="D1060" t="str">
            <v>Ga#24 GI Sht Caps</v>
          </cell>
        </row>
        <row r="1061">
          <cell r="D1061" t="str">
            <v>Hard Asphalt Filler</v>
          </cell>
        </row>
        <row r="1062">
          <cell r="D1062" t="str">
            <v>250 x 250 x 3000 Rubbing Timber (Yakal)</v>
          </cell>
        </row>
        <row r="1063">
          <cell r="D1063" t="str">
            <v>Creosoted Wooden Pole 300mmØ x 15m.</v>
          </cell>
        </row>
        <row r="1064">
          <cell r="D1064" t="str">
            <v>Creosoted Wooden Pole 300mmØ x 18m.</v>
          </cell>
        </row>
        <row r="1065">
          <cell r="D1065" t="str">
            <v>Steel Stapples 10mmØ</v>
          </cell>
        </row>
        <row r="1066">
          <cell r="D1066" t="str">
            <v>Fire Extinguishers</v>
          </cell>
        </row>
        <row r="1067">
          <cell r="D1067" t="str">
            <v>Water Proofing Compound &amp; Accessories</v>
          </cell>
        </row>
        <row r="1068">
          <cell r="D1068" t="str">
            <v>Gate Accessories</v>
          </cell>
        </row>
        <row r="1069">
          <cell r="D1069" t="str">
            <v>Electrical &amp; Fixtures</v>
          </cell>
        </row>
        <row r="1070">
          <cell r="D1070" t="str">
            <v>Regulatory Sign</v>
          </cell>
        </row>
        <row r="1071">
          <cell r="D1071" t="str">
            <v>Elastomeric Bearing Pad Duro 60 (Complete Set)</v>
          </cell>
        </row>
        <row r="1072">
          <cell r="D1072" t="str">
            <v>Restrainer Bolt (25mmØx800</v>
          </cell>
        </row>
        <row r="1073">
          <cell r="D1073" t="str">
            <v>Ga#10 GI Pre-Fab Steel Flex Beam</v>
          </cell>
        </row>
        <row r="1074">
          <cell r="D1074" t="str">
            <v>Ga#10 GI Pre-Fab Steel Flex Beam end</v>
          </cell>
        </row>
        <row r="1075">
          <cell r="D1075" t="str">
            <v>Restrainer Bolt (25mmØx800)</v>
          </cell>
        </row>
        <row r="1076">
          <cell r="D1076" t="str">
            <v>Water Meter</v>
          </cell>
        </row>
        <row r="1077">
          <cell r="D1077" t="str">
            <v>Filter Fabric</v>
          </cell>
        </row>
        <row r="1078">
          <cell r="D1078" t="str">
            <v>Ga# 18 Stainless Steel Tank and Accessories</v>
          </cell>
        </row>
        <row r="1079">
          <cell r="D1079" t="str">
            <v>Window 1 - Community Center 1</v>
          </cell>
        </row>
        <row r="1080">
          <cell r="D1080" t="str">
            <v>Window 2 - Community Center 1</v>
          </cell>
        </row>
        <row r="1081">
          <cell r="D1081" t="str">
            <v>FENESTRATION</v>
          </cell>
        </row>
        <row r="1082">
          <cell r="D1082" t="str">
            <v>Door 1 - Community Center 1</v>
          </cell>
        </row>
        <row r="1083">
          <cell r="D1083" t="str">
            <v>Door 2 - Community Center 1</v>
          </cell>
        </row>
        <row r="1084">
          <cell r="D1084" t="str">
            <v>Window 1 - Community Center 1</v>
          </cell>
        </row>
        <row r="1085">
          <cell r="D1085" t="str">
            <v>Window 2 - Community Center 1</v>
          </cell>
        </row>
        <row r="1086">
          <cell r="D1086" t="str">
            <v>Window 3 - Community Center 1</v>
          </cell>
        </row>
        <row r="1087">
          <cell r="D1087" t="str">
            <v>Window 3 - Community Center 2</v>
          </cell>
        </row>
        <row r="1088">
          <cell r="D1088" t="str">
            <v>Door 1 - Community Center 2</v>
          </cell>
        </row>
        <row r="1089">
          <cell r="D1089" t="str">
            <v>Door 2 - Community Center 2</v>
          </cell>
        </row>
        <row r="1090">
          <cell r="D1090" t="str">
            <v>Window 1 - Community Center 2</v>
          </cell>
        </row>
        <row r="1091">
          <cell r="D1091" t="str">
            <v>Window 2 - Community Center 2</v>
          </cell>
        </row>
        <row r="1092">
          <cell r="D1092" t="str">
            <v>Window 3 - Community Center 2</v>
          </cell>
        </row>
        <row r="1093">
          <cell r="D1093" t="str">
            <v>Window 2 - Trading Center</v>
          </cell>
        </row>
        <row r="1094">
          <cell r="D1094" t="str">
            <v xml:space="preserve">Door 1 - Trading Center </v>
          </cell>
        </row>
        <row r="1095">
          <cell r="D1095" t="str">
            <v xml:space="preserve">Door 2 - Trading Center </v>
          </cell>
        </row>
        <row r="1096">
          <cell r="D1096" t="str">
            <v xml:space="preserve">Panel Door  - Trading Center </v>
          </cell>
        </row>
        <row r="1097">
          <cell r="D1097" t="str">
            <v>Window 1 - Trading Center</v>
          </cell>
        </row>
        <row r="1098">
          <cell r="D1098" t="str">
            <v>Window 2 - Trading Center</v>
          </cell>
        </row>
        <row r="1099">
          <cell r="D1099" t="str">
            <v>Window 3 - Trading Center</v>
          </cell>
        </row>
        <row r="1100">
          <cell r="D1100" t="str">
            <v>Computer Pentium 4 w/ HP Deskject Printer (Latest Model)</v>
          </cell>
        </row>
        <row r="1101">
          <cell r="D1101" t="str">
            <v>FACILITIES FOR ENGINEER</v>
          </cell>
        </row>
        <row r="1102">
          <cell r="D1102" t="str">
            <v>Temporary Field Office/Quarter (2 Container Van w/ Shed)</v>
          </cell>
        </row>
        <row r="1103">
          <cell r="D1103" t="str">
            <v>Temporary Field Office/Quarter</v>
          </cell>
        </row>
        <row r="1104">
          <cell r="D1104" t="str">
            <v>Airconditioning Unit</v>
          </cell>
        </row>
        <row r="1105">
          <cell r="D1105" t="str">
            <v>Computer Pentium 4 w/ HP Deskject Printer (Latest Model)</v>
          </cell>
        </row>
        <row r="1106">
          <cell r="D1106" t="str">
            <v>Office Furnitures/Equipment (Items 81.70, 81.80 and 81.90)</v>
          </cell>
        </row>
        <row r="1107">
          <cell r="D1107" t="str">
            <v>Office Supplies/Water/Electricity</v>
          </cell>
        </row>
        <row r="1108">
          <cell r="D1108" t="str">
            <v>Furnishing on Rental Basis (Mat'ls Laboratory, Operations &amp; Maintenance)</v>
          </cell>
        </row>
        <row r="1109">
          <cell r="D1109" t="str">
            <v>Progress Photographed</v>
          </cell>
        </row>
        <row r="1110">
          <cell r="D1110" t="str">
            <v>Plywood Board</v>
          </cell>
        </row>
        <row r="1111">
          <cell r="D1111" t="str">
            <v>OFFICE FURNITURES</v>
          </cell>
        </row>
        <row r="1112">
          <cell r="D1112" t="str">
            <v>Office Table</v>
          </cell>
        </row>
        <row r="1113">
          <cell r="D1113" t="str">
            <v>Office Chairs</v>
          </cell>
        </row>
        <row r="1114">
          <cell r="D1114" t="str">
            <v>Bench</v>
          </cell>
        </row>
        <row r="1115">
          <cell r="D1115" t="str">
            <v>Plywood Board</v>
          </cell>
        </row>
        <row r="1116">
          <cell r="D1116" t="str">
            <v>Stainless Steel Plaque w/ Concrete Pedestal</v>
          </cell>
        </row>
        <row r="1117">
          <cell r="D1117" t="str">
            <v>SIGNAGES</v>
          </cell>
        </row>
        <row r="1118">
          <cell r="D1118" t="str">
            <v>Plate Marker</v>
          </cell>
        </row>
        <row r="1119">
          <cell r="D1119" t="str">
            <v>Marker Pedestal</v>
          </cell>
        </row>
        <row r="1120">
          <cell r="D1120" t="str">
            <v>Stainless Steel Plaque</v>
          </cell>
        </row>
        <row r="1121">
          <cell r="D1121" t="str">
            <v>Stainless Steel Plaque w/ Concrete Pedestal</v>
          </cell>
        </row>
        <row r="1122">
          <cell r="D1122" t="str">
            <v>Wooden Type Project Information Signboard</v>
          </cell>
        </row>
        <row r="1123">
          <cell r="D1123" t="str">
            <v>Steel Type Project Information Signboard</v>
          </cell>
        </row>
        <row r="1124">
          <cell r="D1124" t="str">
            <v>Steel Type w/ Canvass Project Information Signboard</v>
          </cell>
        </row>
        <row r="1125">
          <cell r="D1125" t="str">
            <v>Signage</v>
          </cell>
        </row>
        <row r="1126">
          <cell r="D1126" t="str">
            <v>Plate Marker w/ Pedestal</v>
          </cell>
        </row>
        <row r="1127">
          <cell r="D1127" t="str">
            <v>Community Center 1</v>
          </cell>
        </row>
        <row r="1129">
          <cell r="D1129" t="str">
            <v>PERMITS &amp; LICENSES</v>
          </cell>
        </row>
        <row r="1130">
          <cell r="D1130" t="str">
            <v>Warehouse</v>
          </cell>
        </row>
        <row r="1131">
          <cell r="D1131" t="str">
            <v>Solar Dryer</v>
          </cell>
        </row>
        <row r="1132">
          <cell r="D1132" t="str">
            <v>Community Center 1</v>
          </cell>
        </row>
        <row r="1134">
          <cell r="D1134" t="str">
            <v>( LIQUIFIED AND PRESSURE GASES )</v>
          </cell>
        </row>
        <row r="1135">
          <cell r="D1135" t="str">
            <v>Oxygen Gas</v>
          </cell>
        </row>
        <row r="1136">
          <cell r="D1136" t="str">
            <v>Acetylene Gas</v>
          </cell>
        </row>
        <row r="1137">
          <cell r="D1137" t="str">
            <v>20mmØ Deformed Bars</v>
          </cell>
        </row>
        <row r="1138">
          <cell r="D1138" t="str">
            <v>16mmØ Deformed Bars</v>
          </cell>
        </row>
        <row r="1139">
          <cell r="D1139" t="str">
            <v>REBARS</v>
          </cell>
        </row>
        <row r="1140">
          <cell r="D1140" t="str">
            <v>28mmØ Deformed Bars</v>
          </cell>
        </row>
        <row r="1141">
          <cell r="D1141" t="str">
            <v>25mmØ Deformed Bars</v>
          </cell>
        </row>
        <row r="1142">
          <cell r="D1142" t="str">
            <v>20mmØ Deformed Bars</v>
          </cell>
        </row>
        <row r="1143">
          <cell r="D1143" t="str">
            <v>16mmØ Deformed Bars</v>
          </cell>
        </row>
        <row r="1144">
          <cell r="D1144" t="str">
            <v>12mmØ Deformed Bars</v>
          </cell>
        </row>
        <row r="1145">
          <cell r="D1145" t="str">
            <v>10mmØ Deformed Bars</v>
          </cell>
        </row>
        <row r="1146">
          <cell r="D1146" t="str">
            <v>8mmØ Deformed Bars</v>
          </cell>
        </row>
        <row r="1147">
          <cell r="D1147" t="str">
            <v>6mmØ Deformed Bars</v>
          </cell>
        </row>
        <row r="1148">
          <cell r="D1148" t="str">
            <v>10mmØ x 6m Square Bar</v>
          </cell>
        </row>
        <row r="1149">
          <cell r="D1149" t="str">
            <v>12mmØ x 6m Square Bar</v>
          </cell>
        </row>
        <row r="1150">
          <cell r="D1150" t="str">
            <v>10mmØ Plain Round Bars</v>
          </cell>
        </row>
        <row r="1151">
          <cell r="D1151" t="str">
            <v>12mmØ Plain Round Bars</v>
          </cell>
        </row>
        <row r="1153">
          <cell r="D1153" t="str">
            <v>( ADHESSIVE )</v>
          </cell>
        </row>
        <row r="1154">
          <cell r="D1154" t="str">
            <v>SQUARE BAR</v>
          </cell>
        </row>
        <row r="1155">
          <cell r="D1155" t="str">
            <v>10mmØ x 6m Square Bar</v>
          </cell>
        </row>
        <row r="1156">
          <cell r="D1156" t="str">
            <v>12mmØ x 6m Square Bar</v>
          </cell>
        </row>
        <row r="1157">
          <cell r="D1157" t="str">
            <v>16mmØ x 6m Square Bar</v>
          </cell>
        </row>
        <row r="1158">
          <cell r="D1158" t="str">
            <v>Steel Channel, 6 x 13</v>
          </cell>
        </row>
        <row r="1159">
          <cell r="D1159" t="str">
            <v>1.2mm x 2"x 6" C-Purlins</v>
          </cell>
        </row>
        <row r="1160">
          <cell r="D1160" t="str">
            <v>( ADHESSIVE )</v>
          </cell>
        </row>
        <row r="1161">
          <cell r="D1161" t="str">
            <v>Epoxy Pioner</v>
          </cell>
        </row>
        <row r="1162">
          <cell r="D1162" t="str">
            <v>1.2mm x 2"x 3" C-Purlins</v>
          </cell>
        </row>
        <row r="1163">
          <cell r="D1163" t="str">
            <v>( STEEL CHANNEL)</v>
          </cell>
        </row>
        <row r="1164">
          <cell r="D1164" t="str">
            <v>Steel Channel, 4 x 7.25</v>
          </cell>
        </row>
        <row r="1165">
          <cell r="D1165" t="str">
            <v>Steel Channel, 6 x 13</v>
          </cell>
        </row>
        <row r="1166">
          <cell r="D1166" t="str">
            <v>1.2mm x 2"x 6" C-Purlins</v>
          </cell>
        </row>
        <row r="1167">
          <cell r="D1167" t="str">
            <v>1.2mm x 2"x 4" C-Purlins</v>
          </cell>
        </row>
        <row r="1168">
          <cell r="D1168" t="str">
            <v>1.2mm x 1-1/2"x 4" C-Purlins</v>
          </cell>
        </row>
        <row r="1169">
          <cell r="D1169" t="str">
            <v>1.2mm x 2"x 3" C-Purlins</v>
          </cell>
        </row>
        <row r="1170">
          <cell r="D1170" t="str">
            <v>1.0mm x 2"x 3" C-Purlins</v>
          </cell>
        </row>
        <row r="1171">
          <cell r="D1171" t="str">
            <v>1.0mm x 1-1/2"x 3" C-Purlins</v>
          </cell>
        </row>
        <row r="1172">
          <cell r="D1172" t="str">
            <v>0.9mm x 2"x 6" C-Purlins</v>
          </cell>
        </row>
        <row r="1173">
          <cell r="D1173" t="str">
            <v>0.9mm x 1"x 4" C-Purlins</v>
          </cell>
        </row>
        <row r="1174">
          <cell r="D1174" t="str">
            <v>0.9mm x 2"x 4" C-Purlins</v>
          </cell>
        </row>
        <row r="1175">
          <cell r="D1175" t="str">
            <v>0.8mm x 2"x 3" C-Purlins</v>
          </cell>
        </row>
        <row r="1176">
          <cell r="D1176" t="str">
            <v>0.8mm x 1-1/2"x 4" C-Purlins</v>
          </cell>
        </row>
        <row r="1177">
          <cell r="D1177" t="str">
            <v>0.8mm x 1-1/2"x 3" C-Purlins</v>
          </cell>
        </row>
        <row r="1179">
          <cell r="D1179" t="str">
            <v>(ROOFING)</v>
          </cell>
        </row>
        <row r="1181">
          <cell r="D1181" t="str">
            <v>Corr. Galvalum Sheets, x 8'</v>
          </cell>
        </row>
        <row r="1182">
          <cell r="D1182" t="str">
            <v>Corr. Galvalum Sheets, x 10'</v>
          </cell>
        </row>
        <row r="1183">
          <cell r="D1183" t="str">
            <v>Corr. Galvalum Sheets, x 12'</v>
          </cell>
        </row>
      </sheetData>
      <sheetData sheetId="7" refreshError="1">
        <row r="3">
          <cell r="D3" t="b">
            <v>1</v>
          </cell>
        </row>
        <row r="4">
          <cell r="D4">
            <v>1.1499999999999999</v>
          </cell>
        </row>
        <row r="5">
          <cell r="D5" t="str">
            <v>Iligan City</v>
          </cell>
        </row>
        <row r="7">
          <cell r="D7" t="str">
            <v>Civil Engineer</v>
          </cell>
        </row>
        <row r="8">
          <cell r="D8" t="str">
            <v>Foreman</v>
          </cell>
        </row>
        <row r="9">
          <cell r="D9" t="str">
            <v>Carpenter</v>
          </cell>
        </row>
        <row r="10">
          <cell r="D10" t="str">
            <v>Mason</v>
          </cell>
        </row>
        <row r="11">
          <cell r="D11" t="str">
            <v>Steelman</v>
          </cell>
        </row>
        <row r="12">
          <cell r="D12" t="str">
            <v>Electrician</v>
          </cell>
        </row>
        <row r="13">
          <cell r="D13" t="str">
            <v>Tinsmith</v>
          </cell>
        </row>
        <row r="14">
          <cell r="D14" t="str">
            <v>Welder</v>
          </cell>
        </row>
        <row r="15">
          <cell r="D15" t="str">
            <v>Plumber</v>
          </cell>
        </row>
        <row r="16">
          <cell r="D16" t="str">
            <v>Painter</v>
          </cell>
        </row>
        <row r="17">
          <cell r="D17" t="str">
            <v>HE Operator</v>
          </cell>
        </row>
        <row r="18">
          <cell r="D18" t="str">
            <v>Backhoe Operator</v>
          </cell>
        </row>
        <row r="19">
          <cell r="D19" t="str">
            <v>Road Grader Operator</v>
          </cell>
        </row>
        <row r="20">
          <cell r="D20" t="str">
            <v>Water Truck Operator</v>
          </cell>
        </row>
        <row r="21">
          <cell r="D21" t="str">
            <v>Dump Truck Operator</v>
          </cell>
        </row>
        <row r="22">
          <cell r="D22" t="str">
            <v>Road Roller Operator</v>
          </cell>
        </row>
        <row r="23">
          <cell r="D23" t="str">
            <v>Payloader Operator</v>
          </cell>
        </row>
        <row r="24">
          <cell r="D24" t="str">
            <v>Bulldozer Operator</v>
          </cell>
        </row>
        <row r="25">
          <cell r="D25" t="str">
            <v>Transit Mixer Operator</v>
          </cell>
        </row>
        <row r="26">
          <cell r="D26" t="str">
            <v>Cement Batching Plant Crew</v>
          </cell>
        </row>
        <row r="27">
          <cell r="D27" t="str">
            <v>Transit Mixer Helper</v>
          </cell>
        </row>
        <row r="28">
          <cell r="D28" t="str">
            <v>Barge Mounted Crane Operator</v>
          </cell>
        </row>
        <row r="29">
          <cell r="D29" t="str">
            <v>Truck Mounted Crane Operator</v>
          </cell>
        </row>
        <row r="30">
          <cell r="D30" t="str">
            <v>Tile Setter</v>
          </cell>
        </row>
        <row r="31">
          <cell r="D31" t="str">
            <v>Laborer (Bagger Mixer Crew)</v>
          </cell>
        </row>
        <row r="32">
          <cell r="D32" t="str">
            <v>Laborer</v>
          </cell>
        </row>
        <row r="33">
          <cell r="D33" t="str">
            <v>Laborer (Spreading/Grading)</v>
          </cell>
        </row>
        <row r="34">
          <cell r="D34" t="str">
            <v>Laborer (Tampering/Compacting)</v>
          </cell>
        </row>
        <row r="35">
          <cell r="D35" t="str">
            <v>Laborer (Rock laying/filing)</v>
          </cell>
        </row>
        <row r="36">
          <cell r="D36" t="str">
            <v>Laborer (Hauling)</v>
          </cell>
        </row>
        <row r="37">
          <cell r="D37" t="str">
            <v>Instrument Man</v>
          </cell>
        </row>
        <row r="38">
          <cell r="D38" t="str">
            <v>Survey Aide</v>
          </cell>
        </row>
        <row r="39">
          <cell r="D39" t="str">
            <v>Concrete Vibrator Operator</v>
          </cell>
        </row>
        <row r="40">
          <cell r="D40" t="str">
            <v>Concrete Vibrator Operator</v>
          </cell>
        </row>
      </sheetData>
      <sheetData sheetId="8" refreshError="1"/>
      <sheetData sheetId="9" refreshError="1">
        <row r="6">
          <cell r="D6">
            <v>1.2</v>
          </cell>
        </row>
        <row r="8">
          <cell r="D8" t="str">
            <v>Iligan City</v>
          </cell>
        </row>
        <row r="10">
          <cell r="D10" t="str">
            <v>Backhoe</v>
          </cell>
        </row>
        <row r="11">
          <cell r="D11" t="str">
            <v>Backhoe w/ breaker</v>
          </cell>
        </row>
        <row r="12">
          <cell r="D12" t="str">
            <v>Road Grader</v>
          </cell>
        </row>
        <row r="13">
          <cell r="D13" t="str">
            <v>Road Roller</v>
          </cell>
        </row>
        <row r="14">
          <cell r="D14" t="str">
            <v>Pay Loader</v>
          </cell>
        </row>
        <row r="15">
          <cell r="D15" t="str">
            <v>Dump Truck</v>
          </cell>
        </row>
        <row r="16">
          <cell r="D16" t="str">
            <v>Transit Mixer</v>
          </cell>
        </row>
        <row r="17">
          <cell r="D17" t="str">
            <v>Water Truck</v>
          </cell>
        </row>
        <row r="18">
          <cell r="D18" t="str">
            <v>Bulldozer - D8</v>
          </cell>
        </row>
        <row r="19">
          <cell r="D19" t="str">
            <v>Dredger Vessel</v>
          </cell>
        </row>
        <row r="20">
          <cell r="D20" t="str">
            <v>Truck Mounted Crane (20T)</v>
          </cell>
        </row>
        <row r="21">
          <cell r="D21" t="str">
            <v>Truck Mounted Crane w/ Bucket</v>
          </cell>
        </row>
        <row r="22">
          <cell r="D22" t="str">
            <v>Truck Mounted Crane (35T)</v>
          </cell>
        </row>
        <row r="23">
          <cell r="D23" t="str">
            <v>Truck Mounted Crane (40T)</v>
          </cell>
        </row>
        <row r="24">
          <cell r="D24" t="str">
            <v>Truck Mounted Crane (50T)</v>
          </cell>
        </row>
        <row r="25">
          <cell r="D25" t="str">
            <v>Truck Mounted Crane (60T)</v>
          </cell>
        </row>
        <row r="26">
          <cell r="D26" t="str">
            <v>Truck Mounted Crane w/ Bucket (60T)</v>
          </cell>
        </row>
        <row r="27">
          <cell r="D27" t="str">
            <v>Barge</v>
          </cell>
        </row>
        <row r="28">
          <cell r="D28" t="str">
            <v>Barge Mounted Crane (40T)</v>
          </cell>
        </row>
        <row r="29">
          <cell r="D29" t="str">
            <v>Barge Mounted Crane (50T)</v>
          </cell>
        </row>
        <row r="30">
          <cell r="D30" t="str">
            <v>Barge Mounted Crane (60T)</v>
          </cell>
        </row>
        <row r="31">
          <cell r="D31" t="str">
            <v>D-22 Diesel Hammer</v>
          </cell>
        </row>
        <row r="32">
          <cell r="D32" t="str">
            <v>D-35 Diesel Hammer</v>
          </cell>
        </row>
        <row r="33">
          <cell r="D33" t="str">
            <v>Tractor-Drawn Roller (1-d)</v>
          </cell>
        </row>
        <row r="34">
          <cell r="D34" t="str">
            <v>Tandem Roller</v>
          </cell>
        </row>
        <row r="35">
          <cell r="D35" t="str">
            <v>Mini-Excavator</v>
          </cell>
        </row>
        <row r="36">
          <cell r="D36" t="str">
            <v>Skid-Steer Loader</v>
          </cell>
        </row>
        <row r="37">
          <cell r="D37" t="str">
            <v>Road Maintener</v>
          </cell>
        </row>
        <row r="38">
          <cell r="D38" t="str">
            <v>Diesel Hammer</v>
          </cell>
        </row>
        <row r="39">
          <cell r="D39" t="str">
            <v>Drop Hammer</v>
          </cell>
        </row>
        <row r="40">
          <cell r="D40" t="str">
            <v>Percussion</v>
          </cell>
        </row>
        <row r="41">
          <cell r="D41" t="str">
            <v>Rammers</v>
          </cell>
        </row>
        <row r="42">
          <cell r="D42" t="str">
            <v>Vibratory Hammer</v>
          </cell>
        </row>
        <row r="43">
          <cell r="D43" t="str">
            <v>Barge Mounted Vibratory Hammer</v>
          </cell>
        </row>
        <row r="44">
          <cell r="D44" t="str">
            <v>Jack Hammer w/ Compressor</v>
          </cell>
        </row>
        <row r="45">
          <cell r="D45" t="str">
            <v>( LIGHT EQUIPMENT )</v>
          </cell>
        </row>
        <row r="46">
          <cell r="D46" t="str">
            <v>Buggy</v>
          </cell>
        </row>
        <row r="47">
          <cell r="D47" t="str">
            <v>Wheel borrow</v>
          </cell>
        </row>
        <row r="48">
          <cell r="D48" t="str">
            <v>2" Heavy Duty Pulley</v>
          </cell>
        </row>
        <row r="49">
          <cell r="D49" t="str">
            <v>Concrete Mixer (1-bagger)</v>
          </cell>
        </row>
        <row r="50">
          <cell r="D50" t="str">
            <v>Concrete Vibrator</v>
          </cell>
        </row>
        <row r="51">
          <cell r="D51" t="str">
            <v>Plate Compactor</v>
          </cell>
        </row>
        <row r="52">
          <cell r="D52" t="str">
            <v>Concrete Cutter Saw</v>
          </cell>
        </row>
        <row r="53">
          <cell r="D53" t="str">
            <v>Air Compressor</v>
          </cell>
        </row>
        <row r="54">
          <cell r="D54" t="str">
            <v>Bar Cutter</v>
          </cell>
        </row>
        <row r="55">
          <cell r="D55" t="str">
            <v>Bar Bender</v>
          </cell>
        </row>
        <row r="56">
          <cell r="D56" t="str">
            <v>Motorized Water Pump</v>
          </cell>
        </row>
        <row r="57">
          <cell r="D57" t="str">
            <v>Portable Drilling Rig</v>
          </cell>
        </row>
        <row r="58">
          <cell r="D58" t="str">
            <v>Electric Welding Machine</v>
          </cell>
        </row>
        <row r="59">
          <cell r="D59" t="str">
            <v>A/O Gas Welding Machine &amp; Outfits</v>
          </cell>
        </row>
        <row r="60">
          <cell r="D60" t="str">
            <v>Diesel Engine Generator</v>
          </cell>
        </row>
        <row r="61">
          <cell r="D61" t="str">
            <v>Electric Grinder</v>
          </cell>
        </row>
        <row r="62">
          <cell r="D62" t="str">
            <v>Electric Drill</v>
          </cell>
        </row>
        <row r="63">
          <cell r="D63" t="str">
            <v>Steel Tri-Boom</v>
          </cell>
        </row>
        <row r="64">
          <cell r="D64" t="str">
            <v>Pulley</v>
          </cell>
        </row>
        <row r="65">
          <cell r="D65" t="str">
            <v>Plumber's Tools</v>
          </cell>
        </row>
        <row r="66">
          <cell r="D66" t="str">
            <v>Truck-mounted Drilling Rig, Rotary</v>
          </cell>
        </row>
        <row r="67">
          <cell r="D67" t="str">
            <v>( HAULERS )</v>
          </cell>
        </row>
        <row r="68">
          <cell r="D68" t="str">
            <v>Dump Truck (6-wheeler)</v>
          </cell>
        </row>
        <row r="69">
          <cell r="D69" t="str">
            <v>2-1/2 T Dump Truck (Baby DT)</v>
          </cell>
        </row>
        <row r="70">
          <cell r="D70" t="str">
            <v>Concrete Batching Plant</v>
          </cell>
        </row>
      </sheetData>
      <sheetData sheetId="10" refreshError="1">
        <row r="7">
          <cell r="B7" t="str">
            <v>Scope of Works</v>
          </cell>
        </row>
        <row r="8">
          <cell r="B8" t="str">
            <v>Mobilization &amp; Demobilization</v>
          </cell>
        </row>
        <row r="9">
          <cell r="B9" t="str">
            <v>MOBILIZATION &amp; DEMOBILIZATION</v>
          </cell>
        </row>
        <row r="10">
          <cell r="B10" t="str">
            <v>Mobilization and Demobilization</v>
          </cell>
        </row>
        <row r="11">
          <cell r="B11" t="str">
            <v>FACILITIES FOR ENGINEER</v>
          </cell>
        </row>
        <row r="12">
          <cell r="B12" t="str">
            <v>Facilities for Engineers</v>
          </cell>
        </row>
        <row r="14">
          <cell r="B14" t="str">
            <v>TEMPORARY FACILITIES</v>
          </cell>
        </row>
        <row r="15">
          <cell r="B15" t="str">
            <v>TEMPORARY FACILITY FOR ENGINEERS</v>
          </cell>
        </row>
        <row r="16">
          <cell r="B16" t="str">
            <v>TEMPORARY FACILITY, SIGNAGE &amp; PERMITS</v>
          </cell>
        </row>
        <row r="17">
          <cell r="B17" t="str">
            <v>Temporary Facility for Engineer</v>
          </cell>
        </row>
        <row r="18">
          <cell r="B18" t="str">
            <v>Temporary Facilities.</v>
          </cell>
        </row>
        <row r="19">
          <cell r="B19" t="str">
            <v>Temporary Facilities &amp; Signages</v>
          </cell>
        </row>
        <row r="20">
          <cell r="B20" t="str">
            <v>PERMITS &amp; LICENSES</v>
          </cell>
        </row>
        <row r="21">
          <cell r="B21" t="str">
            <v>BUILDING PERMITS</v>
          </cell>
        </row>
        <row r="24">
          <cell r="B24" t="str">
            <v>SITE WORKS</v>
          </cell>
        </row>
        <row r="26">
          <cell r="B26" t="str">
            <v>Site Clearing</v>
          </cell>
        </row>
        <row r="27">
          <cell r="B27" t="str">
            <v>Layout of Lines &amp; Grades</v>
          </cell>
        </row>
        <row r="29">
          <cell r="B29" t="str">
            <v xml:space="preserve"> EARTHWORKS</v>
          </cell>
        </row>
        <row r="30">
          <cell r="B30" t="str">
            <v>Earthworks</v>
          </cell>
        </row>
        <row r="31">
          <cell r="B31" t="str">
            <v>Structural Excavation</v>
          </cell>
        </row>
        <row r="32">
          <cell r="B32" t="str">
            <v>Structural Excavation (Mech'l)</v>
          </cell>
        </row>
        <row r="33">
          <cell r="B33" t="str">
            <v>Structural Excavation (Soft Wet Sand)</v>
          </cell>
        </row>
        <row r="34">
          <cell r="B34" t="str">
            <v>Structural Embankment</v>
          </cell>
        </row>
        <row r="35">
          <cell r="B35" t="str">
            <v>Structural Backfill</v>
          </cell>
        </row>
        <row r="36">
          <cell r="B36" t="str">
            <v>Common Embankment Fill</v>
          </cell>
        </row>
        <row r="37">
          <cell r="B37" t="str">
            <v>Core Rock Fill (30 kg/pc)</v>
          </cell>
        </row>
        <row r="38">
          <cell r="B38" t="str">
            <v>Core Rock Fill (2 - 4 kg/pc)</v>
          </cell>
        </row>
        <row r="39">
          <cell r="B39" t="str">
            <v>Core Rock Fill (0.04 - 0.3 kg/pc)</v>
          </cell>
        </row>
        <row r="40">
          <cell r="B40" t="str">
            <v>Boulders Fill</v>
          </cell>
        </row>
        <row r="42">
          <cell r="B42" t="str">
            <v>Item 101 (1) - Removal of Structures and Obstruction</v>
          </cell>
        </row>
        <row r="43">
          <cell r="B43" t="str">
            <v>Item 102 (1) - Excavation</v>
          </cell>
        </row>
        <row r="44">
          <cell r="B44" t="str">
            <v>Item 103 (6) - Pipe Culverts and Drain Excavation</v>
          </cell>
        </row>
        <row r="45">
          <cell r="B45" t="str">
            <v>Item 103 (3) - Foundation Fill</v>
          </cell>
        </row>
        <row r="46">
          <cell r="B46" t="str">
            <v>Item 104 (1)a - Embankment</v>
          </cell>
        </row>
        <row r="47">
          <cell r="B47" t="str">
            <v>Item 405 (1)c - Structural Concrete</v>
          </cell>
        </row>
        <row r="48">
          <cell r="B48" t="str">
            <v>Item 404 (1)c - Reinforcing Steel</v>
          </cell>
        </row>
        <row r="49">
          <cell r="B49" t="str">
            <v>Item 500 - Pipe Culverts and Storm Drains</v>
          </cell>
        </row>
        <row r="50">
          <cell r="B50" t="str">
            <v>Item 505 - Stone Masonry</v>
          </cell>
        </row>
        <row r="52">
          <cell r="B52" t="str">
            <v>Excavation for Armour Rock Foundation</v>
          </cell>
        </row>
        <row r="53">
          <cell r="B53" t="str">
            <v>Granular Fill</v>
          </cell>
        </row>
        <row r="54">
          <cell r="B54" t="str">
            <v>Gravel Bedding for Cross Drain</v>
          </cell>
        </row>
        <row r="55">
          <cell r="B55" t="str">
            <v>Excavation for Steel Pipe Pile Foundation</v>
          </cell>
        </row>
        <row r="59">
          <cell r="B59" t="str">
            <v>Gravel Fill</v>
          </cell>
        </row>
        <row r="61">
          <cell r="B61" t="str">
            <v>Pipe Trench Excavation (25mmØ Pipe)</v>
          </cell>
        </row>
        <row r="62">
          <cell r="B62" t="str">
            <v>Pipe Trench Excavation (32mmØ Pipe)</v>
          </cell>
        </row>
        <row r="63">
          <cell r="B63" t="str">
            <v>Pipe Trench Excavation (40mmØ Pipe)</v>
          </cell>
        </row>
        <row r="64">
          <cell r="B64" t="str">
            <v>Pipe Trench Excavation (50mmØ Pipe)</v>
          </cell>
        </row>
        <row r="65">
          <cell r="B65" t="str">
            <v>Pipe Trench Excavation (63mmØ Pipe)</v>
          </cell>
        </row>
        <row r="66">
          <cell r="B66" t="str">
            <v>Pipe Trench Excavation (75mmØ Pipe)</v>
          </cell>
        </row>
        <row r="67">
          <cell r="B67" t="str">
            <v>Pipe Trench Excavation (90mmØ Pipe)</v>
          </cell>
        </row>
        <row r="69">
          <cell r="B69" t="str">
            <v>ROCK WORKS</v>
          </cell>
        </row>
        <row r="71">
          <cell r="B71" t="str">
            <v>Supply &amp; Install Grouted Riprap</v>
          </cell>
        </row>
        <row r="72">
          <cell r="B72" t="str">
            <v>Supply &amp; Install Armour Rocks</v>
          </cell>
        </row>
        <row r="73">
          <cell r="B73" t="str">
            <v>Rockfill for Retaining Wall</v>
          </cell>
        </row>
        <row r="74">
          <cell r="B74" t="str">
            <v>Rockfill for Armour Rock Foundation</v>
          </cell>
        </row>
        <row r="81">
          <cell r="B81" t="str">
            <v>CONCRETE PAVEMENT BASE PREPARATION</v>
          </cell>
        </row>
        <row r="84">
          <cell r="B84" t="str">
            <v>BUILDING  EARTHWORKS</v>
          </cell>
        </row>
        <row r="87">
          <cell r="B87" t="str">
            <v>Gravel Bedding</v>
          </cell>
        </row>
        <row r="88">
          <cell r="B88" t="str">
            <v>Backfilling with Compaction</v>
          </cell>
        </row>
        <row r="90">
          <cell r="B90" t="str">
            <v>CONCRETE WORKS</v>
          </cell>
        </row>
        <row r="92">
          <cell r="B92" t="str">
            <v>Concrete Class "A"</v>
          </cell>
        </row>
        <row r="93">
          <cell r="B93" t="str">
            <v>Concrete Class "B"</v>
          </cell>
        </row>
        <row r="94">
          <cell r="B94" t="str">
            <v>Concrete Class "C"</v>
          </cell>
        </row>
        <row r="95">
          <cell r="B95" t="str">
            <v>Lean Concrete</v>
          </cell>
        </row>
        <row r="96">
          <cell r="B96" t="str">
            <v>Supply &amp; Place 21 MPa Concrete</v>
          </cell>
        </row>
        <row r="97">
          <cell r="B97" t="str">
            <v>Supply &amp; Place 25 MPa Concrete</v>
          </cell>
        </row>
        <row r="98">
          <cell r="B98" t="str">
            <v>Supply &amp; Place 30 MPa Concrete</v>
          </cell>
        </row>
        <row r="99">
          <cell r="B99" t="str">
            <v>Supply &amp; Place 35 MPa Concrete</v>
          </cell>
        </row>
        <row r="100">
          <cell r="B100" t="str">
            <v>Supply &amp; Place 30 MPa Concrete incl. Formworks</v>
          </cell>
        </row>
        <row r="101">
          <cell r="B101" t="str">
            <v>Supply &amp; Place 35 MPa Concrete incl. Formworks</v>
          </cell>
        </row>
        <row r="102">
          <cell r="B102" t="str">
            <v>Supply &amp; Place 30 MPa Concrete (Pile Coping)</v>
          </cell>
        </row>
        <row r="103">
          <cell r="B103" t="str">
            <v>Supply &amp; Place 25 MPa Concrete Stair</v>
          </cell>
        </row>
        <row r="104">
          <cell r="B104" t="str">
            <v>Supply &amp; Place 17 MPa Lean Concrete</v>
          </cell>
        </row>
        <row r="105">
          <cell r="B105" t="str">
            <v>Supply &amp; Place Type V Concrete, 30 MPa / 4350 psi</v>
          </cell>
        </row>
        <row r="106">
          <cell r="B106" t="str">
            <v>CONSTRUCTION OF RETAINING WALL</v>
          </cell>
        </row>
        <row r="108">
          <cell r="B108" t="str">
            <v>Precast Concrete Slab (25 Mpa)</v>
          </cell>
        </row>
        <row r="109">
          <cell r="B109" t="str">
            <v>CONCRETE ANCHOR BLOCK</v>
          </cell>
        </row>
        <row r="110">
          <cell r="B110" t="str">
            <v>Construct Concrete Curb &amp; Gutter</v>
          </cell>
        </row>
        <row r="111">
          <cell r="B111" t="str">
            <v>Construct Concrete Sidewalk</v>
          </cell>
        </row>
        <row r="115">
          <cell r="B115" t="str">
            <v>STAIR LANDING WORKS</v>
          </cell>
        </row>
        <row r="116">
          <cell r="B116" t="str">
            <v>Concrete Stair</v>
          </cell>
        </row>
        <row r="117">
          <cell r="B117" t="str">
            <v>Precast Concrete Stair Landing</v>
          </cell>
        </row>
        <row r="118">
          <cell r="B118" t="str">
            <v>R.C. BOX CULVERT "A"</v>
          </cell>
        </row>
        <row r="119">
          <cell r="B119" t="str">
            <v>R.C. BOX CULVERT "B"</v>
          </cell>
        </row>
        <row r="120">
          <cell r="B120" t="str">
            <v>R.C. COVERED DITCH</v>
          </cell>
        </row>
        <row r="121">
          <cell r="B121" t="str">
            <v>Supply &amp; Place 30 MPa Concrete</v>
          </cell>
        </row>
        <row r="130">
          <cell r="B130" t="str">
            <v xml:space="preserve"> MASONRY WORKS</v>
          </cell>
        </row>
        <row r="132">
          <cell r="B132" t="str">
            <v>4" CHB</v>
          </cell>
        </row>
        <row r="133">
          <cell r="B133" t="str">
            <v>6" CHB</v>
          </cell>
        </row>
        <row r="134">
          <cell r="B134" t="str">
            <v>Construct 150mm CHB Wall</v>
          </cell>
        </row>
        <row r="135">
          <cell r="B135" t="str">
            <v>Cement Plastering</v>
          </cell>
        </row>
        <row r="136">
          <cell r="B136" t="str">
            <v>Grouted Riprap</v>
          </cell>
        </row>
        <row r="138">
          <cell r="B138" t="str">
            <v>FINISHING WORKS</v>
          </cell>
        </row>
        <row r="140">
          <cell r="B140" t="str">
            <v>Provide Plain Cement Plaster Finish</v>
          </cell>
        </row>
        <row r="141">
          <cell r="B141" t="str">
            <v>Apply Painted Finish on Concrete</v>
          </cell>
        </row>
        <row r="142">
          <cell r="B142" t="str">
            <v>Supply &amp; Install Roof Waterproofing</v>
          </cell>
        </row>
        <row r="144">
          <cell r="B144" t="str">
            <v>FENESTRATION</v>
          </cell>
        </row>
        <row r="146">
          <cell r="B146" t="str">
            <v>Supply and Install Door Type D-1 (0.80 x 2.10m.) Complete with Door and all Accessories</v>
          </cell>
        </row>
        <row r="147">
          <cell r="B147" t="str">
            <v>Supply and Install Window Type W-1 (1.8 x 1.3m.) Complete with Window Jamb, Steel Grilles, etc.</v>
          </cell>
        </row>
        <row r="148">
          <cell r="B148" t="str">
            <v>Supply and Install Window Type W-2 (0.6 x 1.3m.) Complete with Window Jamb, Steel Grilles, etc.</v>
          </cell>
        </row>
        <row r="149">
          <cell r="B149" t="str">
            <v>Supply and Install Window Type W-1 (0.90 x 1.3m.) Complete with Window Jamb, Steel Grilles, etc.</v>
          </cell>
        </row>
        <row r="151">
          <cell r="B151" t="str">
            <v>Supply and Install Door Type D-1 (0.70 x 2.10m.) Complete with Door and all Accessories</v>
          </cell>
        </row>
        <row r="152">
          <cell r="B152" t="str">
            <v>Supply and Install Door Type D-2 (0.70 x 2.0m.) Complete with Door and all Accessories</v>
          </cell>
        </row>
        <row r="153">
          <cell r="B153" t="str">
            <v>Supply and Install Door Type D-3 (0.70 x 1.40m.) Complete with Door and all Accessories</v>
          </cell>
        </row>
        <row r="154">
          <cell r="B154" t="str">
            <v>Supply and Install Window Type W-1 (0.60 x 0.5m.) Complete with Window Jamb, etc.</v>
          </cell>
        </row>
        <row r="160">
          <cell r="B160" t="str">
            <v>Door 1 - Community Center 1</v>
          </cell>
        </row>
        <row r="161">
          <cell r="B161" t="str">
            <v>Door 2 - Community Center 1</v>
          </cell>
        </row>
        <row r="162">
          <cell r="B162" t="str">
            <v>Window 1 - Community Center 1</v>
          </cell>
        </row>
        <row r="163">
          <cell r="B163" t="str">
            <v>Window 2 - Community Center 1</v>
          </cell>
        </row>
        <row r="164">
          <cell r="B164" t="str">
            <v>Window 3 - Community Center 1</v>
          </cell>
        </row>
        <row r="166">
          <cell r="B166" t="str">
            <v>Door 1 - Community Center 2</v>
          </cell>
        </row>
        <row r="167">
          <cell r="B167" t="str">
            <v>Door 2 - Community Center 2</v>
          </cell>
        </row>
        <row r="168">
          <cell r="B168" t="str">
            <v>Window 1 - Community Center 2</v>
          </cell>
        </row>
        <row r="169">
          <cell r="B169" t="str">
            <v>Window 2 - Community Center 2</v>
          </cell>
        </row>
        <row r="170">
          <cell r="B170" t="str">
            <v>Window 3 - Community Center 2</v>
          </cell>
        </row>
        <row r="172">
          <cell r="B172" t="str">
            <v>Door 1 - Trading Center 1</v>
          </cell>
        </row>
        <row r="173">
          <cell r="B173" t="str">
            <v>Door 2 - Trading Center 1</v>
          </cell>
        </row>
        <row r="174">
          <cell r="B174" t="str">
            <v>Window 1 - Trading Center 1</v>
          </cell>
        </row>
        <row r="175">
          <cell r="B175" t="str">
            <v>Window 2 - Trading Center 1</v>
          </cell>
        </row>
        <row r="176">
          <cell r="B176" t="str">
            <v>Window 3 - Trading Center 1</v>
          </cell>
        </row>
        <row r="185">
          <cell r="B185" t="str">
            <v>DRAINAGE WORKS</v>
          </cell>
        </row>
        <row r="187">
          <cell r="B187" t="str">
            <v>CONSTRUCT CROSS-DRAIN</v>
          </cell>
        </row>
        <row r="188">
          <cell r="B188" t="str">
            <v>Supply and Install RCP, 610mmØ</v>
          </cell>
        </row>
        <row r="189">
          <cell r="B189" t="str">
            <v>Supply &amp; Install Concrete Headwall &amp; Outfall</v>
          </cell>
        </row>
        <row r="191">
          <cell r="B191" t="str">
            <v>PORT CONSTRUCTION</v>
          </cell>
        </row>
        <row r="193">
          <cell r="B193" t="str">
            <v>CONSTRUCTION OF R.C. PIER EXTENTION-1, 9m x 27m.</v>
          </cell>
        </row>
        <row r="194">
          <cell r="B194" t="str">
            <v>CONSTRUCTION OF R.C. PIER EXTENTION-2, 9m x 12m.</v>
          </cell>
        </row>
        <row r="195">
          <cell r="B195" t="str">
            <v>CONSTRUCTION OF R.C. PIER EXTENTION</v>
          </cell>
        </row>
        <row r="196">
          <cell r="B196" t="str">
            <v>CONSTRUCTION OF BOAT LANDING</v>
          </cell>
        </row>
        <row r="197">
          <cell r="B197" t="str">
            <v>CONSTRUCTION OF BULKHEAD TYPE WHARF &amp; RORO RAMP</v>
          </cell>
        </row>
        <row r="198">
          <cell r="B198" t="str">
            <v>CONSTRUCTION OF WHARF EXTENSION &amp; RORO RAMP</v>
          </cell>
        </row>
        <row r="201">
          <cell r="B201" t="str">
            <v>PRECAST CONCRETE WORKS</v>
          </cell>
        </row>
        <row r="202">
          <cell r="B202" t="str">
            <v/>
          </cell>
        </row>
        <row r="203">
          <cell r="B203" t="str">
            <v>Supply &amp; Place 35 MPa Precast Concrete Slab</v>
          </cell>
        </row>
        <row r="204">
          <cell r="B204" t="str">
            <v>Supply &amp; Place 35 MPa Precast Concrete Beam</v>
          </cell>
        </row>
        <row r="205">
          <cell r="B205" t="str">
            <v>Supply &amp; Place Non-Shrink Grout on Precast Concrete Beam</v>
          </cell>
        </row>
        <row r="207">
          <cell r="B207" t="str">
            <v>Supply &amp; Place Non-Shrink Grout on Precast Concrete Beam &amp; Slab</v>
          </cell>
        </row>
        <row r="218">
          <cell r="B218" t="str">
            <v>CAST IN-PLACE CONCRETE WORKS</v>
          </cell>
        </row>
        <row r="219">
          <cell r="B219" t="str">
            <v>Supply &amp; Place 30 MPa Cast in-place Concrete Slab incl. Formworks</v>
          </cell>
        </row>
        <row r="220">
          <cell r="B220" t="str">
            <v>Supply &amp; Place 30 MPa Cast in-place Concrete Beam incl. Formworks</v>
          </cell>
        </row>
        <row r="221">
          <cell r="B221" t="str">
            <v>Supply &amp; Place 30 MPa Cast in-place Concrete Deck Slab</v>
          </cell>
        </row>
        <row r="222">
          <cell r="B222" t="str">
            <v>Supply &amp; Place 30 MPa Cast in-place Concrete</v>
          </cell>
        </row>
        <row r="223">
          <cell r="B223" t="str">
            <v>Supply &amp; Place 30 MPa Cast in-place Concrete incl. Formworks</v>
          </cell>
        </row>
        <row r="225">
          <cell r="B225" t="str">
            <v>PILE SPLICING WORKS</v>
          </cell>
        </row>
        <row r="226">
          <cell r="B226" t="str">
            <v>Pile Splicing and its appurtenances</v>
          </cell>
        </row>
        <row r="228">
          <cell r="B228" t="str">
            <v>PILING WORKS</v>
          </cell>
        </row>
        <row r="230">
          <cell r="B230" t="str">
            <v>Supply and Drive Steel Pipe Test Piles, 450mmØ x 18m.</v>
          </cell>
        </row>
        <row r="231">
          <cell r="B231" t="str">
            <v>Supply Steel Pipe Pile, 450mmØ x 18m.</v>
          </cell>
        </row>
        <row r="232">
          <cell r="B232" t="str">
            <v>Handle Pitch and Drive Vertical Steel Pipe Pile</v>
          </cell>
        </row>
        <row r="233">
          <cell r="B233" t="str">
            <v>Handle Pitch and Drive Batter Steel Pipe Pile</v>
          </cell>
        </row>
        <row r="234">
          <cell r="B234" t="str">
            <v>Steel Pipe Pile Shoe (for 450mmØ Pile)</v>
          </cell>
        </row>
        <row r="235">
          <cell r="B235" t="str">
            <v>Steel Pipe Pile Tip Cladding (for 450mmØ Pile)</v>
          </cell>
        </row>
        <row r="237">
          <cell r="B237" t="str">
            <v>Fender Pile (Molave)</v>
          </cell>
        </row>
        <row r="238">
          <cell r="B238" t="str">
            <v>Timber Post (Molave)</v>
          </cell>
        </row>
        <row r="239">
          <cell r="B239" t="str">
            <v>Supply and Drive PSC Test Piles, 400mm x 400mm x 12m.</v>
          </cell>
        </row>
        <row r="240">
          <cell r="B240" t="str">
            <v>PSC Test Piles, 400mm x 400mm x 12m.</v>
          </cell>
        </row>
        <row r="241">
          <cell r="B241" t="str">
            <v>Supply and Drive PSC Test Piles, 400mm x 400mm x 14m.</v>
          </cell>
        </row>
        <row r="242">
          <cell r="B242" t="str">
            <v>PSC Test Piles, 400mm x 400mm x 14m.</v>
          </cell>
        </row>
        <row r="243">
          <cell r="B243" t="str">
            <v>Supply and Drive PSC Test Piles, 400mm x 400mm x 21m.</v>
          </cell>
        </row>
        <row r="244">
          <cell r="B244" t="str">
            <v>PSC Test Piles, 400mm x 400mm x 21m.</v>
          </cell>
        </row>
        <row r="245">
          <cell r="B245" t="str">
            <v>Supply and Drive PSC Test Piles, 400mm x 400mm x 24m.</v>
          </cell>
        </row>
        <row r="246">
          <cell r="B246" t="str">
            <v>PSC Test Piles, 400mm x 400mm x 24m.</v>
          </cell>
        </row>
        <row r="247">
          <cell r="B247" t="str">
            <v>Supply 400mm x 400mm PSC Pile, L=10m.</v>
          </cell>
        </row>
        <row r="248">
          <cell r="B248" t="str">
            <v>Supply 400mm x 400mm PSC Pile, L=12m.</v>
          </cell>
        </row>
        <row r="249">
          <cell r="B249" t="str">
            <v>Supply 400mm x 400mm PSC Pile, L=22m.</v>
          </cell>
        </row>
        <row r="250">
          <cell r="B250" t="str">
            <v>Supply 450mm x 450mm PSC Pile</v>
          </cell>
        </row>
        <row r="251">
          <cell r="B251" t="str">
            <v>Supply &amp; Drive PSC Test Piles, 450mm x 450mm Incl. Splicing</v>
          </cell>
        </row>
        <row r="252">
          <cell r="B252" t="str">
            <v>Handle Pitch and Drive PSC Vertical Pile, 450mm x 450mm</v>
          </cell>
        </row>
        <row r="253">
          <cell r="B253" t="str">
            <v>Handle Pitch and Drive PSC Batter  Piles, 450mm x 450mm</v>
          </cell>
        </row>
        <row r="255">
          <cell r="B255" t="str">
            <v>Handle Pitch and Drive PSC Vertical Pile, 400mm x 400mm</v>
          </cell>
        </row>
        <row r="256">
          <cell r="B256" t="str">
            <v>Handle Pitch and Drive PSC Batter  Piles, 400mm x 400mm</v>
          </cell>
        </row>
        <row r="258">
          <cell r="B258" t="str">
            <v>Handle Pitch and Drive Vertical PSC Pile including cutting</v>
          </cell>
        </row>
        <row r="259">
          <cell r="B259" t="str">
            <v>Handle Pitch Drive Batter PSC Pile including cutting</v>
          </cell>
        </row>
        <row r="261">
          <cell r="B261" t="str">
            <v>MOORING AND FENDERING SYSTEM</v>
          </cell>
        </row>
        <row r="262">
          <cell r="B262" t="str">
            <v>SEISMIC GAP PLATE &amp; RORO STEEL RAMP PROTECTION</v>
          </cell>
        </row>
        <row r="264">
          <cell r="B264" t="str">
            <v>MOORING SYSTEM</v>
          </cell>
        </row>
        <row r="266">
          <cell r="B266" t="str">
            <v>Supply &amp; Install V-Type Rubber Fender (200 x 1500mm)</v>
          </cell>
        </row>
        <row r="267">
          <cell r="B267" t="str">
            <v>Supply &amp; Install V-Type Rubber Fender (300 x 1500mm)</v>
          </cell>
        </row>
        <row r="268">
          <cell r="B268" t="str">
            <v>Supply &amp; Install V-Type Rubber Fender (400H x 1000mm)</v>
          </cell>
        </row>
        <row r="269">
          <cell r="B269" t="str">
            <v>Supply &amp; Install L Corner Type Rubber Fender (250H x 1000L x 1000L)</v>
          </cell>
        </row>
        <row r="270">
          <cell r="B270" t="str">
            <v>Supply &amp; Install Mooring Bollard (25T)</v>
          </cell>
        </row>
        <row r="271">
          <cell r="B271" t="str">
            <v>Supply &amp; Install Mooring Bollard (15T)</v>
          </cell>
        </row>
        <row r="272">
          <cell r="B272" t="str">
            <v>Supply &amp; Install Mooring Cleats (5T)</v>
          </cell>
        </row>
        <row r="273">
          <cell r="B273" t="str">
            <v>Supply &amp; Install Mooring Cleats (10T)</v>
          </cell>
        </row>
        <row r="274">
          <cell r="B274" t="str">
            <v>Supply &amp; Install Mooring Bitt (10T)</v>
          </cell>
        </row>
        <row r="275">
          <cell r="B275" t="str">
            <v>Supply &amp; Install Mooring Bitt (15T)</v>
          </cell>
        </row>
        <row r="276">
          <cell r="B276" t="str">
            <v>Supply &amp; Install 7-Pile Timber Dolphin (L=15m.)</v>
          </cell>
        </row>
        <row r="277">
          <cell r="B277" t="str">
            <v>Supply &amp; Install Wooden Mooring</v>
          </cell>
        </row>
        <row r="278">
          <cell r="B278" t="str">
            <v>Supply &amp; Install Rubber Tire Fender and its appurtenances</v>
          </cell>
        </row>
        <row r="280">
          <cell r="B280" t="str">
            <v>CONSTRUCTION OF R.C. PIER EXTENTION, 9m x 21m. (Fast Craft)</v>
          </cell>
        </row>
        <row r="281">
          <cell r="B281" t="str">
            <v>CONSTRUCTION OF RORO, 9m x 24m.</v>
          </cell>
        </row>
        <row r="282">
          <cell r="B282" t="str">
            <v>CONSTRUCTION OF TRANSITION PLATFORM 5m. X 11m.</v>
          </cell>
        </row>
        <row r="284">
          <cell r="B284" t="str">
            <v>SUPPLY AND INSTALL GATE, 8.5 meter width</v>
          </cell>
        </row>
        <row r="285">
          <cell r="B285" t="str">
            <v>CONSTRUCTION OF GUARD HOUSE, (2.00m. X 2.00m.)</v>
          </cell>
        </row>
        <row r="287">
          <cell r="B287" t="str">
            <v xml:space="preserve">TINSMITHRY </v>
          </cell>
        </row>
        <row r="289">
          <cell r="B289" t="str">
            <v>G.I. Sheet Roofing</v>
          </cell>
        </row>
        <row r="290">
          <cell r="B290" t="str">
            <v>Ga. #26 Corr. G.I. Sheet Roofing</v>
          </cell>
        </row>
        <row r="291">
          <cell r="B291" t="str">
            <v>Ga. #26 Plain G.I. Sheet Ridge Roll</v>
          </cell>
        </row>
        <row r="292">
          <cell r="B292" t="str">
            <v>Ga. #26 Plain G.I. Gutter</v>
          </cell>
        </row>
        <row r="293">
          <cell r="B293" t="str">
            <v>Ga. #26 Plain G.I. Flashing</v>
          </cell>
        </row>
        <row r="297">
          <cell r="B297" t="str">
            <v>CARPENTRY  WORKS</v>
          </cell>
        </row>
        <row r="299">
          <cell r="B299" t="str">
            <v>Timber Port - Beam (Yakal)</v>
          </cell>
        </row>
        <row r="300">
          <cell r="B300" t="str">
            <v>Timber Port - Beam (Yakal or equivalent)</v>
          </cell>
        </row>
        <row r="301">
          <cell r="B301" t="str">
            <v>Timber Port - Floor Joist (Yakal)</v>
          </cell>
        </row>
        <row r="302">
          <cell r="B302" t="str">
            <v>Timber Port - Floor Joist (Yakal or equivalent)</v>
          </cell>
        </row>
        <row r="303">
          <cell r="B303" t="str">
            <v>Timber Port - Floor Planks (Yakal)</v>
          </cell>
        </row>
        <row r="304">
          <cell r="B304" t="str">
            <v>Timber Port - Floor Planks (Yakal or equivalent)</v>
          </cell>
        </row>
        <row r="305">
          <cell r="B305" t="str">
            <v>Timber Port - Cross Bracing (Yakal)</v>
          </cell>
        </row>
        <row r="306">
          <cell r="B306" t="str">
            <v>Timber Port - Cross Bracing (Yakal or equivalent)</v>
          </cell>
        </row>
        <row r="307">
          <cell r="B307" t="str">
            <v>Timber Port - Bridging (Yakal)</v>
          </cell>
        </row>
        <row r="308">
          <cell r="B308" t="str">
            <v>Timber Port - Bridging (Yakal or equivalent)</v>
          </cell>
        </row>
        <row r="309">
          <cell r="B309" t="str">
            <v>Timber Port - Curb (Yakal)</v>
          </cell>
        </row>
        <row r="310">
          <cell r="B310" t="str">
            <v>Timber Port - Curb (Yakal or equivalent)</v>
          </cell>
        </row>
        <row r="311">
          <cell r="B311" t="str">
            <v>Timber Port Pier Head - Beam (Yakal)</v>
          </cell>
        </row>
        <row r="312">
          <cell r="B312" t="str">
            <v>Timber Port Pier Head - Beam (Yakal or equivalent)</v>
          </cell>
        </row>
        <row r="313">
          <cell r="B313" t="str">
            <v>Timber Port Pier Head - Floor Joist (Yakal)</v>
          </cell>
        </row>
        <row r="314">
          <cell r="B314" t="str">
            <v>Timber Port Pier Head - Floor Joist (Yakal or equivalent)</v>
          </cell>
        </row>
        <row r="315">
          <cell r="B315" t="str">
            <v>Timber Port Pier Head - Floor Planks (Yakal)</v>
          </cell>
        </row>
        <row r="316">
          <cell r="B316" t="str">
            <v>Timber Port Pier Head - Cross Bracing (Yakal or equivalent)</v>
          </cell>
        </row>
        <row r="317">
          <cell r="B317" t="str">
            <v>Timber Port Pier Head - Cross Bracing (Yakal)</v>
          </cell>
        </row>
        <row r="318">
          <cell r="B318" t="str">
            <v>Timber Port Pier Head - Cross Bracing (Yakal or equivalent)</v>
          </cell>
        </row>
        <row r="319">
          <cell r="B319" t="str">
            <v>Timber Port Pier Head - Bridging (Yakal)</v>
          </cell>
        </row>
        <row r="320">
          <cell r="B320" t="str">
            <v>Timber Port Pier Head - Bridging (Yakal or equivalent)</v>
          </cell>
        </row>
        <row r="321">
          <cell r="B321" t="str">
            <v>Timber Port Pier Head - Curb (Yakal)</v>
          </cell>
        </row>
        <row r="322">
          <cell r="B322" t="str">
            <v>Timber Port Pier Head - Curb (Yakal or equivalent)</v>
          </cell>
        </row>
        <row r="323">
          <cell r="B323" t="str">
            <v>Ceiling Board on wood runner (s.m.)</v>
          </cell>
        </row>
        <row r="324">
          <cell r="B324" t="str">
            <v>Frame Installation</v>
          </cell>
        </row>
        <row r="325">
          <cell r="B325" t="str">
            <v>Board Installation</v>
          </cell>
        </row>
        <row r="326">
          <cell r="B326" t="str">
            <v>Flush Door (3'x7') + 21 s.f.</v>
          </cell>
        </row>
        <row r="327">
          <cell r="B327" t="str">
            <v>Fabrication</v>
          </cell>
        </row>
        <row r="329">
          <cell r="B329" t="str">
            <v>6mm thk. Ordinary Plywood Ceiling &amp; 6mm thk Marine Plywood Sidings</v>
          </cell>
        </row>
        <row r="330">
          <cell r="B330" t="str">
            <v>6mm thk. Marine Plywood Ceiling</v>
          </cell>
        </row>
        <row r="331">
          <cell r="B331" t="str">
            <v>6mm thk. Ordinary Plywood Ceiling</v>
          </cell>
        </row>
        <row r="334">
          <cell r="B334" t="str">
            <v>WIRE AND CABLE WORKS</v>
          </cell>
        </row>
        <row r="335">
          <cell r="B335" t="str">
            <v>Wire and Cable for Suspension</v>
          </cell>
        </row>
        <row r="347">
          <cell r="B347" t="str">
            <v xml:space="preserve">REINFORCING BARS </v>
          </cell>
        </row>
        <row r="349">
          <cell r="B349" t="str">
            <v>Deformed Bar</v>
          </cell>
        </row>
        <row r="350">
          <cell r="B350" t="str">
            <v>Supply &amp; Install Reinforcing Steel Bars for Pile Jacket</v>
          </cell>
        </row>
        <row r="351">
          <cell r="B351" t="str">
            <v>Supply &amp; Install Reinforcing Steel Bars for Precast Slab</v>
          </cell>
        </row>
        <row r="352">
          <cell r="B352" t="str">
            <v>Supply &amp; Install Reinforcing Steel Bars for Precast Beam</v>
          </cell>
        </row>
        <row r="353">
          <cell r="B353" t="str">
            <v>Supply &amp; Install Reinforcing Steel Bars</v>
          </cell>
        </row>
        <row r="354">
          <cell r="B354" t="str">
            <v>fy = 276 Mpa</v>
          </cell>
        </row>
        <row r="355">
          <cell r="B355" t="str">
            <v>fy = 230 Mpa</v>
          </cell>
        </row>
        <row r="359">
          <cell r="B359" t="str">
            <v>STEEL WORKS</v>
          </cell>
        </row>
        <row r="361">
          <cell r="B361" t="str">
            <v>Supply and Install Ramp Steel Rail</v>
          </cell>
        </row>
        <row r="364">
          <cell r="B364" t="str">
            <v>Steel Truss - Community Center 1</v>
          </cell>
        </row>
        <row r="365">
          <cell r="B365" t="str">
            <v>Steel Purlins - Community Center 1</v>
          </cell>
        </row>
        <row r="367">
          <cell r="B367" t="str">
            <v>Steel Truss - Community Center 2</v>
          </cell>
        </row>
        <row r="368">
          <cell r="B368" t="str">
            <v>Steel Purlins - Community Center 2</v>
          </cell>
        </row>
        <row r="370">
          <cell r="B370" t="str">
            <v>Steel Truss - Trading Center 1</v>
          </cell>
        </row>
        <row r="371">
          <cell r="B371" t="str">
            <v>Steel Purlins - Trading Center 1</v>
          </cell>
        </row>
        <row r="374">
          <cell r="B374" t="str">
            <v>Supply and Install Seismic Gap Plate</v>
          </cell>
        </row>
        <row r="375">
          <cell r="B375" t="str">
            <v>STEEL GATE WORKS</v>
          </cell>
        </row>
        <row r="377">
          <cell r="B377" t="str">
            <v>STEEL SHEET PILING WORKS</v>
          </cell>
        </row>
        <row r="378">
          <cell r="B378" t="str">
            <v>Supply Steel Sheet Pile (ASTM 690 / 690M)</v>
          </cell>
        </row>
        <row r="379">
          <cell r="B379" t="str">
            <v>Handle Pitch and Drive Steel Sheet Pile</v>
          </cell>
        </row>
        <row r="380">
          <cell r="B380" t="str">
            <v>Supply &amp; Install Channel Wale Support</v>
          </cell>
        </row>
        <row r="381">
          <cell r="B381" t="str">
            <v>Supply &amp; Install Tie Rod Support</v>
          </cell>
        </row>
        <row r="390">
          <cell r="B390" t="str">
            <v>PLUMBING WORKS</v>
          </cell>
        </row>
        <row r="391">
          <cell r="B391" t="str">
            <v>MOTOR PUMP WORKS</v>
          </cell>
        </row>
        <row r="393">
          <cell r="B393" t="str">
            <v>Submersible Pump w/ complete accessories (1HP 136S10412))</v>
          </cell>
        </row>
        <row r="394">
          <cell r="B394" t="str">
            <v>Submersible Pump w/ complete accessories (3HP 186S30412)</v>
          </cell>
        </row>
        <row r="395">
          <cell r="B395" t="str">
            <v>100mmØ PVC Weepholes</v>
          </cell>
        </row>
        <row r="396">
          <cell r="B396" t="str">
            <v>Supply and Install downspout, 100mmØ</v>
          </cell>
        </row>
        <row r="398">
          <cell r="B398" t="str">
            <v>Plumbing &amp; Fixtures - Community Center 1</v>
          </cell>
        </row>
        <row r="399">
          <cell r="B399" t="str">
            <v>Plumbing &amp; Fixtures - Community Center 2</v>
          </cell>
        </row>
        <row r="401">
          <cell r="B401" t="str">
            <v>Plumbing &amp; Fixtures - Trading Center 1</v>
          </cell>
        </row>
        <row r="403">
          <cell r="B403" t="str">
            <v>Plumbing &amp; Fixtures</v>
          </cell>
        </row>
        <row r="405">
          <cell r="B405" t="str">
            <v>Pipes &amp; Fittings for Intake Box "Type A"</v>
          </cell>
        </row>
        <row r="406">
          <cell r="B406" t="str">
            <v>Pipes &amp; Fittings for Intake Box "Type C"</v>
          </cell>
        </row>
        <row r="407">
          <cell r="B407" t="str">
            <v>Pipes &amp; Fittings for Intake Box "Type E"</v>
          </cell>
        </row>
        <row r="408">
          <cell r="B408" t="str">
            <v>Pipes &amp; Fittings for Collection Box</v>
          </cell>
        </row>
        <row r="409">
          <cell r="B409" t="str">
            <v>Pipes &amp; Fittings for 20T Lit Concrete Reservoir on Grade</v>
          </cell>
        </row>
        <row r="410">
          <cell r="B410" t="str">
            <v>Pipes &amp; Fittings for 25T Lit Concrete Reservoir on Grade</v>
          </cell>
        </row>
        <row r="411">
          <cell r="B411" t="str">
            <v>Pipes &amp; Fittings for Collection Box</v>
          </cell>
        </row>
        <row r="412">
          <cell r="B412" t="str">
            <v>Pipes &amp; Fittings for Tapstand</v>
          </cell>
        </row>
        <row r="413">
          <cell r="B413" t="str">
            <v>Pipes &amp; Fittings for Communal Faucet</v>
          </cell>
        </row>
        <row r="414">
          <cell r="B414" t="str">
            <v>Pipes &amp; Fittings for Pipe River Crossing</v>
          </cell>
        </row>
        <row r="415">
          <cell r="B415" t="str">
            <v>Ga#18 Stainless Steel Tank</v>
          </cell>
        </row>
        <row r="419">
          <cell r="B419" t="str">
            <v>TILEWORKS</v>
          </cell>
        </row>
        <row r="420">
          <cell r="B420" t="str">
            <v>200 x 200 Wall Tiles - Community Center 1</v>
          </cell>
        </row>
        <row r="421">
          <cell r="B421" t="str">
            <v>200 x 200 Floor Tiles - Community Center 1</v>
          </cell>
        </row>
        <row r="423">
          <cell r="B423" t="str">
            <v>200 x 200 Wall Tiles - Community Center 2</v>
          </cell>
        </row>
        <row r="424">
          <cell r="B424" t="str">
            <v>200 x 200 Floor Tiles - Community Center 2</v>
          </cell>
        </row>
        <row r="426">
          <cell r="B426" t="str">
            <v>200 x 200 Wall Tiles - Trading Center 1</v>
          </cell>
        </row>
        <row r="427">
          <cell r="B427" t="str">
            <v>200 x 200 Floor Tiles - Trading Center 1</v>
          </cell>
        </row>
        <row r="429">
          <cell r="B429" t="str">
            <v>200 x 200 Wall Tiles</v>
          </cell>
        </row>
        <row r="430">
          <cell r="B430" t="str">
            <v>200 x 200 Floor Tiles</v>
          </cell>
        </row>
        <row r="432">
          <cell r="B432" t="str">
            <v>100 x 100 Wall Tiles</v>
          </cell>
        </row>
        <row r="433">
          <cell r="B433" t="str">
            <v>100 x 100 Floor Tiles</v>
          </cell>
        </row>
        <row r="437">
          <cell r="B437" t="str">
            <v>SANITARY WORK</v>
          </cell>
        </row>
        <row r="438">
          <cell r="B438" t="str">
            <v>Septic Vault &amp; Accessories</v>
          </cell>
        </row>
        <row r="441">
          <cell r="B441" t="str">
            <v>ELECTRICAL WORK</v>
          </cell>
        </row>
        <row r="442">
          <cell r="B442" t="str">
            <v>Supply &amp; Install Electrical - Community Center 1</v>
          </cell>
        </row>
        <row r="443">
          <cell r="B443" t="str">
            <v>Supply &amp; Install Electrical - Community Center 2</v>
          </cell>
        </row>
        <row r="444">
          <cell r="B444" t="str">
            <v>Supply &amp; Install Electrical - Trading Center 1</v>
          </cell>
        </row>
        <row r="448">
          <cell r="B448" t="str">
            <v>ROAD WORKS</v>
          </cell>
        </row>
        <row r="450">
          <cell r="B450" t="str">
            <v>Removal of Existing PCCP</v>
          </cell>
        </row>
        <row r="451">
          <cell r="B451" t="str">
            <v>Embankment</v>
          </cell>
        </row>
        <row r="452">
          <cell r="B452" t="str">
            <v>Common Excavation</v>
          </cell>
        </row>
        <row r="453">
          <cell r="B453" t="str">
            <v>PCCP</v>
          </cell>
        </row>
        <row r="454">
          <cell r="B454" t="str">
            <v>Aggregate Sub Base Course (Item 200)</v>
          </cell>
        </row>
        <row r="455">
          <cell r="B455" t="str">
            <v>Aggregate Base Course (Item 2001)</v>
          </cell>
        </row>
        <row r="456">
          <cell r="B456" t="str">
            <v>Concrete Pavement</v>
          </cell>
        </row>
        <row r="457">
          <cell r="B457" t="str">
            <v>Sand Bedding</v>
          </cell>
        </row>
        <row r="458">
          <cell r="B458" t="str">
            <v>Rockfill Bedding</v>
          </cell>
        </row>
        <row r="459">
          <cell r="B459" t="str">
            <v>Grouted Riprap Class "A"</v>
          </cell>
        </row>
        <row r="460">
          <cell r="B460" t="str">
            <v>Concrete Class "B" Line Canal "U" type</v>
          </cell>
        </row>
        <row r="461">
          <cell r="B461" t="str">
            <v>Lined Canal</v>
          </cell>
        </row>
        <row r="464">
          <cell r="B464" t="str">
            <v>Road Embankment</v>
          </cell>
        </row>
        <row r="465">
          <cell r="B465" t="str">
            <v>Aggregate Base Course (Item 201)</v>
          </cell>
        </row>
        <row r="468">
          <cell r="B468" t="str">
            <v>MISCELLANEOUS</v>
          </cell>
        </row>
        <row r="469">
          <cell r="B469" t="str">
            <v>Guard Rail</v>
          </cell>
        </row>
        <row r="470">
          <cell r="B470" t="str">
            <v>Reflective Pavement Marking</v>
          </cell>
        </row>
        <row r="471">
          <cell r="B471" t="str">
            <v>Regulatory Sign</v>
          </cell>
        </row>
        <row r="472">
          <cell r="B472" t="str">
            <v>GEOTEXTILE WORKS</v>
          </cell>
        </row>
        <row r="473">
          <cell r="B473" t="str">
            <v>Filter Fabric</v>
          </cell>
        </row>
        <row r="476">
          <cell r="B476" t="str">
            <v>IMPROVEMENT OF ACCESS ROAD</v>
          </cell>
        </row>
        <row r="478">
          <cell r="B478" t="str">
            <v>Excavation for Riprap Foundation</v>
          </cell>
        </row>
        <row r="479">
          <cell r="B479" t="str">
            <v>Earthfll, Common Borrow</v>
          </cell>
        </row>
        <row r="481">
          <cell r="B481" t="str">
            <v>ROCK WORKS</v>
          </cell>
        </row>
        <row r="483">
          <cell r="B483" t="str">
            <v>Supply &amp; Install Grouted Riprap</v>
          </cell>
        </row>
        <row r="484">
          <cell r="B484" t="str">
            <v>Rockfill for retaining wall foundation</v>
          </cell>
        </row>
        <row r="485">
          <cell r="B485" t="str">
            <v>Core Rockfill</v>
          </cell>
        </row>
        <row r="487">
          <cell r="B487" t="str">
            <v>PAVEMENT WORKS</v>
          </cell>
        </row>
        <row r="489">
          <cell r="B489" t="str">
            <v>Supply, Place and Compact Subbase Course</v>
          </cell>
        </row>
        <row r="490">
          <cell r="B490" t="str">
            <v>Supply, Place and Compact Base Course</v>
          </cell>
        </row>
        <row r="491">
          <cell r="B491" t="str">
            <v>Construct PCC Pavement</v>
          </cell>
        </row>
        <row r="492">
          <cell r="B492" t="str">
            <v>Construct Concrete Curb</v>
          </cell>
        </row>
        <row r="493">
          <cell r="B493" t="str">
            <v xml:space="preserve">Construct Concrete Curb -1 </v>
          </cell>
        </row>
        <row r="494">
          <cell r="B494" t="str">
            <v>Construct RC Curb @ Bulkhead</v>
          </cell>
        </row>
        <row r="495">
          <cell r="B495" t="str">
            <v>Construct Concrete Passenger Safety Wall</v>
          </cell>
        </row>
        <row r="498">
          <cell r="B498" t="str">
            <v>CONSTRUCTION OF RETAINING WALL</v>
          </cell>
        </row>
        <row r="500">
          <cell r="B500" t="str">
            <v>REHABILITATION OF EXISTING PIER</v>
          </cell>
        </row>
        <row r="502">
          <cell r="B502" t="str">
            <v>Concrete Curb</v>
          </cell>
        </row>
        <row r="503">
          <cell r="B503" t="str">
            <v>Supply, Place and Compact Base Course</v>
          </cell>
        </row>
        <row r="507">
          <cell r="B507" t="str">
            <v xml:space="preserve">OPERATIONS &amp; MAINTENANCE </v>
          </cell>
        </row>
        <row r="509">
          <cell r="B509" t="str">
            <v>Operations &amp; Maintenance</v>
          </cell>
        </row>
        <row r="511">
          <cell r="B511" t="str">
            <v>FALSEWORKS</v>
          </cell>
        </row>
        <row r="513">
          <cell r="B513" t="str">
            <v>Formworks (10mm thk. Ordinary Plywood)</v>
          </cell>
        </row>
        <row r="514">
          <cell r="B514" t="str">
            <v>Formworks (1/4" thk. Ordinary Plywood)</v>
          </cell>
        </row>
        <row r="515">
          <cell r="B515" t="str">
            <v>Formworks (Coco Lumber)</v>
          </cell>
        </row>
        <row r="516">
          <cell r="B516" t="str">
            <v>Scaffolds (Coco Lumber)</v>
          </cell>
        </row>
        <row r="518">
          <cell r="B518" t="str">
            <v>PAINTING WORKS</v>
          </cell>
        </row>
        <row r="519">
          <cell r="B519" t="str">
            <v>Painting on Masonry Surfaces</v>
          </cell>
        </row>
        <row r="520">
          <cell r="B520" t="str">
            <v>Painting on Steel Surfaces</v>
          </cell>
        </row>
        <row r="521">
          <cell r="B521" t="str">
            <v>Painting on Wooden Surfaces</v>
          </cell>
        </row>
        <row r="522">
          <cell r="B522" t="str">
            <v>Protective Coating</v>
          </cell>
        </row>
        <row r="525">
          <cell r="B525" t="str">
            <v>Wood Surface (Coal Tar)</v>
          </cell>
        </row>
        <row r="527">
          <cell r="B527" t="str">
            <v>FINISHING WORKS</v>
          </cell>
        </row>
        <row r="528">
          <cell r="B528" t="str">
            <v>Provide Plain Cement Plaster Finish</v>
          </cell>
        </row>
        <row r="529">
          <cell r="B529" t="str">
            <v>Apply Painted Finish on Concrete</v>
          </cell>
        </row>
        <row r="530">
          <cell r="B530" t="str">
            <v>Supply and Install Rooof Waterproofing</v>
          </cell>
        </row>
        <row r="531">
          <cell r="B531" t="str">
            <v>Supply and Install downspout, 100mm dia.</v>
          </cell>
        </row>
        <row r="532">
          <cell r="B532" t="str">
            <v>SUPPLY AND INSTALL COMPLETE BLDG., ELEC., SYSTEM</v>
          </cell>
        </row>
        <row r="533">
          <cell r="B533" t="str">
            <v>SUPPLY AND INSTALL PORTABLE FIRE EXTINGUISHER</v>
          </cell>
        </row>
        <row r="535">
          <cell r="B535" t="str">
            <v>BRIDGE CONSTRUCTION</v>
          </cell>
        </row>
        <row r="536">
          <cell r="B536" t="str">
            <v>Removal of Existing Bailey Bridge L=15.65m.</v>
          </cell>
        </row>
        <row r="537">
          <cell r="B537" t="str">
            <v>Bridge Excavation Above O.W.L.</v>
          </cell>
        </row>
        <row r="538">
          <cell r="B538" t="str">
            <v>Precast 400 x 4000 R.C. Piles (Furnished)</v>
          </cell>
        </row>
        <row r="539">
          <cell r="B539" t="str">
            <v>Precast 400 x 4000 R.C. Piles (Driven)</v>
          </cell>
        </row>
        <row r="540">
          <cell r="B540" t="str">
            <v>Precast 400 x 4000 R.C. Piles, Test Piles (D/F)</v>
          </cell>
        </row>
        <row r="541">
          <cell r="B541" t="str">
            <v>Concrete Railings</v>
          </cell>
        </row>
        <row r="542">
          <cell r="B542" t="str">
            <v>Reinforcing Steel Grade 40</v>
          </cell>
        </row>
        <row r="543">
          <cell r="B543" t="str">
            <v>Structural Concrete Class A-2 Superstructure</v>
          </cell>
        </row>
        <row r="544">
          <cell r="B544" t="str">
            <v>Structural Concrete Class A-1 Substructure</v>
          </cell>
        </row>
        <row r="545">
          <cell r="B545" t="str">
            <v>Lean Concrete, 100mm thk.</v>
          </cell>
        </row>
        <row r="546">
          <cell r="B546" t="str">
            <v>Bridge Painting</v>
          </cell>
        </row>
        <row r="547">
          <cell r="B547" t="str">
            <v>Grouted Riprap Class "A"</v>
          </cell>
        </row>
        <row r="548">
          <cell r="B548" t="str">
            <v>Grouted Riprap Class "B"</v>
          </cell>
        </row>
        <row r="549">
          <cell r="B549" t="str">
            <v>Filter Layer, Granular Materials</v>
          </cell>
        </row>
        <row r="550">
          <cell r="B550" t="str">
            <v>River Bed Trimming &amp; Excavation</v>
          </cell>
        </row>
        <row r="554">
          <cell r="B554" t="str">
            <v>STEEL FENCING WORKS</v>
          </cell>
        </row>
        <row r="555">
          <cell r="B555" t="str">
            <v>Ga #10 G.I. Cyclone Wire Fence</v>
          </cell>
        </row>
        <row r="557">
          <cell r="B557" t="str">
            <v>REPAIR WORKS</v>
          </cell>
        </row>
        <row r="558">
          <cell r="B558" t="str">
            <v>Reinforced Concrete Repair Works</v>
          </cell>
        </row>
        <row r="563">
          <cell r="B563" t="str">
            <v>DEMOLITION WORKS</v>
          </cell>
        </row>
        <row r="566">
          <cell r="B566" t="str">
            <v>Demolition of Existing Structure affected by the construction</v>
          </cell>
        </row>
        <row r="568">
          <cell r="B568" t="str">
            <v>REMOVAL  WORKS</v>
          </cell>
        </row>
        <row r="570">
          <cell r="B570" t="str">
            <v>Removal of Existing Structure (Pipe Culverts)</v>
          </cell>
        </row>
        <row r="571">
          <cell r="B571" t="str">
            <v>Removal of Existing Structure (Stone masonry)</v>
          </cell>
        </row>
        <row r="573">
          <cell r="B573" t="str">
            <v>ELECTRICAL WORKS</v>
          </cell>
        </row>
        <row r="575">
          <cell r="B575" t="str">
            <v>SUPPLY AND INSTALL COMPLETE BLDG. ELEC. SYSTEM</v>
          </cell>
        </row>
        <row r="576">
          <cell r="B576" t="str">
            <v>SUPPLY AND INSTALL COMPLETE BLDG. ELEC'L SYSTEM</v>
          </cell>
        </row>
        <row r="578">
          <cell r="B578" t="str">
            <v>TRANSMISSION PIPE LINES</v>
          </cell>
        </row>
        <row r="579">
          <cell r="B579" t="str">
            <v>Supply and Install PE Pipes and Fittings (25mmØ)</v>
          </cell>
        </row>
        <row r="580">
          <cell r="B580" t="str">
            <v>Supply and Install PE Pipes and Fittings (32mmØ)</v>
          </cell>
        </row>
        <row r="581">
          <cell r="B581" t="str">
            <v>Supply and Install PE Pipes and Fittings (40mmØ)</v>
          </cell>
        </row>
        <row r="582">
          <cell r="B582" t="str">
            <v>Supply and Install PE Pipes and Fittings (50mmØ)</v>
          </cell>
        </row>
        <row r="583">
          <cell r="B583" t="str">
            <v>Supply and Install PE Pipes and Fittings (63mmØ)</v>
          </cell>
        </row>
        <row r="584">
          <cell r="B584" t="str">
            <v>Supply and Install PE Pipes and Fittings (75mmØ)</v>
          </cell>
        </row>
        <row r="585">
          <cell r="B585" t="str">
            <v>Supply and Install PE Pipes and Fittings (90mmØ)</v>
          </cell>
        </row>
        <row r="587">
          <cell r="B587" t="str">
            <v>Supply and Install GI Pipes and Fittings (63mmØ)</v>
          </cell>
        </row>
        <row r="588">
          <cell r="B588" t="str">
            <v>Supply and Install GI Pipes and Fittings (75mmØ)</v>
          </cell>
        </row>
        <row r="589">
          <cell r="B589" t="str">
            <v>Supply and Install GI Pipes and Fittings (90mmØ)</v>
          </cell>
        </row>
        <row r="590">
          <cell r="B590" t="str">
            <v>Supply and Install uPVC Pipes and Fittings (50mmØ)</v>
          </cell>
        </row>
        <row r="591">
          <cell r="B591" t="str">
            <v>Supply and Install uPVC Pipes and Fittings (63mmØ)</v>
          </cell>
        </row>
        <row r="592">
          <cell r="B592" t="str">
            <v>Supply and Install uPVC Pipes and Fittings (90mmØ)</v>
          </cell>
        </row>
        <row r="602">
          <cell r="B602" t="str">
            <v>FIRE PROTECTION WORKS</v>
          </cell>
        </row>
        <row r="604">
          <cell r="B604" t="str">
            <v>Supply and Install Portable Fire Extinguisher</v>
          </cell>
        </row>
        <row r="606">
          <cell r="B606" t="str">
            <v>SIGNAGES</v>
          </cell>
        </row>
        <row r="607">
          <cell r="B607" t="str">
            <v>PLATE MARKER &amp; SIGNAGES.</v>
          </cell>
        </row>
        <row r="608">
          <cell r="B608" t="str">
            <v>Plate Marker &amp; Signages</v>
          </cell>
        </row>
        <row r="609">
          <cell r="B609" t="str">
            <v>Plate Marker W/ Pedestal</v>
          </cell>
        </row>
        <row r="610">
          <cell r="B610" t="str">
            <v>Project Billboard</v>
          </cell>
        </row>
        <row r="613">
          <cell r="B613" t="str">
            <v>PROJECT COMPONENTS</v>
          </cell>
        </row>
        <row r="614">
          <cell r="B614" t="str">
            <v>INTAKE BOX TYPE "A"</v>
          </cell>
        </row>
        <row r="615">
          <cell r="B615" t="str">
            <v>INTAKE BOX TYPE "C"</v>
          </cell>
        </row>
        <row r="616">
          <cell r="B616" t="str">
            <v>CONCRETE RESERVOIR ON GRADE (20T LITERS)</v>
          </cell>
        </row>
        <row r="617">
          <cell r="B617" t="str">
            <v>COLLECTION BOX</v>
          </cell>
        </row>
        <row r="618">
          <cell r="B618" t="str">
            <v>TAPSTAND</v>
          </cell>
        </row>
        <row r="619">
          <cell r="B619" t="str">
            <v>RIVER CROSSING</v>
          </cell>
        </row>
        <row r="620">
          <cell r="B620" t="str">
            <v>PIPES &amp; CONVEYORS</v>
          </cell>
        </row>
        <row r="621">
          <cell r="B621" t="str">
            <v>OTHERS</v>
          </cell>
        </row>
        <row r="623">
          <cell r="B623" t="str">
            <v>PORTS CONSTRUCTION</v>
          </cell>
        </row>
        <row r="624">
          <cell r="B624" t="str">
            <v>PASSENGER TERMINAL SHED</v>
          </cell>
        </row>
        <row r="625">
          <cell r="B625" t="str">
            <v>TOILET</v>
          </cell>
        </row>
        <row r="626">
          <cell r="B626" t="str">
            <v>GEOTECHNICAL WORKS</v>
          </cell>
        </row>
        <row r="627">
          <cell r="B627" t="str">
            <v>Geotechnical Investigation</v>
          </cell>
        </row>
        <row r="629">
          <cell r="B629" t="str">
            <v>CROSS DRAIN</v>
          </cell>
        </row>
        <row r="630">
          <cell r="B630" t="str">
            <v>Supply and Construct Box Culvert</v>
          </cell>
        </row>
        <row r="631">
          <cell r="B631" t="str">
            <v>Supply &amp; Construct Concrete Headwall &amp; Outfall</v>
          </cell>
        </row>
        <row r="633">
          <cell r="B633" t="str">
            <v>PILING WORKS</v>
          </cell>
        </row>
        <row r="634">
          <cell r="B634" t="str">
            <v>DRIVING</v>
          </cell>
        </row>
        <row r="635">
          <cell r="B635" t="str">
            <v>Supply of Steel Pipe Pile, 508.80mmØ</v>
          </cell>
        </row>
        <row r="636">
          <cell r="B636" t="str">
            <v>Handle Pitch and Drive Vertical Steel Pipe Pile, 508.80mmØ</v>
          </cell>
        </row>
        <row r="637">
          <cell r="B637" t="str">
            <v>Handle Pitch and Drive Batter Steel Pipe Pile, 508.80mmØ</v>
          </cell>
        </row>
        <row r="639">
          <cell r="B639" t="str">
            <v>CONCRETING</v>
          </cell>
        </row>
        <row r="640">
          <cell r="B640" t="str">
            <v>Supply &amp; Place 30 MPa Concrete Fill @ Steel Pipe Pile Foundation</v>
          </cell>
        </row>
        <row r="641">
          <cell r="B641" t="str">
            <v xml:space="preserve">Supply &amp; Place 30 MPa Concrete Fill Inside Steel Pipe Pile </v>
          </cell>
        </row>
        <row r="643">
          <cell r="B643" t="str">
            <v>Supply &amp; Fabrication of Sliding Gate</v>
          </cell>
        </row>
        <row r="644">
          <cell r="B644" t="str">
            <v>Installation of Sliding Gate</v>
          </cell>
        </row>
        <row r="646">
          <cell r="B646" t="str">
            <v>Structural Painting</v>
          </cell>
        </row>
        <row r="648">
          <cell r="B648" t="str">
            <v>SWING GATE</v>
          </cell>
        </row>
        <row r="649">
          <cell r="B649" t="str">
            <v>Supply &amp; Fabrication of Swing Gate</v>
          </cell>
        </row>
        <row r="650">
          <cell r="B650" t="str">
            <v>Installation of Swing Gate</v>
          </cell>
        </row>
        <row r="652">
          <cell r="B652" t="str">
            <v>FAST CRAFT PIER FENCE</v>
          </cell>
        </row>
        <row r="653">
          <cell r="B653" t="str">
            <v>Supply &amp; Fabrication of Fast Craft Pier Fence</v>
          </cell>
        </row>
        <row r="654">
          <cell r="B654" t="str">
            <v>Installation of Fast Craft Pier Fence</v>
          </cell>
        </row>
        <row r="656">
          <cell r="B656" t="str">
            <v>SUPPLY &amp; INSTALL PIER LIGHTING SYSTEM</v>
          </cell>
        </row>
        <row r="658">
          <cell r="B658" t="str">
            <v>Supply, Place and Compact Aggregate Subbase Course</v>
          </cell>
        </row>
        <row r="659">
          <cell r="B659" t="str">
            <v>Supply, Place and Compact Aggregate Base Course</v>
          </cell>
        </row>
        <row r="661">
          <cell r="B661" t="str">
            <v>Supply &amp; Install Reinforcing Steel Bars, fy = 276 Mpa</v>
          </cell>
        </row>
        <row r="662">
          <cell r="B662" t="str">
            <v>Supply &amp; Install Reinforcing Steel Bars, fy = 230 Mpa</v>
          </cell>
        </row>
        <row r="664">
          <cell r="B664" t="str">
            <v>Layout of Lines &amp; Grades</v>
          </cell>
        </row>
        <row r="665">
          <cell r="B665" t="str">
            <v>Structure Excavation</v>
          </cell>
        </row>
        <row r="666">
          <cell r="B666" t="str">
            <v>Gravel Bedding</v>
          </cell>
        </row>
        <row r="667">
          <cell r="B667" t="str">
            <v>Lean Concrete</v>
          </cell>
        </row>
        <row r="668">
          <cell r="B668" t="str">
            <v>Formworks (coco lumber)</v>
          </cell>
        </row>
        <row r="669">
          <cell r="B669" t="str">
            <v>Scaffolds (coco lumber)</v>
          </cell>
        </row>
        <row r="670">
          <cell r="B670" t="str">
            <v>Reinforcing Bars</v>
          </cell>
        </row>
        <row r="672">
          <cell r="B672" t="str">
            <v>Steel Pipe Pile Tip Cladding (for 508.80mmØ Pile)</v>
          </cell>
        </row>
        <row r="674">
          <cell r="B674" t="str">
            <v>Steel Pipe Forms ,708.80mmØ for concrete Jacket</v>
          </cell>
        </row>
        <row r="675">
          <cell r="B675" t="str">
            <v>Wooden Formworks</v>
          </cell>
        </row>
        <row r="676">
          <cell r="B676" t="str">
            <v>Supply &amp; Place 30 MPa Concrete Fill Inside Steel Pipe Pile  incl. Formworks.</v>
          </cell>
        </row>
        <row r="678">
          <cell r="B678" t="str">
            <v>Supply &amp; Fabrication of 508.80mmØ Steel Pipe Pile</v>
          </cell>
        </row>
        <row r="679">
          <cell r="B679" t="str">
            <v>Installation of 508.80mmØ Steel Pipe Pile</v>
          </cell>
        </row>
        <row r="682">
          <cell r="B682" t="str">
            <v>Formworks, Ga.16 MS Plate for Concrete Jacket</v>
          </cell>
        </row>
        <row r="683">
          <cell r="B683" t="str">
            <v>Formworks, 1/2"thk Ordinary Plywood</v>
          </cell>
        </row>
        <row r="684">
          <cell r="B684" t="str">
            <v>Scaffolds (Coco Lumber)</v>
          </cell>
        </row>
        <row r="686">
          <cell r="B686" t="str">
            <v>Site Clearing</v>
          </cell>
        </row>
        <row r="687">
          <cell r="B687" t="str">
            <v>Embankment &amp; Compaction (Granular Fill)</v>
          </cell>
        </row>
        <row r="688">
          <cell r="B688" t="str">
            <v>Aggregate Subbase Course, 150mm thk</v>
          </cell>
        </row>
        <row r="689">
          <cell r="B689" t="str">
            <v>Aggregate Base Course, 200mm thk</v>
          </cell>
        </row>
        <row r="690">
          <cell r="B690" t="str">
            <v>Portland Cement Concrete Pavement</v>
          </cell>
        </row>
        <row r="691">
          <cell r="B691" t="str">
            <v>Reinforcing Steel Bars, fy = 276 Mpa</v>
          </cell>
        </row>
        <row r="692">
          <cell r="B692" t="str">
            <v>Dowel Bars, 12mmØ, fy = 276 Mpa</v>
          </cell>
        </row>
        <row r="693">
          <cell r="B693" t="str">
            <v>PVC Pipe, 25mmØ</v>
          </cell>
        </row>
        <row r="694">
          <cell r="B694" t="str">
            <v>Concrete, 21 Mpa</v>
          </cell>
        </row>
        <row r="695">
          <cell r="B695" t="str">
            <v>Reinforcing Steel Bars, fy = 230 Mpa</v>
          </cell>
        </row>
        <row r="696">
          <cell r="B696" t="str">
            <v>Formworks</v>
          </cell>
        </row>
        <row r="697">
          <cell r="B697" t="str">
            <v>Supply &amp; Installation of RCPC. 610mmØ</v>
          </cell>
        </row>
        <row r="698">
          <cell r="B698" t="str">
            <v>Scaffolds</v>
          </cell>
        </row>
        <row r="699">
          <cell r="B699" t="str">
            <v>Mortar for RC Pipe Culvert Collar</v>
          </cell>
        </row>
        <row r="700">
          <cell r="B700" t="str">
            <v>Supply &amp; Fabrication of Steel Gate Structure</v>
          </cell>
        </row>
        <row r="701">
          <cell r="B701" t="str">
            <v>Installation of Steel Gate Structure</v>
          </cell>
        </row>
        <row r="702">
          <cell r="B702" t="str">
            <v>Supply &amp; Installation of Stone</v>
          </cell>
        </row>
        <row r="703">
          <cell r="B703" t="str">
            <v>Supply &amp; Installation of Armour Rocks, 100-200 kg</v>
          </cell>
        </row>
        <row r="704">
          <cell r="B704" t="str">
            <v>Supply &amp; Install Pier Lighting Sytem</v>
          </cell>
        </row>
        <row r="705">
          <cell r="B705" t="str">
            <v>50mm x 50mm Square Bar for Roro Ramp Protection</v>
          </cell>
        </row>
        <row r="706">
          <cell r="B706" t="str">
            <v>Bitumen Joint Filler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t Cost"/>
      <sheetName val="Raw Data"/>
      <sheetName val="Quantity Sheet &amp; Summary "/>
      <sheetName val="Form"/>
      <sheetName val="project limits"/>
      <sheetName val="calculations"/>
      <sheetName val="summary"/>
      <sheetName val="pavement markings"/>
      <sheetName val="pavement widening"/>
      <sheetName val="guardrails"/>
      <sheetName val="gravelling"/>
      <sheetName val="Unit_Cost"/>
      <sheetName val="Unit_Cost2"/>
      <sheetName val="Raw_Data1"/>
      <sheetName val="Quantity_Sheet_&amp;_Summary_1"/>
      <sheetName val="project_limits1"/>
      <sheetName val="pavement_markings1"/>
      <sheetName val="pavement_widening1"/>
      <sheetName val="Unit_Cost1"/>
      <sheetName val="Raw_Data"/>
      <sheetName val="Quantity_Sheet_&amp;_Summary_"/>
      <sheetName val="project_limits"/>
      <sheetName val="pavement_markings"/>
      <sheetName val="pavement_widening"/>
      <sheetName val="Unit_Cost3"/>
      <sheetName val="Raw_Data2"/>
      <sheetName val="Quantity_Sheet_&amp;_Summary_2"/>
      <sheetName val="project_limits2"/>
      <sheetName val="pavement_markings2"/>
      <sheetName val="pavement_widening2"/>
      <sheetName val="Unit_Cost4"/>
      <sheetName val="Raw_Data3"/>
      <sheetName val="Quantity_Sheet_&amp;_Summary_3"/>
      <sheetName val="project_limits3"/>
      <sheetName val="pavement_markings3"/>
      <sheetName val="pavement_widening3"/>
      <sheetName val="Unit_Cost5"/>
      <sheetName val="Raw_Data4"/>
      <sheetName val="Quantity_Sheet_&amp;_Summary_4"/>
      <sheetName val="project_limits4"/>
      <sheetName val="pavement_markings4"/>
      <sheetName val="pavement_widening4"/>
      <sheetName val="Unit_Cost6"/>
      <sheetName val="Unit_Cost7"/>
      <sheetName val="Raw_Data5"/>
      <sheetName val="Quantity_Sheet_&amp;_Summary_5"/>
      <sheetName val="project_limits5"/>
      <sheetName val="pavement_markings5"/>
      <sheetName val="pavement_widening5"/>
      <sheetName val="Unit_Cost8"/>
      <sheetName val="Raw_Data6"/>
      <sheetName val="Quantity_Sheet_&amp;_Summary_6"/>
      <sheetName val="project_limits6"/>
      <sheetName val="pavement_markings6"/>
      <sheetName val="pavement_widening6"/>
      <sheetName val="Unit_Cost9"/>
      <sheetName val="Raw_Data7"/>
      <sheetName val="Quantity_Sheet_&amp;_Summary_7"/>
      <sheetName val="project_limits7"/>
      <sheetName val="pavement_markings7"/>
      <sheetName val="pavement_widening7"/>
    </sheetNames>
    <sheetDataSet>
      <sheetData sheetId="0">
        <row r="3">
          <cell r="D3">
            <v>327.14</v>
          </cell>
        </row>
        <row r="9">
          <cell r="D9">
            <v>500</v>
          </cell>
        </row>
      </sheetData>
      <sheetData sheetId="1" refreshError="1"/>
      <sheetData sheetId="2" refreshError="1"/>
      <sheetData sheetId="3" refreshError="1"/>
      <sheetData sheetId="4">
        <row r="8">
          <cell r="E8">
            <v>1592175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>
        <row r="3">
          <cell r="D3">
            <v>327.14</v>
          </cell>
        </row>
      </sheetData>
      <sheetData sheetId="13"/>
      <sheetData sheetId="14"/>
      <sheetData sheetId="15">
        <row r="8">
          <cell r="E8">
            <v>1592175</v>
          </cell>
        </row>
      </sheetData>
      <sheetData sheetId="16"/>
      <sheetData sheetId="17"/>
      <sheetData sheetId="18">
        <row r="3">
          <cell r="D3">
            <v>327.14</v>
          </cell>
        </row>
      </sheetData>
      <sheetData sheetId="19"/>
      <sheetData sheetId="20"/>
      <sheetData sheetId="21">
        <row r="8">
          <cell r="E8">
            <v>1592175</v>
          </cell>
        </row>
      </sheetData>
      <sheetData sheetId="22"/>
      <sheetData sheetId="23"/>
      <sheetData sheetId="24">
        <row r="3">
          <cell r="D3">
            <v>327.14</v>
          </cell>
        </row>
      </sheetData>
      <sheetData sheetId="25"/>
      <sheetData sheetId="26"/>
      <sheetData sheetId="27">
        <row r="8">
          <cell r="E8">
            <v>1592175</v>
          </cell>
        </row>
      </sheetData>
      <sheetData sheetId="28"/>
      <sheetData sheetId="29"/>
      <sheetData sheetId="30">
        <row r="3">
          <cell r="D3">
            <v>327.14</v>
          </cell>
        </row>
      </sheetData>
      <sheetData sheetId="31"/>
      <sheetData sheetId="32"/>
      <sheetData sheetId="33">
        <row r="8">
          <cell r="E8">
            <v>1592175</v>
          </cell>
        </row>
      </sheetData>
      <sheetData sheetId="34"/>
      <sheetData sheetId="35"/>
      <sheetData sheetId="36">
        <row r="3">
          <cell r="D3">
            <v>327.14</v>
          </cell>
        </row>
      </sheetData>
      <sheetData sheetId="37"/>
      <sheetData sheetId="38"/>
      <sheetData sheetId="39"/>
      <sheetData sheetId="40"/>
      <sheetData sheetId="41"/>
      <sheetData sheetId="42"/>
      <sheetData sheetId="43">
        <row r="3">
          <cell r="D3">
            <v>327.14</v>
          </cell>
        </row>
      </sheetData>
      <sheetData sheetId="44"/>
      <sheetData sheetId="45"/>
      <sheetData sheetId="46">
        <row r="8">
          <cell r="E8">
            <v>1592175</v>
          </cell>
        </row>
      </sheetData>
      <sheetData sheetId="47"/>
      <sheetData sheetId="48"/>
      <sheetData sheetId="49">
        <row r="3">
          <cell r="D3">
            <v>327.14</v>
          </cell>
        </row>
      </sheetData>
      <sheetData sheetId="50"/>
      <sheetData sheetId="51"/>
      <sheetData sheetId="52">
        <row r="8">
          <cell r="E8">
            <v>1592175</v>
          </cell>
        </row>
      </sheetData>
      <sheetData sheetId="53"/>
      <sheetData sheetId="54"/>
      <sheetData sheetId="55">
        <row r="3">
          <cell r="D3">
            <v>327.14</v>
          </cell>
        </row>
      </sheetData>
      <sheetData sheetId="56"/>
      <sheetData sheetId="57"/>
      <sheetData sheetId="58">
        <row r="8">
          <cell r="E8">
            <v>1592175</v>
          </cell>
        </row>
      </sheetData>
      <sheetData sheetId="59"/>
      <sheetData sheetId="6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Materials"/>
      <sheetName val="Equipment"/>
      <sheetName val="Scope of Works"/>
      <sheetName val="Project List"/>
      <sheetName val="CCenter"/>
      <sheetName val="Manpower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Center"/>
      <sheetName val="Materials"/>
      <sheetName val="Manpower"/>
      <sheetName val="Transport"/>
      <sheetName val="Equipment"/>
      <sheetName val="Scope of Works"/>
      <sheetName val="Project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BA_UsageExample"/>
      <sheetName val="VBA_Wrapper"/>
      <sheetName val="VBA_32bit"/>
      <sheetName val="VBA_16bit"/>
      <sheetName val="Menu"/>
      <sheetName val="CCenter"/>
      <sheetName val="Update"/>
      <sheetName val="Materials"/>
      <sheetName val="Manpower"/>
      <sheetName val="Transport"/>
      <sheetName val="Equipment"/>
      <sheetName val="Transport Result"/>
      <sheetName val="Aggregates"/>
      <sheetName val="Scope of Works"/>
      <sheetName val="Project List"/>
      <sheetName val="Rod"/>
      <sheetName val="Andrew"/>
      <sheetName val="Bebot"/>
      <sheetName val="Anna"/>
      <sheetName val="Elmer"/>
      <sheetName val="Ruben"/>
      <sheetName val="Rod (7)"/>
      <sheetName val="Rod (8)"/>
      <sheetName val="Sheet1"/>
      <sheetName val="Glenn"/>
      <sheetName val="Extracted Information"/>
      <sheetName val="Number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>
        <row r="11">
          <cell r="D11" t="str">
            <v xml:space="preserve">[C-??? ] - Kanaway Seaweed Solar Dryer Construction </v>
          </cell>
        </row>
        <row r="13">
          <cell r="D13" t="str">
            <v>( AGGREGATES )</v>
          </cell>
        </row>
        <row r="14">
          <cell r="D14" t="str">
            <v>Sand</v>
          </cell>
        </row>
        <row r="15">
          <cell r="D15" t="str">
            <v>Fine Sand</v>
          </cell>
        </row>
        <row r="16">
          <cell r="D16" t="str">
            <v>Gravel</v>
          </cell>
        </row>
        <row r="17">
          <cell r="D17" t="str">
            <v>Gravel Bedding</v>
          </cell>
        </row>
        <row r="18">
          <cell r="D18" t="str">
            <v>Stone</v>
          </cell>
        </row>
        <row r="19">
          <cell r="D19" t="str">
            <v>Boulders / Stone</v>
          </cell>
        </row>
        <row r="20">
          <cell r="D20" t="str">
            <v>Boulders (20-30 cm dia.)</v>
          </cell>
        </row>
        <row r="21">
          <cell r="D21" t="str">
            <v>Filling Materials</v>
          </cell>
        </row>
        <row r="22">
          <cell r="D22" t="str">
            <v>Aggregate Surface Course (Item 300)</v>
          </cell>
        </row>
        <row r="23">
          <cell r="D23" t="str">
            <v>Aggregate Sub Base Course (Item 200)</v>
          </cell>
        </row>
        <row r="24">
          <cell r="D24" t="str">
            <v>Aggregate Base Course (Item 201)</v>
          </cell>
        </row>
        <row r="25">
          <cell r="D25" t="str">
            <v>Crushed Aggregate Base Course (Item 202)</v>
          </cell>
        </row>
        <row r="26">
          <cell r="D26" t="str">
            <v>Surface Base Course</v>
          </cell>
        </row>
        <row r="27">
          <cell r="D27" t="str">
            <v>Common Borrow</v>
          </cell>
        </row>
        <row r="28">
          <cell r="D28" t="str">
            <v>Gravelfill</v>
          </cell>
        </row>
        <row r="29">
          <cell r="D29" t="str">
            <v>Sand Fill</v>
          </cell>
        </row>
        <row r="30">
          <cell r="D30" t="str">
            <v>Granular Fill</v>
          </cell>
        </row>
        <row r="31">
          <cell r="D31" t="str">
            <v>Rock / Boulder (50-200 kg)</v>
          </cell>
        </row>
        <row r="32">
          <cell r="D32" t="str">
            <v>Rock / Boulder (100-200 kg)</v>
          </cell>
        </row>
        <row r="33">
          <cell r="D33" t="str">
            <v>2" Mixed Gravel</v>
          </cell>
        </row>
        <row r="34">
          <cell r="D34" t="str">
            <v>1" Mixed Gravel</v>
          </cell>
        </row>
        <row r="35">
          <cell r="D35" t="str">
            <v>Screened Pebbles</v>
          </cell>
        </row>
        <row r="37">
          <cell r="D37" t="str">
            <v>( WATER )</v>
          </cell>
        </row>
        <row r="38">
          <cell r="D38" t="str">
            <v>( WATER )</v>
          </cell>
        </row>
        <row r="39">
          <cell r="D39" t="str">
            <v>Water</v>
          </cell>
        </row>
        <row r="40">
          <cell r="D40" t="str">
            <v>( CEMENT )</v>
          </cell>
        </row>
        <row r="41">
          <cell r="D41" t="str">
            <v>( CEMENT )</v>
          </cell>
        </row>
        <row r="42">
          <cell r="D42" t="str">
            <v>Portland Cement 40kg</v>
          </cell>
        </row>
        <row r="43">
          <cell r="D43" t="str">
            <v>Pozzoland Cement 40 kg</v>
          </cell>
        </row>
        <row r="44">
          <cell r="D44" t="str">
            <v>Cement Accelerator (Plasticizer 1000P)</v>
          </cell>
        </row>
        <row r="45">
          <cell r="D45" t="str">
            <v>Waterproofing Cement (Flexcon)</v>
          </cell>
        </row>
        <row r="46">
          <cell r="D46" t="str">
            <v>Red cement</v>
          </cell>
        </row>
        <row r="47">
          <cell r="D47" t="str">
            <v>White Cement</v>
          </cell>
        </row>
        <row r="48">
          <cell r="D48" t="str">
            <v>Water Sealant Cement</v>
          </cell>
        </row>
        <row r="49">
          <cell r="D49" t="str">
            <v>Bentonite</v>
          </cell>
        </row>
        <row r="50">
          <cell r="D50" t="str">
            <v>Epoxy Grout</v>
          </cell>
        </row>
        <row r="51">
          <cell r="D51" t="str">
            <v>Epoxy Resin</v>
          </cell>
        </row>
        <row r="52">
          <cell r="D52" t="str">
            <v>Non-Shrink Grout</v>
          </cell>
        </row>
        <row r="53">
          <cell r="D53" t="str">
            <v>Emulsified Asphalt</v>
          </cell>
        </row>
        <row r="54">
          <cell r="D54" t="str">
            <v>Bituminous Asphalt</v>
          </cell>
        </row>
        <row r="55">
          <cell r="D55" t="str">
            <v>Curing Compound</v>
          </cell>
        </row>
        <row r="56">
          <cell r="D56" t="str">
            <v>( CEMENT PRODUCTS )</v>
          </cell>
        </row>
        <row r="57">
          <cell r="D57" t="str">
            <v>( CEMENT PRODUCTS )</v>
          </cell>
        </row>
        <row r="58">
          <cell r="D58" t="str">
            <v>100mm Conc. Hollow Block</v>
          </cell>
        </row>
        <row r="59">
          <cell r="D59" t="str">
            <v>150mm Conc. Hollow Block</v>
          </cell>
        </row>
        <row r="60">
          <cell r="D60" t="str">
            <v>Decorative Concrete Block (Louver Type)</v>
          </cell>
        </row>
        <row r="61">
          <cell r="D61" t="str">
            <v>250mm x 250mm Decorative Concrete Block</v>
          </cell>
        </row>
        <row r="62">
          <cell r="D62" t="str">
            <v>300mmØ RC Pipe Culvert</v>
          </cell>
        </row>
        <row r="63">
          <cell r="D63" t="str">
            <v>460mmØ RC Pipe Culvert</v>
          </cell>
        </row>
        <row r="64">
          <cell r="D64" t="str">
            <v>610mmØ RC Pipe Culvert</v>
          </cell>
        </row>
        <row r="65">
          <cell r="D65" t="str">
            <v>760mmØ RC Pipe Culvert</v>
          </cell>
        </row>
        <row r="66">
          <cell r="D66" t="str">
            <v>910mmØ RC Pipe Culvert</v>
          </cell>
        </row>
        <row r="67">
          <cell r="D67" t="str">
            <v>1220mmØ RC Pipe Culvert</v>
          </cell>
        </row>
        <row r="68">
          <cell r="D68" t="str">
            <v>1520mmØ RC Pipe Culvert</v>
          </cell>
        </row>
        <row r="69">
          <cell r="D69" t="str">
            <v>3"dia. Conc. Baluster, 18"</v>
          </cell>
        </row>
        <row r="70">
          <cell r="D70" t="str">
            <v>PRESTRESSED PILES</v>
          </cell>
        </row>
        <row r="71">
          <cell r="D71" t="str">
            <v>PRESTRESSED PILES</v>
          </cell>
        </row>
        <row r="72">
          <cell r="D72" t="str">
            <v>PSC Piles, 400mm x 400mm x 10m.</v>
          </cell>
        </row>
        <row r="73">
          <cell r="D73" t="str">
            <v>PSC Piles, 400mm x 400mm x 10m.</v>
          </cell>
        </row>
        <row r="74">
          <cell r="D74" t="str">
            <v>PSC Piles, 400mm x 400mm x 12m.</v>
          </cell>
        </row>
        <row r="75">
          <cell r="D75" t="str">
            <v>PSC Piles, 400mm x 400mm x 14m.</v>
          </cell>
        </row>
        <row r="76">
          <cell r="D76" t="str">
            <v>PSC Piles, 400mm x 400mm x 21m.</v>
          </cell>
        </row>
        <row r="77">
          <cell r="D77" t="str">
            <v>PSC Piles, 400mm x 400mm x 22m.</v>
          </cell>
        </row>
        <row r="78">
          <cell r="D78" t="str">
            <v>PSC Piles, 400mm x 400mm x 24m.</v>
          </cell>
        </row>
        <row r="79">
          <cell r="D79" t="str">
            <v>PSC Test Piles, 400mm x 400mm x 10m.</v>
          </cell>
        </row>
        <row r="80">
          <cell r="D80" t="str">
            <v>PSC Test Piles, 400mm x 400mm x 10m.</v>
          </cell>
        </row>
        <row r="81">
          <cell r="D81" t="str">
            <v>PSC Test Piles, 400mm x 400mm x 12m.</v>
          </cell>
        </row>
        <row r="82">
          <cell r="D82" t="str">
            <v>PSC Test Piles, 400mm x 400mm x 14m.</v>
          </cell>
        </row>
        <row r="83">
          <cell r="D83" t="str">
            <v>PSC Test Piles, 400mm x 400mm x 21m.</v>
          </cell>
        </row>
        <row r="84">
          <cell r="D84" t="str">
            <v>PSC Test Piles, 400mm x 400mm x 22m.</v>
          </cell>
        </row>
        <row r="85">
          <cell r="D85" t="str">
            <v xml:space="preserve">PSC Test Piles, 400mm x 400mm x 24m. </v>
          </cell>
        </row>
        <row r="87">
          <cell r="D87" t="str">
            <v xml:space="preserve">PSC Test Piles, 450mm x 450mm x 35m. </v>
          </cell>
        </row>
        <row r="88">
          <cell r="D88" t="str">
            <v xml:space="preserve">PSC Test Piles, 450mm x 450mm x 35m. </v>
          </cell>
        </row>
        <row r="89">
          <cell r="D89" t="str">
            <v>PSC Piles, 450mm x 450mm x 35m.</v>
          </cell>
        </row>
        <row r="90">
          <cell r="D90" t="str">
            <v xml:space="preserve">PSC Test Piles, 450mm x 450mm x 25m. </v>
          </cell>
        </row>
        <row r="91">
          <cell r="D91" t="str">
            <v>PSC Piles, 450mm x 450mm x 25m.</v>
          </cell>
        </row>
        <row r="93">
          <cell r="D93" t="str">
            <v xml:space="preserve">PSC Test Piles, 400mm x 400mm x 40m. </v>
          </cell>
        </row>
        <row r="94">
          <cell r="D94" t="str">
            <v xml:space="preserve">PSC Test Piles, 400mm x 400mm x 40m. </v>
          </cell>
        </row>
        <row r="95">
          <cell r="D95" t="str">
            <v>PSC Piles, 400mm x 400mm x 40m.</v>
          </cell>
        </row>
        <row r="97">
          <cell r="D97" t="str">
            <v xml:space="preserve">PSC Test Piles - 400mm x 400mm x 24m. </v>
          </cell>
        </row>
        <row r="98">
          <cell r="D98" t="str">
            <v xml:space="preserve">PSC Test Piles - 400mm x 400mm x 24m. </v>
          </cell>
        </row>
        <row r="99">
          <cell r="D99" t="str">
            <v>PSC Piles - 400mm x 400mm x 24m.</v>
          </cell>
        </row>
        <row r="102">
          <cell r="D102" t="str">
            <v>Steel Piles</v>
          </cell>
        </row>
        <row r="103">
          <cell r="D103" t="str">
            <v>Steel Piles</v>
          </cell>
        </row>
        <row r="104">
          <cell r="D104" t="str">
            <v>Steel Sheet Pile (PZ27)</v>
          </cell>
        </row>
        <row r="105">
          <cell r="D105" t="str">
            <v>Steel Sheet Piles (PZ27)</v>
          </cell>
        </row>
        <row r="106">
          <cell r="D106" t="str">
            <v>Steel Pipe Pile (Ø 450 x 12t x 18m. - SKK400)</v>
          </cell>
        </row>
        <row r="107">
          <cell r="D107" t="str">
            <v>Steel Pipe Pile (Ø 150 x 12t x 6m. - SKK400)</v>
          </cell>
        </row>
        <row r="108">
          <cell r="D108" t="str">
            <v>Steel Sheet Pile (for Cofferdam)</v>
          </cell>
        </row>
        <row r="110">
          <cell r="D110" t="str">
            <v>( TIMBER and INDIGENOUS MATERIALS )</v>
          </cell>
        </row>
        <row r="111">
          <cell r="D111" t="str">
            <v>( TIMBER and INDIGENOUS MATERIALS )</v>
          </cell>
        </row>
        <row r="112">
          <cell r="D112" t="str">
            <v>Yakal Specie</v>
          </cell>
        </row>
        <row r="113">
          <cell r="D113" t="str">
            <v>1" x 6" (Yakal)</v>
          </cell>
        </row>
        <row r="114">
          <cell r="D114" t="str">
            <v>1" x 8" (Yakal)</v>
          </cell>
        </row>
        <row r="115">
          <cell r="D115" t="str">
            <v>2" x 2" (Yakal)</v>
          </cell>
        </row>
        <row r="116">
          <cell r="D116" t="str">
            <v>2" x 6" (Yakal)</v>
          </cell>
        </row>
        <row r="117">
          <cell r="D117" t="str">
            <v>2" x 4" (Yakal or equivalent)</v>
          </cell>
        </row>
        <row r="118">
          <cell r="D118" t="str">
            <v>2" x 4" (Yakal)</v>
          </cell>
        </row>
        <row r="119">
          <cell r="D119" t="str">
            <v>2" x 3" (Yakal)</v>
          </cell>
        </row>
        <row r="120">
          <cell r="D120" t="str">
            <v>2" x 3" (Yakal or equivalent)</v>
          </cell>
        </row>
        <row r="121">
          <cell r="D121" t="str">
            <v>2" x 6" (Yakal or equivalent)</v>
          </cell>
        </row>
        <row r="122">
          <cell r="D122" t="str">
            <v>2" x 6" x 6' (Yakal)</v>
          </cell>
        </row>
        <row r="123">
          <cell r="D123" t="str">
            <v>2" x 6" x 6' (Yakal or equivalent)</v>
          </cell>
        </row>
        <row r="124">
          <cell r="D124" t="str">
            <v>2" x 6" x 8' (Yakal)</v>
          </cell>
        </row>
        <row r="125">
          <cell r="D125" t="str">
            <v>2" x 6" x 10' (Yakal)</v>
          </cell>
        </row>
        <row r="126">
          <cell r="D126" t="str">
            <v>2" x 6" x 12' (Yakal)</v>
          </cell>
        </row>
        <row r="127">
          <cell r="D127" t="str">
            <v>2" x 6" x 14' (Yakal)</v>
          </cell>
        </row>
        <row r="128">
          <cell r="D128" t="str">
            <v>3" x 4" (Yakal)</v>
          </cell>
        </row>
        <row r="129">
          <cell r="D129" t="str">
            <v>4" x 4" (Yakal)</v>
          </cell>
        </row>
        <row r="130">
          <cell r="D130" t="str">
            <v>3" x 4" (Yakal or equivalent)</v>
          </cell>
        </row>
        <row r="131">
          <cell r="D131" t="str">
            <v>3" x 4" x 8' (Yakal)</v>
          </cell>
        </row>
        <row r="132">
          <cell r="D132" t="str">
            <v>3" x 4" x 10' (Yakal)</v>
          </cell>
        </row>
        <row r="133">
          <cell r="D133" t="str">
            <v>6" x 6" (Yakal)</v>
          </cell>
        </row>
        <row r="134">
          <cell r="D134" t="str">
            <v>6" x 6" (Yakal or equivalent)</v>
          </cell>
        </row>
        <row r="135">
          <cell r="D135" t="str">
            <v>Yakal</v>
          </cell>
        </row>
        <row r="138">
          <cell r="D138" t="str">
            <v>Molave Specie</v>
          </cell>
        </row>
        <row r="139">
          <cell r="D139" t="str">
            <v>Molave Specie</v>
          </cell>
        </row>
        <row r="140">
          <cell r="D140" t="str">
            <v>6" x 6" (Molave)</v>
          </cell>
        </row>
        <row r="141">
          <cell r="D141" t="str">
            <v>6" x 6" (Molave or equivalent)</v>
          </cell>
        </row>
        <row r="142">
          <cell r="D142" t="str">
            <v>6" x 6" x 10' (Yakal)</v>
          </cell>
        </row>
        <row r="143">
          <cell r="D143" t="str">
            <v>6" x 6" x 8' (Molave)</v>
          </cell>
        </row>
        <row r="144">
          <cell r="D144" t="str">
            <v>6" x 6" x 10' (Molave)</v>
          </cell>
        </row>
        <row r="145">
          <cell r="D145" t="str">
            <v>6" x 6" x 14' (Molave)</v>
          </cell>
        </row>
        <row r="146">
          <cell r="D146" t="str">
            <v>6" x 6" x 16' (Molave)</v>
          </cell>
        </row>
        <row r="147">
          <cell r="D147" t="str">
            <v>6" x 6" x 18' (Molave)</v>
          </cell>
        </row>
        <row r="148">
          <cell r="D148" t="str">
            <v>6" x 6" x 20' (Molave)</v>
          </cell>
        </row>
        <row r="149">
          <cell r="D149" t="str">
            <v>6" x 6" x 22' (Molave)</v>
          </cell>
        </row>
        <row r="150">
          <cell r="D150" t="str">
            <v>8" Ø Molave Pile</v>
          </cell>
        </row>
        <row r="151">
          <cell r="D151" t="str">
            <v>Tambulian Specie</v>
          </cell>
        </row>
        <row r="152">
          <cell r="D152" t="str">
            <v>Tambulian Specie</v>
          </cell>
        </row>
        <row r="153">
          <cell r="D153" t="str">
            <v>Tambulian</v>
          </cell>
        </row>
        <row r="155">
          <cell r="D155" t="str">
            <v>Gullum Specie</v>
          </cell>
        </row>
        <row r="156">
          <cell r="D156" t="str">
            <v>Gullum Specie</v>
          </cell>
        </row>
        <row r="157">
          <cell r="D157" t="str">
            <v>Gullum</v>
          </cell>
        </row>
        <row r="158">
          <cell r="D158" t="str">
            <v>Lauan Specie</v>
          </cell>
        </row>
        <row r="159">
          <cell r="D159" t="str">
            <v>Lauan Specie</v>
          </cell>
        </row>
        <row r="160">
          <cell r="D160" t="str">
            <v>Lauan</v>
          </cell>
        </row>
        <row r="162">
          <cell r="D162" t="str">
            <v>Others Specie</v>
          </cell>
        </row>
        <row r="163">
          <cell r="D163" t="str">
            <v>Others Specie</v>
          </cell>
        </row>
        <row r="164">
          <cell r="D164" t="str">
            <v>Guijo</v>
          </cell>
        </row>
        <row r="165">
          <cell r="D165" t="str">
            <v>Apitong</v>
          </cell>
        </row>
        <row r="166">
          <cell r="D166" t="str">
            <v>Coco Trunks</v>
          </cell>
        </row>
        <row r="167">
          <cell r="D167" t="str">
            <v>Coco Lumber</v>
          </cell>
        </row>
        <row r="168">
          <cell r="D168" t="str">
            <v>Coco Lumber (Miscut)</v>
          </cell>
        </row>
        <row r="169">
          <cell r="D169" t="str">
            <v>Falsework &amp; Scaffolds (Coco Lumber)</v>
          </cell>
        </row>
        <row r="170">
          <cell r="D170" t="str">
            <v>Falsework, Scaffolds &amp; Formworks (Coco Lumber)</v>
          </cell>
        </row>
        <row r="171">
          <cell r="D171" t="str">
            <v>Bamboo Poles</v>
          </cell>
        </row>
        <row r="172">
          <cell r="D172" t="str">
            <v>1½"   Bamboo Slats</v>
          </cell>
        </row>
        <row r="173">
          <cell r="D173" t="str">
            <v>Bamboo Slats</v>
          </cell>
        </row>
        <row r="174">
          <cell r="D174" t="str">
            <v>Bacauan</v>
          </cell>
        </row>
        <row r="175">
          <cell r="D175" t="str">
            <v>Tambulian or Equivalent</v>
          </cell>
        </row>
        <row r="176">
          <cell r="D176" t="str">
            <v>Nipa Shingles</v>
          </cell>
        </row>
        <row r="177">
          <cell r="D177" t="str">
            <v>Gemilina</v>
          </cell>
        </row>
        <row r="178">
          <cell r="D178" t="str">
            <v>( TIMBER PRODUCTS )</v>
          </cell>
        </row>
        <row r="179">
          <cell r="D179" t="str">
            <v>( TIMBER PRODUCTS )</v>
          </cell>
        </row>
        <row r="180">
          <cell r="D180" t="str">
            <v>Mouldings and Slats</v>
          </cell>
        </row>
        <row r="181">
          <cell r="D181" t="str">
            <v>S-Type Mouldings/Cornice</v>
          </cell>
        </row>
        <row r="182">
          <cell r="D182" t="str">
            <v>0.70 x 1.00 fixed Louvers</v>
          </cell>
        </row>
        <row r="183">
          <cell r="D183" t="str">
            <v>Wall Boards, T&amp;G, stone-cut, etc.</v>
          </cell>
        </row>
        <row r="184">
          <cell r="D184" t="str">
            <v>¼" thk, Ordinary Plywood</v>
          </cell>
        </row>
        <row r="185">
          <cell r="D185" t="str">
            <v>3/8" thk, Ordinary Plywood</v>
          </cell>
        </row>
        <row r="186">
          <cell r="D186" t="str">
            <v>½" thk, Ordinary Plywood</v>
          </cell>
        </row>
        <row r="187">
          <cell r="D187" t="str">
            <v>½" thk, Hardiflex</v>
          </cell>
        </row>
        <row r="188">
          <cell r="D188" t="str">
            <v>3/4" thk,  Ordinary Plywood</v>
          </cell>
        </row>
        <row r="189">
          <cell r="D189" t="str">
            <v>¼" thk,  Marine Plywood</v>
          </cell>
        </row>
        <row r="190">
          <cell r="D190" t="str">
            <v>½" thk,  Marine Plywood</v>
          </cell>
        </row>
        <row r="191">
          <cell r="D191" t="str">
            <v>3/8" thk,  Form Plywood</v>
          </cell>
        </row>
        <row r="192">
          <cell r="D192" t="str">
            <v>4" x 8' Stone-Cut T&amp;G</v>
          </cell>
        </row>
        <row r="193">
          <cell r="D193" t="str">
            <v>4" x 8' Stone-Cut T&amp;G</v>
          </cell>
        </row>
        <row r="194">
          <cell r="D194" t="str">
            <v>Wooden Door Set</v>
          </cell>
        </row>
        <row r="195">
          <cell r="D195" t="str">
            <v>Wooden Window Set w/ Steel Grilles</v>
          </cell>
        </row>
        <row r="196">
          <cell r="D196" t="str">
            <v>Wooden Window-1 Set w/ Steel Grilles</v>
          </cell>
        </row>
        <row r="197">
          <cell r="D197" t="str">
            <v>Wooden Window-2 Set w/ Steel Grilles</v>
          </cell>
        </row>
        <row r="198">
          <cell r="D198" t="str">
            <v>Wooden Window-2 Set w/ Steel Grilles</v>
          </cell>
        </row>
        <row r="199">
          <cell r="D199" t="str">
            <v>Wooden Door-1 Set</v>
          </cell>
        </row>
        <row r="200">
          <cell r="D200" t="str">
            <v>Wooden Door-2 Set</v>
          </cell>
        </row>
        <row r="201">
          <cell r="D201" t="str">
            <v>Wooden Door-3 Set</v>
          </cell>
        </row>
        <row r="202">
          <cell r="D202" t="str">
            <v>Wooden Window Set</v>
          </cell>
        </row>
        <row r="203">
          <cell r="D203" t="str">
            <v>Wooden Window Set</v>
          </cell>
        </row>
        <row r="204">
          <cell r="D204" t="str">
            <v>Wooden Window Set w/ Steel Grilles</v>
          </cell>
        </row>
        <row r="205">
          <cell r="D205" t="str">
            <v>Wooden Window Set w/ Steel Grilles</v>
          </cell>
        </row>
        <row r="206">
          <cell r="D206" t="str">
            <v>Wooden Window-1 Set w/ Steel Grilles</v>
          </cell>
        </row>
        <row r="207">
          <cell r="D207" t="str">
            <v>Wooden Window-2 Set w/ Steel Grilles</v>
          </cell>
        </row>
        <row r="208">
          <cell r="D208" t="str">
            <v>Wooden Window-2 Set w/ Steel Grilles</v>
          </cell>
        </row>
        <row r="209">
          <cell r="D209" t="str">
            <v>( FLAT &amp; ROUND STEEL BARS )</v>
          </cell>
        </row>
        <row r="210">
          <cell r="D210" t="str">
            <v>( FLAT &amp; ROUND STEEL BARS )</v>
          </cell>
        </row>
        <row r="211">
          <cell r="D211" t="str">
            <v>Deformed Bars, Grade 60</v>
          </cell>
        </row>
        <row r="212">
          <cell r="D212" t="str">
            <v>Deformed Bars, Grade 40</v>
          </cell>
        </row>
        <row r="213">
          <cell r="D213" t="str">
            <v>Deformed Bars, Grade 33</v>
          </cell>
        </row>
        <row r="214">
          <cell r="D214" t="str">
            <v xml:space="preserve">6mmØ x 6m. RSB </v>
          </cell>
        </row>
        <row r="215">
          <cell r="D215" t="str">
            <v xml:space="preserve">8mmØ x 6m. RSB </v>
          </cell>
        </row>
        <row r="216">
          <cell r="D216" t="str">
            <v xml:space="preserve">10mmØ x 6m. RSB </v>
          </cell>
        </row>
        <row r="217">
          <cell r="D217" t="str">
            <v xml:space="preserve">12mmØ x 6m. RSB </v>
          </cell>
        </row>
        <row r="218">
          <cell r="D218" t="str">
            <v>Deformed Bars, (414 Mpa)</v>
          </cell>
        </row>
        <row r="219">
          <cell r="D219" t="str">
            <v>Deformed Bars, Grade 33</v>
          </cell>
        </row>
        <row r="220">
          <cell r="D220" t="str">
            <v>Deformed Bars, (230 Mpa)</v>
          </cell>
        </row>
        <row r="221">
          <cell r="D221" t="str">
            <v>Plain Round Bars, Grade 33</v>
          </cell>
        </row>
        <row r="222">
          <cell r="D222" t="str">
            <v>12mm  Suction Rod with Threaded Coupling</v>
          </cell>
        </row>
        <row r="223">
          <cell r="D223" t="str">
            <v>Square Bar</v>
          </cell>
        </row>
        <row r="224">
          <cell r="D224" t="str">
            <v>¼" X 2½" Flat Bar</v>
          </cell>
        </row>
        <row r="225">
          <cell r="D225" t="str">
            <v>3mm x 40mm Flat Bar</v>
          </cell>
        </row>
        <row r="226">
          <cell r="D226" t="str">
            <v>63mm x 4.5mm Flat Bar</v>
          </cell>
        </row>
        <row r="227">
          <cell r="D227" t="str">
            <v>36mmØ Splicing Bar</v>
          </cell>
        </row>
        <row r="228">
          <cell r="D228" t="str">
            <v>36mmØ Splicing Bar</v>
          </cell>
        </row>
        <row r="229">
          <cell r="D229" t="str">
            <v>10mmØ x 6m. RSB Grade 33</v>
          </cell>
        </row>
        <row r="230">
          <cell r="D230" t="str">
            <v>10mmØ x 6m. RSB Grade 33</v>
          </cell>
        </row>
        <row r="231">
          <cell r="D231" t="str">
            <v>10mmØ x 9m. RSB Grade 33</v>
          </cell>
        </row>
        <row r="232">
          <cell r="D232" t="str">
            <v>12mmØ x 6m. RSB Grade 33</v>
          </cell>
        </row>
        <row r="233">
          <cell r="D233" t="str">
            <v>12mmØ x 7.5m. RSB Grade 33</v>
          </cell>
        </row>
        <row r="234">
          <cell r="D234" t="str">
            <v>12mmØ x 9m. RSB Grade 33</v>
          </cell>
        </row>
        <row r="235">
          <cell r="D235" t="str">
            <v>16mmØ x 6m. RSB Grade 33</v>
          </cell>
        </row>
        <row r="236">
          <cell r="D236" t="str">
            <v>16mmØ x 7.5m. RSB Grade 33</v>
          </cell>
        </row>
        <row r="237">
          <cell r="D237" t="str">
            <v>16mmØ x 9m. RSB Grade 33</v>
          </cell>
        </row>
        <row r="238">
          <cell r="D238" t="str">
            <v>20mmØ x 6m. RSB Grade 33</v>
          </cell>
        </row>
        <row r="239">
          <cell r="D239" t="str">
            <v>20mmØ x 7.5m. RSB Grade 33</v>
          </cell>
        </row>
        <row r="240">
          <cell r="D240" t="str">
            <v>20mmØ x 9m. RSB Grade 33</v>
          </cell>
        </row>
        <row r="241">
          <cell r="D241" t="str">
            <v>25mmØ x 6m. RSB Grade 33</v>
          </cell>
        </row>
        <row r="242">
          <cell r="D242" t="str">
            <v>25mmØ x 7.5m. RSB Grade 33</v>
          </cell>
        </row>
        <row r="243">
          <cell r="D243" t="str">
            <v>25mmØ x 9m. RSB Grade 33</v>
          </cell>
        </row>
        <row r="244">
          <cell r="D244" t="str">
            <v>25mmØ x 9m. RSB Grade 33</v>
          </cell>
        </row>
        <row r="245">
          <cell r="D245" t="str">
            <v>6mmØ - Grade 33</v>
          </cell>
        </row>
        <row r="246">
          <cell r="D246" t="str">
            <v>8mmØ - Grade 33</v>
          </cell>
        </row>
        <row r="247">
          <cell r="D247" t="str">
            <v>10mmØ - Grade 33</v>
          </cell>
        </row>
        <row r="248">
          <cell r="D248" t="str">
            <v>12mmØ - Grade 33</v>
          </cell>
        </row>
        <row r="249">
          <cell r="D249" t="str">
            <v>16mmØ - Grade 33</v>
          </cell>
        </row>
        <row r="250">
          <cell r="D250" t="str">
            <v>20mmØ - Grade 33</v>
          </cell>
        </row>
        <row r="251">
          <cell r="D251" t="str">
            <v>25mmØ - Grade 33</v>
          </cell>
        </row>
        <row r="252">
          <cell r="D252" t="str">
            <v>Reinforcing Bars - Grade 33</v>
          </cell>
        </row>
        <row r="253">
          <cell r="D253" t="str">
            <v>Reinforcing Bars - Grade 33</v>
          </cell>
        </row>
        <row r="254">
          <cell r="D254" t="str">
            <v>6mmØ - Grade 40</v>
          </cell>
        </row>
        <row r="255">
          <cell r="D255" t="str">
            <v>8mmØ - Grade 40</v>
          </cell>
        </row>
        <row r="256">
          <cell r="D256" t="str">
            <v>10mmØ - Grade 40</v>
          </cell>
        </row>
        <row r="257">
          <cell r="D257" t="str">
            <v>12mmØ - Grade 40</v>
          </cell>
        </row>
        <row r="258">
          <cell r="D258" t="str">
            <v>16mmØ - Grade 40</v>
          </cell>
        </row>
        <row r="259">
          <cell r="D259" t="str">
            <v>20mmØ - Grade 40</v>
          </cell>
        </row>
        <row r="260">
          <cell r="D260" t="str">
            <v>25mmØ - Grade 40</v>
          </cell>
        </row>
        <row r="261">
          <cell r="D261" t="str">
            <v>25mmØ - Grade 40</v>
          </cell>
        </row>
        <row r="262">
          <cell r="D262" t="str">
            <v>10mmØ - Stainless Steel Rod Grade 30</v>
          </cell>
        </row>
        <row r="263">
          <cell r="D263" t="str">
            <v>10mmØ - Stainless Steel Turn Buckle Grade 30</v>
          </cell>
        </row>
        <row r="264">
          <cell r="D264" t="str">
            <v>10mmØ - Stainless Steel Hook Bar Grade 30</v>
          </cell>
        </row>
        <row r="265">
          <cell r="D265" t="str">
            <v>12mmØ - Stainless Steel Rod Grade 30</v>
          </cell>
        </row>
        <row r="266">
          <cell r="D266" t="str">
            <v>12mmØ - Stainless Steel Turn Buckle Grade 30</v>
          </cell>
        </row>
        <row r="267">
          <cell r="D267" t="str">
            <v>12mmØ - Stainless Steel Hook Bar Grade 30</v>
          </cell>
        </row>
        <row r="268">
          <cell r="D268" t="str">
            <v>12mmØ - Stainless Steel Hook Bar Grade 30</v>
          </cell>
        </row>
        <row r="269">
          <cell r="D269" t="str">
            <v>1/8" x 3/4" x 3/4" Angle Bar</v>
          </cell>
        </row>
        <row r="270">
          <cell r="D270" t="str">
            <v>( STRUCTURAL STEEL )</v>
          </cell>
        </row>
        <row r="271">
          <cell r="D271" t="str">
            <v>3/16"x1½"x1½" Angle Bar</v>
          </cell>
        </row>
        <row r="272">
          <cell r="D272" t="str">
            <v>1/8" x 3/4" x 3/4" Angle Bar</v>
          </cell>
        </row>
        <row r="273">
          <cell r="D273" t="str">
            <v>1/8" x 2" x 2" Angle Bar</v>
          </cell>
        </row>
        <row r="274">
          <cell r="D274" t="str">
            <v>3/16" x 2" x 2" Angle Bar</v>
          </cell>
        </row>
        <row r="275">
          <cell r="D275" t="str">
            <v>3/16" x 1" x1" Angle Bar</v>
          </cell>
        </row>
        <row r="276">
          <cell r="D276" t="str">
            <v>3/16" x 1" x1" Angle Bar</v>
          </cell>
        </row>
        <row r="277">
          <cell r="D277" t="str">
            <v>38mm x 38mmx 5mm Angle Bar</v>
          </cell>
        </row>
        <row r="278">
          <cell r="D278" t="str">
            <v>50mm x 50mm x 6mm Angle Bar</v>
          </cell>
        </row>
        <row r="279">
          <cell r="D279" t="str">
            <v>Steel Plate/Bar</v>
          </cell>
        </row>
        <row r="280">
          <cell r="D280" t="str">
            <v>50mm x 50mm x 5.5mm Angle Bar</v>
          </cell>
        </row>
        <row r="281">
          <cell r="D281" t="str">
            <v>1" x 1/4" Flat Bar</v>
          </cell>
        </row>
        <row r="282">
          <cell r="D282" t="str">
            <v>6mm x 50mm Flat Bar</v>
          </cell>
        </row>
        <row r="283">
          <cell r="D283" t="str">
            <v>38mm x 38mmx 5mm Angle Bar</v>
          </cell>
        </row>
        <row r="284">
          <cell r="D284" t="str">
            <v>38mm x 38mmx 6mm Angle Bar</v>
          </cell>
        </row>
        <row r="285">
          <cell r="D285" t="str">
            <v>38mm x 38mmx 5.2mm Angle Bar</v>
          </cell>
        </row>
        <row r="286">
          <cell r="D286" t="str">
            <v>40mm x 40mmx 6mm Angle Bar</v>
          </cell>
        </row>
        <row r="287">
          <cell r="D287" t="str">
            <v>40mm x 40mmx 5.5mm Angle Bar</v>
          </cell>
        </row>
        <row r="288">
          <cell r="D288" t="str">
            <v>25mm x 25mm x 3mm Angle Bar</v>
          </cell>
        </row>
        <row r="289">
          <cell r="D289" t="str">
            <v>25mm x 25mm x 6mm Angle Bar</v>
          </cell>
        </row>
        <row r="290">
          <cell r="D290" t="str">
            <v>50mm x 50mm x 4.5mm Angle Bar</v>
          </cell>
        </row>
        <row r="291">
          <cell r="D291" t="str">
            <v>50mm x 50mm x 5.5mm Angle Bar</v>
          </cell>
        </row>
        <row r="292">
          <cell r="D292" t="str">
            <v>63mm x 63mm x 4.5mm Angle Bar</v>
          </cell>
        </row>
        <row r="293">
          <cell r="D293" t="str">
            <v>3/16" x 2½" x2½" Angle Bar</v>
          </cell>
        </row>
        <row r="294">
          <cell r="D294" t="str">
            <v>100mm x 100mm x 8mm Angle Bar</v>
          </cell>
        </row>
        <row r="295">
          <cell r="D295" t="str">
            <v>100mm x 100mm x 10mm Angle Bar</v>
          </cell>
        </row>
        <row r="296">
          <cell r="D296" t="str">
            <v>100mm x 100mm x 12mm Angle Bar</v>
          </cell>
        </row>
        <row r="297">
          <cell r="D297" t="str">
            <v>Structural Steel, ASTM A36</v>
          </cell>
        </row>
        <row r="298">
          <cell r="D298" t="str">
            <v>Structural Steel Plate 9mm thk., ASTM A36</v>
          </cell>
        </row>
        <row r="299">
          <cell r="D299" t="str">
            <v>Structural Steel Plate 12mm thk., ASTM A36</v>
          </cell>
        </row>
        <row r="300">
          <cell r="D300" t="str">
            <v>Structural Steel Plate 16mm thk., ASTM A36</v>
          </cell>
        </row>
        <row r="301">
          <cell r="D301" t="str">
            <v>Structural Steel Plate 25mm thk., ASTM A36</v>
          </cell>
        </row>
        <row r="302">
          <cell r="D302" t="str">
            <v>Structural Steel 50mm x 50mm x 6m., ASTM A36</v>
          </cell>
        </row>
        <row r="303">
          <cell r="D303" t="str">
            <v>Steel Channel, 4 x 7.25</v>
          </cell>
        </row>
        <row r="304">
          <cell r="D304" t="str">
            <v>Steel Channel, 6 x 13</v>
          </cell>
        </row>
        <row r="305">
          <cell r="D305" t="str">
            <v>Steel Channel, C10 x 30</v>
          </cell>
        </row>
        <row r="306">
          <cell r="D306" t="str">
            <v>2" x 4" C-Purlin, Ga.16</v>
          </cell>
        </row>
        <row r="307">
          <cell r="D307" t="str">
            <v>LC 100x50x15x2.0 Purlins</v>
          </cell>
        </row>
        <row r="308">
          <cell r="D308" t="str">
            <v>LC 100x50x15x2.0 Studdings</v>
          </cell>
        </row>
        <row r="309">
          <cell r="D309" t="str">
            <v>12mmØ x 210mm A325 Bolts</v>
          </cell>
        </row>
        <row r="310">
          <cell r="D310" t="str">
            <v>20mmØ x 210mm A325 Bolts</v>
          </cell>
        </row>
        <row r="311">
          <cell r="D311" t="str">
            <v>25mmØ x 300mm A325 Bolts</v>
          </cell>
        </row>
        <row r="312">
          <cell r="D312" t="str">
            <v>32mmØ Standard Turn Buckle</v>
          </cell>
        </row>
        <row r="313">
          <cell r="D313" t="str">
            <v>32mmØ Standard Ring Joint</v>
          </cell>
        </row>
        <row r="314">
          <cell r="D314" t="str">
            <v>32mmØ Tie Rod</v>
          </cell>
        </row>
        <row r="315">
          <cell r="D315" t="str">
            <v>25mmØ x 500mm A325 Bolts</v>
          </cell>
        </row>
        <row r="316">
          <cell r="D316" t="str">
            <v>16mmØ x 250mm A325 Bolts</v>
          </cell>
        </row>
        <row r="317">
          <cell r="D317" t="str">
            <v>16mmØ x 50mm A325 Bolts</v>
          </cell>
        </row>
        <row r="318">
          <cell r="D318" t="str">
            <v>12mmØ x 75mm A325 Bolts</v>
          </cell>
        </row>
        <row r="319">
          <cell r="D319" t="str">
            <v>16mmØ x 50mm A325 Bolts</v>
          </cell>
        </row>
        <row r="320">
          <cell r="D320" t="str">
            <v>Steel Plate</v>
          </cell>
        </row>
        <row r="321">
          <cell r="D321" t="str">
            <v>Consumables</v>
          </cell>
        </row>
        <row r="322">
          <cell r="D322" t="str">
            <v>Joint Sealer</v>
          </cell>
        </row>
        <row r="323">
          <cell r="D323" t="str">
            <v>Joint Filler, hot poured</v>
          </cell>
        </row>
        <row r="324">
          <cell r="D324" t="str">
            <v>Filler Board</v>
          </cell>
        </row>
        <row r="325">
          <cell r="D325" t="str">
            <v>Filter Cloth</v>
          </cell>
        </row>
        <row r="326">
          <cell r="D326" t="str">
            <v>Filler Board</v>
          </cell>
        </row>
        <row r="327">
          <cell r="D327" t="str">
            <v>( NAILS, BOLTS and FASTENERS )</v>
          </cell>
        </row>
        <row r="328">
          <cell r="D328" t="str">
            <v>Common Wire Nails</v>
          </cell>
        </row>
        <row r="329">
          <cell r="D329" t="str">
            <v>Common Wire Nails (Keg)</v>
          </cell>
        </row>
        <row r="330">
          <cell r="D330" t="str">
            <v>Finishing Nails</v>
          </cell>
        </row>
        <row r="331">
          <cell r="D331" t="str">
            <v>Roofing Nails umbrella type</v>
          </cell>
        </row>
        <row r="332">
          <cell r="D332" t="str">
            <v>Concrete Nail</v>
          </cell>
        </row>
        <row r="333">
          <cell r="D333" t="str">
            <v>13mm, High-Strength Bolt, 4"</v>
          </cell>
        </row>
        <row r="334">
          <cell r="D334" t="str">
            <v>Machine Bolt w/ nut &amp; washer</v>
          </cell>
        </row>
        <row r="335">
          <cell r="D335" t="str">
            <v>16mmØ x 300mm Stainless Machine Bolt w/ nut &amp; washer</v>
          </cell>
        </row>
        <row r="336">
          <cell r="D336" t="str">
            <v>16mmØ x 250mm Stainless Machine Bolt w/ nut &amp; washer</v>
          </cell>
        </row>
        <row r="337">
          <cell r="D337" t="str">
            <v>16mmØ x 150mm Stainless Machine Bolt w/ nut &amp; washer</v>
          </cell>
        </row>
        <row r="338">
          <cell r="D338" t="str">
            <v>16mmØ x 200mm Stainless Machine Bolt w/ nut &amp; washer</v>
          </cell>
        </row>
        <row r="339">
          <cell r="D339" t="str">
            <v>12mmØ x 150mm Stainless Machine Bolt w/ nut &amp; washer</v>
          </cell>
        </row>
        <row r="340">
          <cell r="D340" t="str">
            <v>12mmØ x 200mm Stainless Machine Bolt w/ nut &amp; washer</v>
          </cell>
        </row>
        <row r="341">
          <cell r="D341" t="str">
            <v>12mmØ x 250mm Stainless Machine Bolt w/ nut &amp; washer</v>
          </cell>
        </row>
        <row r="342">
          <cell r="D342" t="str">
            <v>12mmØ x 200mm Stainless Machine Bolt w/ nut &amp; washer</v>
          </cell>
        </row>
        <row r="343">
          <cell r="D343" t="str">
            <v>16mmØ x 229 Machine Bolt w/ nut &amp; washer</v>
          </cell>
        </row>
        <row r="344">
          <cell r="D344" t="str">
            <v>20mmØ GI Machine Bolt w/ nut &amp; washer</v>
          </cell>
        </row>
        <row r="345">
          <cell r="D345" t="str">
            <v>16mmØ GI Machine Bolt w/ nut &amp; washer</v>
          </cell>
        </row>
        <row r="346">
          <cell r="D346" t="str">
            <v>12mmØ GI Machine Bolt w/ nut &amp; washer</v>
          </cell>
        </row>
        <row r="347">
          <cell r="D347" t="str">
            <v>16mmØ x 250mm GI Machine Bolt w/ nut &amp; washer</v>
          </cell>
        </row>
        <row r="348">
          <cell r="D348" t="str">
            <v>16mmØ x 300mm GI Machine Bolt w/ nut &amp; washer</v>
          </cell>
        </row>
        <row r="349">
          <cell r="D349" t="str">
            <v>12mmØ x 400mm GI Machine Bolt w/ nut &amp; washer</v>
          </cell>
        </row>
        <row r="350">
          <cell r="D350" t="str">
            <v>12mmØ x 150mm GI Machine Bolt w/ nut &amp; washer</v>
          </cell>
        </row>
        <row r="351">
          <cell r="D351" t="str">
            <v>12mmØ x 75mm GI Machine Bolt w/ nut &amp; washer</v>
          </cell>
        </row>
        <row r="352">
          <cell r="D352" t="str">
            <v>12mmØ GI Machine Bolt w/ nut &amp; washers</v>
          </cell>
        </row>
        <row r="353">
          <cell r="D353" t="str">
            <v>12mmØ GI Bolt w/ nut &amp; washers</v>
          </cell>
        </row>
        <row r="354">
          <cell r="D354" t="str">
            <v>10mmØ GI Machine Bolt w/ nut &amp; washers</v>
          </cell>
        </row>
        <row r="355">
          <cell r="D355" t="str">
            <v>12mmØ GI Bolt w/ nut &amp; washers</v>
          </cell>
        </row>
        <row r="356">
          <cell r="D356" t="str">
            <v>Boat Spike (Nail)</v>
          </cell>
        </row>
        <row r="357">
          <cell r="D357" t="str">
            <v>7/8" Anchor Bolt, 10"</v>
          </cell>
        </row>
        <row r="358">
          <cell r="D358" t="str">
            <v>16mmØ x 250mm Anchor Bolt</v>
          </cell>
        </row>
        <row r="359">
          <cell r="D359" t="str">
            <v>16mmØ x 300mm Anchor Bolt</v>
          </cell>
        </row>
        <row r="360">
          <cell r="D360" t="str">
            <v>20mmØ x 300mm Anchor Bolt</v>
          </cell>
        </row>
        <row r="361">
          <cell r="D361" t="str">
            <v>12mmØ x 38mm Anchor Bolt</v>
          </cell>
        </row>
        <row r="362">
          <cell r="D362" t="str">
            <v>20mm, Turn Buckle</v>
          </cell>
        </row>
        <row r="363">
          <cell r="D363" t="str">
            <v>16mm, Turn Buckle</v>
          </cell>
        </row>
        <row r="364">
          <cell r="D364" t="str">
            <v>12mm  Turnbuckle</v>
          </cell>
        </row>
        <row r="365">
          <cell r="D365" t="str">
            <v>13mm, U-Bolt</v>
          </cell>
        </row>
        <row r="366">
          <cell r="D366" t="str">
            <v>16mm, U-Bolt w/ nuts and washers</v>
          </cell>
        </row>
        <row r="367">
          <cell r="D367" t="str">
            <v>13mm, Cable Clip</v>
          </cell>
        </row>
        <row r="368">
          <cell r="D368" t="str">
            <v>32mm, Cable Clip</v>
          </cell>
        </row>
        <row r="369">
          <cell r="D369" t="str">
            <v>13mm,  Thimble</v>
          </cell>
        </row>
        <row r="370">
          <cell r="D370" t="str">
            <v>12mm  Stainless Screw, 1/2"</v>
          </cell>
        </row>
        <row r="371">
          <cell r="D371" t="str">
            <v>Tekscrew</v>
          </cell>
        </row>
        <row r="372">
          <cell r="D372" t="str">
            <v>Post Strap Flat Bar</v>
          </cell>
        </row>
        <row r="373">
          <cell r="D373" t="str">
            <v>GI Post Strap 1/4" x 2"</v>
          </cell>
        </row>
        <row r="374">
          <cell r="D374" t="str">
            <v>Post Strap Flat Bar</v>
          </cell>
        </row>
        <row r="375">
          <cell r="D375" t="str">
            <v>( GI WIRES )</v>
          </cell>
        </row>
        <row r="376">
          <cell r="D376" t="str">
            <v>Ga.16 GI Tie Wire</v>
          </cell>
        </row>
        <row r="377">
          <cell r="D377" t="str">
            <v>G.I. Rivets</v>
          </cell>
        </row>
        <row r="378">
          <cell r="D378" t="str">
            <v>20mmØ G.I. Chain</v>
          </cell>
        </row>
        <row r="379">
          <cell r="D379" t="str">
            <v>G.I. Rivets</v>
          </cell>
        </row>
        <row r="380">
          <cell r="D380" t="str">
            <v>( ROOFING SHEET )</v>
          </cell>
        </row>
        <row r="381">
          <cell r="D381" t="str">
            <v>GI Sheet Roofing</v>
          </cell>
        </row>
        <row r="382">
          <cell r="D382" t="str">
            <v>CORR. G.I.sheets, Ga.26</v>
          </cell>
        </row>
        <row r="383">
          <cell r="D383" t="str">
            <v>CORR. G.I.sheets, Ga.31</v>
          </cell>
        </row>
        <row r="384">
          <cell r="D384" t="str">
            <v>CORR. G.I.sheets x 6' , Ga.26</v>
          </cell>
        </row>
        <row r="385">
          <cell r="D385" t="str">
            <v>CORR. G.I.sheets x 8' , Ga.26</v>
          </cell>
        </row>
        <row r="386">
          <cell r="D386" t="str">
            <v>3' x 8' Plain G.I. Sheet, Ga.26</v>
          </cell>
        </row>
        <row r="387">
          <cell r="D387" t="str">
            <v>3' x 8' Plain G.I. Sheet, Ga.31</v>
          </cell>
        </row>
        <row r="388">
          <cell r="D388" t="str">
            <v>Plain G.I. Sheet, Ga.26</v>
          </cell>
        </row>
        <row r="389">
          <cell r="D389" t="str">
            <v>Pre-Painted Corr. GI Sht, Ga.26</v>
          </cell>
        </row>
        <row r="390">
          <cell r="D390" t="str">
            <v>24" Prefab GI Gutter</v>
          </cell>
        </row>
        <row r="391">
          <cell r="D391" t="str">
            <v>12" Prefab GI Ridge Roll</v>
          </cell>
        </row>
        <row r="392">
          <cell r="D392" t="str">
            <v>18" Prefab GI Flashing</v>
          </cell>
        </row>
        <row r="393">
          <cell r="D393" t="str">
            <v>3' x 8' Plain G.I. Sheet, Ga.24</v>
          </cell>
        </row>
        <row r="394">
          <cell r="D394" t="str">
            <v>0.40mm x 0.830m Durawide Rib Type Roofing Sheet (Phil Metal)</v>
          </cell>
        </row>
        <row r="395">
          <cell r="D395" t="str">
            <v>0.40mm x 0.45m x 3.66m) Pre-painted ridge roll (Phil Metal)</v>
          </cell>
        </row>
        <row r="396">
          <cell r="D396" t="str">
            <v>0.40mm x 0.915 x 3.66m) Spanish End Flashing (Phil Metal)</v>
          </cell>
        </row>
        <row r="397">
          <cell r="D397" t="str">
            <v>0.40mm x 0.915 x 3.66m) Spanish Gutter (Phil Metal)</v>
          </cell>
        </row>
        <row r="398">
          <cell r="D398" t="str">
            <v>Teks 4 #12-24 x 45mm Hex w/ Neo</v>
          </cell>
        </row>
        <row r="399">
          <cell r="D399" t="str">
            <v>Prepainted Galvallum Corr..sheets , 0.30mm thk.</v>
          </cell>
        </row>
        <row r="400">
          <cell r="D400" t="str">
            <v>Prepainted Galvalume 55 Corr..sheets , 4.0ft wide x 0.3mm thk.</v>
          </cell>
        </row>
        <row r="401">
          <cell r="D401" t="str">
            <v>Prepainted Galvalume 55 Corr..sheets , 3.0ft wide x 0.3mm thk.</v>
          </cell>
        </row>
        <row r="402">
          <cell r="D402" t="str">
            <v>Prepainted Galvalume 55 Plain..sheets , 3.0ft wide x 0.35mm thk.</v>
          </cell>
        </row>
        <row r="403">
          <cell r="D403" t="str">
            <v>Prepainted Galvallum Plain sheets, 0.35mm thk.</v>
          </cell>
        </row>
        <row r="404">
          <cell r="D404" t="str">
            <v>Prepainted Galvallum Corr..sheets x 6' , 0.35mm thk.</v>
          </cell>
        </row>
        <row r="405">
          <cell r="D405" t="str">
            <v>Prepainted Galvallum Corr..sheets x 8' , 0.35mm thk.</v>
          </cell>
        </row>
        <row r="406">
          <cell r="D406" t="str">
            <v>Prepainted Galvallum Plain sheets x 10' , 0.35mm thk.</v>
          </cell>
        </row>
        <row r="407">
          <cell r="D407" t="str">
            <v>Galvalume 55 Plain sheets x 10' , 0.35mm thk.</v>
          </cell>
        </row>
        <row r="408">
          <cell r="D408" t="str">
            <v>Galvalume 55 Corr. sheets x 12' , 0.35mm thk.</v>
          </cell>
        </row>
        <row r="409">
          <cell r="D409" t="str">
            <v>Galvalume 55 Corr. sheets x 10' , 0.35mm thk.</v>
          </cell>
        </row>
        <row r="410">
          <cell r="D410" t="str">
            <v>Galvalume 55 Corr. sheets x 9' , 0.35mm thk.</v>
          </cell>
        </row>
        <row r="411">
          <cell r="D411" t="str">
            <v>Galvalume 55 Corr. sheets x 8' , 0.35mm thk.</v>
          </cell>
        </row>
        <row r="412">
          <cell r="D412" t="str">
            <v>Galvalume 55 Corr. sheets x 7' , 0.35mm thk.</v>
          </cell>
        </row>
        <row r="413">
          <cell r="D413" t="str">
            <v>Galvalume 55 Corr. sheets x 6' , 0.35mm thk.</v>
          </cell>
        </row>
        <row r="414">
          <cell r="D414" t="str">
            <v>Galvalume 55 Corr. sheets x 6' , 0.35mm thk.</v>
          </cell>
        </row>
        <row r="415">
          <cell r="D415" t="str">
            <v>0.30mm thk x 4.0ft. wide Unpainted Galvallum 55</v>
          </cell>
        </row>
        <row r="416">
          <cell r="D416" t="str">
            <v>0.30mmthk x 0.610m x 2.44m Ridge Roll Unpainted Galvallum 55 (4ft x 8ft)</v>
          </cell>
        </row>
        <row r="417">
          <cell r="D417" t="str">
            <v>0.30mm thk x 4.0ft. wide Unpainted Galvallum 55</v>
          </cell>
        </row>
        <row r="418">
          <cell r="D418" t="str">
            <v>0.30mm thk x 4.0ft. wide Unpainted Galvallum 55 (End Flashing)</v>
          </cell>
        </row>
        <row r="419">
          <cell r="D419" t="str">
            <v>0.30mm thk x 4.0ft. wide Unpainted Galvallum 55 (Ridge Roll)</v>
          </cell>
        </row>
        <row r="420">
          <cell r="D420" t="str">
            <v>0.30mm thk x 4.0ft. wide Unpainted Galvallum 55 (End Flashing)</v>
          </cell>
        </row>
        <row r="421">
          <cell r="D421" t="str">
            <v>Metalplas Corr. Roofing (1.5mm thk)</v>
          </cell>
        </row>
        <row r="422">
          <cell r="D422" t="str">
            <v>Metalplas Ridge Roll</v>
          </cell>
        </row>
        <row r="423">
          <cell r="D423" t="str">
            <v>Metalplas End Flashing</v>
          </cell>
        </row>
        <row r="424">
          <cell r="D424" t="str">
            <v>Metalplas Ridge Roll</v>
          </cell>
        </row>
        <row r="425">
          <cell r="D425" t="str">
            <v>Blind Rivets</v>
          </cell>
        </row>
        <row r="426">
          <cell r="D426" t="str">
            <v>Silicon Rubber Sealant</v>
          </cell>
        </row>
        <row r="427">
          <cell r="D427" t="str">
            <v>Touch-up Acrylic Paint</v>
          </cell>
        </row>
        <row r="428">
          <cell r="D428" t="str">
            <v>Silicon Rubber Sealant</v>
          </cell>
        </row>
        <row r="429">
          <cell r="D429" t="str">
            <v>( HARDWARES )</v>
          </cell>
        </row>
        <row r="430">
          <cell r="D430" t="str">
            <v>Gutter seal</v>
          </cell>
        </row>
        <row r="431">
          <cell r="D431" t="str">
            <v>4'-wide Cyclone  Wire</v>
          </cell>
        </row>
        <row r="432">
          <cell r="D432" t="str">
            <v>1¼ "dia. X 6" Double Type Pulley Level</v>
          </cell>
        </row>
        <row r="433">
          <cell r="D433" t="str">
            <v>1¼ "dia. X 6" Steel Ring Bolt Adaptor</v>
          </cell>
        </row>
        <row r="434">
          <cell r="D434" t="str">
            <v>1¼ "dia. X 1¼" Steel Ring Bolt Adaptor</v>
          </cell>
        </row>
        <row r="435">
          <cell r="D435" t="str">
            <v>1" Cylindrical Ejector Assembly, 32"</v>
          </cell>
        </row>
        <row r="436">
          <cell r="D436" t="str">
            <v>1½" " Cylindrical Ejector Assembly, 32"</v>
          </cell>
        </row>
        <row r="437">
          <cell r="D437" t="str">
            <v>Cylindrical Door Knob</v>
          </cell>
        </row>
        <row r="438">
          <cell r="D438" t="str">
            <v>4" Barrel Bolts</v>
          </cell>
        </row>
        <row r="439">
          <cell r="D439" t="str">
            <v>4" x 4" Loose Pin Butt Hinges</v>
          </cell>
        </row>
        <row r="440">
          <cell r="D440" t="str">
            <v>3" x 3" Loose Pin Butt Hinges</v>
          </cell>
        </row>
        <row r="441">
          <cell r="D441" t="str">
            <v>4" Hasp Lock Hinges</v>
          </cell>
        </row>
        <row r="442">
          <cell r="D442" t="str">
            <v>Alum. Mesh Wire, 1/8" eye x 3'</v>
          </cell>
        </row>
        <row r="443">
          <cell r="D443" t="str">
            <v>Alum. Mesh Wire, 1/2" eye x 3'</v>
          </cell>
        </row>
        <row r="444">
          <cell r="D444" t="str">
            <v>Alum. Mesh Wire, 1" eye x 3'</v>
          </cell>
        </row>
        <row r="445">
          <cell r="D445" t="str">
            <v>Aluminum Mosquito Screen, 3ft-wide</v>
          </cell>
        </row>
        <row r="446">
          <cell r="D446" t="str">
            <v>Aukom Rug</v>
          </cell>
        </row>
        <row r="447">
          <cell r="D447" t="str">
            <v>Welding Rods 1/8"ø E60</v>
          </cell>
        </row>
        <row r="448">
          <cell r="D448" t="str">
            <v>Welding Rods 1/8"ø E70XX</v>
          </cell>
        </row>
        <row r="449">
          <cell r="D449" t="str">
            <v>Welwood Glue</v>
          </cell>
        </row>
        <row r="450">
          <cell r="D450" t="str">
            <v>Solvent Cement</v>
          </cell>
        </row>
        <row r="451">
          <cell r="D451" t="str">
            <v xml:space="preserve">1½"   Cylindrical Ejector Assmbly, CLAYTON USA </v>
          </cell>
        </row>
        <row r="452">
          <cell r="D452" t="str">
            <v xml:space="preserve">1¼" Cylindrical Ejector Assmbly, CLAYTON USA </v>
          </cell>
        </row>
        <row r="453">
          <cell r="D453" t="str">
            <v>½" Teflon Tape</v>
          </cell>
        </row>
        <row r="454">
          <cell r="D454" t="str">
            <v>¾" Teflon Tape</v>
          </cell>
        </row>
        <row r="455">
          <cell r="D455" t="str">
            <v>1"  Teflon Tape</v>
          </cell>
        </row>
        <row r="456">
          <cell r="D456" t="str">
            <v>Cabinet Door Handle</v>
          </cell>
        </row>
        <row r="457">
          <cell r="D457" t="str">
            <v>½" dia. x 3/4"  Pillow Block</v>
          </cell>
        </row>
        <row r="458">
          <cell r="D458" t="str">
            <v>#6203  Bearing</v>
          </cell>
        </row>
        <row r="459">
          <cell r="D459" t="str">
            <v>3/4"dia. x 4"  Steel Spring</v>
          </cell>
        </row>
        <row r="460">
          <cell r="D460" t="str">
            <v>1¼" Foot Valve, Brass</v>
          </cell>
        </row>
        <row r="461">
          <cell r="D461" t="str">
            <v>1" x 2" Cabinet Hinges</v>
          </cell>
        </row>
        <row r="462">
          <cell r="D462" t="str">
            <v>Gabion Mattress</v>
          </cell>
        </row>
        <row r="463">
          <cell r="D463" t="str">
            <v>20mmØ Chain and Other Accessories</v>
          </cell>
        </row>
        <row r="464">
          <cell r="D464" t="str">
            <v>Gabion Mattress</v>
          </cell>
        </row>
        <row r="465">
          <cell r="D465" t="str">
            <v>( STRUCTURAL STEEL WIRES AND CABLES )</v>
          </cell>
        </row>
        <row r="466">
          <cell r="D466" t="str">
            <v>6mm,  IWRC (6 x  25)</v>
          </cell>
        </row>
        <row r="467">
          <cell r="D467" t="str">
            <v>8mm,  IWRC (6 x  25)</v>
          </cell>
        </row>
        <row r="468">
          <cell r="D468" t="str">
            <v>10mm,  IWRC (6 x  25)</v>
          </cell>
        </row>
        <row r="469">
          <cell r="D469" t="str">
            <v>11mm,  IWRC (6 x  25)</v>
          </cell>
        </row>
        <row r="470">
          <cell r="D470" t="str">
            <v>13mm,  IWRC (6 x  25)</v>
          </cell>
        </row>
        <row r="471">
          <cell r="D471" t="str">
            <v>14mm,  IWRC (6 x  25)</v>
          </cell>
        </row>
        <row r="472">
          <cell r="D472" t="str">
            <v>16mm,  IWRC (6 x  25)</v>
          </cell>
        </row>
        <row r="473">
          <cell r="D473" t="str">
            <v>20mm,  IWRC (6 x  25)</v>
          </cell>
        </row>
        <row r="474">
          <cell r="D474" t="str">
            <v>22mm,  IWRC (6 x  25)</v>
          </cell>
        </row>
        <row r="475">
          <cell r="D475" t="str">
            <v>25mm,  IWRC (6 x  25)</v>
          </cell>
        </row>
        <row r="476">
          <cell r="D476" t="str">
            <v>29mm,  IWRC (6 x  25)</v>
          </cell>
        </row>
        <row r="477">
          <cell r="D477" t="str">
            <v>32mm,  IWRC (6 x  25)</v>
          </cell>
        </row>
        <row r="478">
          <cell r="D478" t="str">
            <v>35mm, ,  IWRC (6 x  25)</v>
          </cell>
        </row>
        <row r="479">
          <cell r="D479" t="str">
            <v>38mm,  IWRC (6 x  25)</v>
          </cell>
        </row>
        <row r="480">
          <cell r="D480" t="str">
            <v>41mm,  IWRC (6 x  25)</v>
          </cell>
        </row>
        <row r="481">
          <cell r="D481" t="str">
            <v>44mm,  IWRC (6 x  25)</v>
          </cell>
        </row>
        <row r="482">
          <cell r="D482" t="str">
            <v>48mm,  IWRC (6 x  25)</v>
          </cell>
        </row>
        <row r="483">
          <cell r="D483" t="str">
            <v>51mm,  IWRC (6 x  25)</v>
          </cell>
        </row>
        <row r="484">
          <cell r="D484" t="str">
            <v>54mm,  IWRC (6 x  25)</v>
          </cell>
        </row>
        <row r="485">
          <cell r="D485" t="str">
            <v>57mm,  IWRC (6 x  25)</v>
          </cell>
        </row>
        <row r="486">
          <cell r="D486" t="str">
            <v>5mm, Wire Rope Fiber Core (6 x 25)</v>
          </cell>
        </row>
        <row r="487">
          <cell r="D487" t="str">
            <v>6mm, Wire Rope Fiber Core (6 x 25)</v>
          </cell>
        </row>
        <row r="488">
          <cell r="D488" t="str">
            <v>8mm, Wire Rope Fiber Core (6 x 25)</v>
          </cell>
        </row>
        <row r="489">
          <cell r="D489" t="str">
            <v>10mm, Wire Rope Fiber Core (6 x 25)</v>
          </cell>
        </row>
        <row r="490">
          <cell r="D490" t="str">
            <v>11mm, Wire Rope Fiber Core (6 x 25)</v>
          </cell>
        </row>
        <row r="491">
          <cell r="D491" t="str">
            <v>13mm, Wire Rope Fiber Core (6 x 25)</v>
          </cell>
        </row>
        <row r="492">
          <cell r="D492" t="str">
            <v>14mm, Wire Rope Fiber Core (6 x 25)</v>
          </cell>
        </row>
        <row r="493">
          <cell r="D493" t="str">
            <v>16mm, Wire Rope Fiber Core (6 x 25)</v>
          </cell>
        </row>
        <row r="494">
          <cell r="D494" t="str">
            <v>20mm, Wire Rope Fiber Core (6 x 25)</v>
          </cell>
        </row>
        <row r="495">
          <cell r="D495" t="str">
            <v>22mm, Wire Rope Fiber Core (6 x 25)</v>
          </cell>
        </row>
        <row r="496">
          <cell r="D496" t="str">
            <v>25mm, Wire Rope Fiber Core (6 x 25)</v>
          </cell>
        </row>
        <row r="497">
          <cell r="D497" t="str">
            <v>29mm, Wire Rope Fiber Core (6 x 25)</v>
          </cell>
        </row>
        <row r="498">
          <cell r="D498" t="str">
            <v>32mm, Wire Rope Fiber Core (6 x 25)</v>
          </cell>
        </row>
        <row r="499">
          <cell r="D499" t="str">
            <v>35mm, , Wire Rope Fiber Core (6 x 25)</v>
          </cell>
        </row>
        <row r="500">
          <cell r="D500" t="str">
            <v>38mm, Wire Rope Fiber Core (6 x 25)</v>
          </cell>
        </row>
        <row r="501">
          <cell r="D501" t="str">
            <v>41mm, Wire Rope Fiber Core (6 x 25)</v>
          </cell>
        </row>
        <row r="502">
          <cell r="D502" t="str">
            <v>44mm, Wire Rope Fiber Core (6 x 25)</v>
          </cell>
        </row>
        <row r="503">
          <cell r="D503" t="str">
            <v>48mm, Wire Rope Fiber Core (6 x 25)</v>
          </cell>
        </row>
        <row r="504">
          <cell r="D504" t="str">
            <v>51mm, Wire Rope Fiber Core (6 x 25)</v>
          </cell>
        </row>
        <row r="505">
          <cell r="D505" t="str">
            <v>54mm, Wire Rope Fiber Core (6 x 25)</v>
          </cell>
        </row>
        <row r="506">
          <cell r="D506" t="str">
            <v>57mm, Wire Rope Fiber Core (6 x 25)</v>
          </cell>
        </row>
        <row r="507">
          <cell r="D507" t="str">
            <v>10mm, High Grade Steel Cable</v>
          </cell>
        </row>
        <row r="508">
          <cell r="D508" t="str">
            <v>6mmØ Cable Clips</v>
          </cell>
        </row>
        <row r="509">
          <cell r="D509" t="str">
            <v>10mmØ Cable Clips</v>
          </cell>
        </row>
        <row r="510">
          <cell r="D510" t="str">
            <v>20mmØ Cable Clips</v>
          </cell>
        </row>
        <row r="511">
          <cell r="D511" t="str">
            <v>41mm, Wire Rope Fiber Core (6 x 25)</v>
          </cell>
        </row>
        <row r="512">
          <cell r="D512" t="str">
            <v>( STEEL PLATES )</v>
          </cell>
        </row>
        <row r="513">
          <cell r="D513" t="str">
            <v>6mm, Expanded Metal Mesh</v>
          </cell>
        </row>
        <row r="514">
          <cell r="D514" t="str">
            <v>10mm, Steel Plate</v>
          </cell>
        </row>
        <row r="515">
          <cell r="D515" t="str">
            <v>8mm, Steel Plate</v>
          </cell>
        </row>
        <row r="516">
          <cell r="D516" t="str">
            <v>6mm, Steel Plate</v>
          </cell>
        </row>
        <row r="517">
          <cell r="D517" t="str">
            <v>200mm x 200mm x 6mm, Steel Plate</v>
          </cell>
        </row>
        <row r="518">
          <cell r="D518" t="str">
            <v>300mm x 300mm x 6mm, Steel Plate</v>
          </cell>
        </row>
        <row r="519">
          <cell r="D519" t="str">
            <v>180mm x 180mm x 16mm, Steel Plate</v>
          </cell>
        </row>
        <row r="520">
          <cell r="D520" t="str">
            <v>180mm x 180mm x 16mm, Steel Plate</v>
          </cell>
        </row>
        <row r="521">
          <cell r="D521" t="str">
            <v>Steel Plate'</v>
          </cell>
        </row>
        <row r="522">
          <cell r="D522" t="str">
            <v>Steel Block</v>
          </cell>
        </row>
        <row r="523">
          <cell r="D523" t="str">
            <v>6mm, Expanded Metal Mesh</v>
          </cell>
        </row>
        <row r="524">
          <cell r="D524" t="str">
            <v>( STAINLESS STEEL CYLINDRICAL TANK )</v>
          </cell>
        </row>
        <row r="525">
          <cell r="D525" t="str">
            <v>600L Ga. 18 Cylindrical H2O Tank</v>
          </cell>
        </row>
        <row r="526">
          <cell r="D526" t="str">
            <v>800L Ga. 18 Cylindrical H2O Tank</v>
          </cell>
        </row>
        <row r="527">
          <cell r="D527" t="str">
            <v>1000L Ga. 18 Cylindrical H2O Tank</v>
          </cell>
        </row>
        <row r="528">
          <cell r="D528" t="str">
            <v>300mm x 300mm x 6mm, Steel Plate</v>
          </cell>
        </row>
        <row r="529">
          <cell r="D529" t="str">
            <v>( ALUMINUM AND GLASS )</v>
          </cell>
        </row>
        <row r="530">
          <cell r="D530" t="str">
            <v>Jalousie Glass Blade w/ Alum. Frame</v>
          </cell>
        </row>
        <row r="531">
          <cell r="D531" t="str">
            <v>Clear Glass</v>
          </cell>
        </row>
        <row r="532">
          <cell r="D532" t="str">
            <v>Smoke Glass</v>
          </cell>
        </row>
        <row r="533">
          <cell r="D533" t="str">
            <v>16 blades 4" Alum. Jal. Frame</v>
          </cell>
        </row>
        <row r="534">
          <cell r="D534" t="str">
            <v>14 blades 4" Alum. Jal. Frame</v>
          </cell>
        </row>
        <row r="535">
          <cell r="D535" t="str">
            <v>7 blades 4" Alum. Jal. Frame</v>
          </cell>
        </row>
        <row r="536">
          <cell r="D536" t="str">
            <v>800L Ga. 18 Cylindrical H2O Tank</v>
          </cell>
        </row>
        <row r="537">
          <cell r="D537" t="str">
            <v>( PLASTIC PRODUCTS )</v>
          </cell>
        </row>
        <row r="538">
          <cell r="D538" t="str">
            <v>25mm  Plastic Stranded Rope</v>
          </cell>
        </row>
        <row r="539">
          <cell r="D539" t="str">
            <v>( ALUMINUM AND GLASS )</v>
          </cell>
        </row>
        <row r="540">
          <cell r="D540" t="str">
            <v>PIPING &amp; EQUIPMENTS</v>
          </cell>
        </row>
        <row r="541">
          <cell r="D541" t="str">
            <v>Submersible Pumps &amp; its accessories</v>
          </cell>
        </row>
        <row r="542">
          <cell r="D542" t="str">
            <v>Submersible Pumps &amp; its accessories (3HP - 186S3.412)</v>
          </cell>
        </row>
        <row r="543">
          <cell r="D543" t="str">
            <v>Submersible Pumps &amp; its accessories (1HP - 136S10412)</v>
          </cell>
        </row>
        <row r="544">
          <cell r="D544" t="str">
            <v>14 blades 4" Alum. Jal. Frame</v>
          </cell>
        </row>
        <row r="545">
          <cell r="D545" t="str">
            <v>GI PIPES AND FITTINGS</v>
          </cell>
        </row>
        <row r="546">
          <cell r="D546" t="str">
            <v>ø12mm sch 40 GI Pipe</v>
          </cell>
        </row>
        <row r="547">
          <cell r="D547" t="str">
            <v>ø25mm sch 40 GI Pipe</v>
          </cell>
        </row>
        <row r="548">
          <cell r="D548" t="str">
            <v>ø38mm sch 40 GI Pipe</v>
          </cell>
        </row>
        <row r="549">
          <cell r="D549" t="str">
            <v>ø50mm SCH 40 GI Pipe</v>
          </cell>
        </row>
        <row r="550">
          <cell r="D550" t="str">
            <v>ø63mm SCH 40 GI Pipe</v>
          </cell>
        </row>
        <row r="551">
          <cell r="D551" t="str">
            <v>ø65mm SCH 40 GI Pipe</v>
          </cell>
        </row>
        <row r="552">
          <cell r="D552" t="str">
            <v>ø75mm SCH 40 GI Pipe</v>
          </cell>
        </row>
        <row r="553">
          <cell r="D553" t="str">
            <v>Submersible Pumps &amp; its accessories (1HP - 136S10412)</v>
          </cell>
        </row>
        <row r="554">
          <cell r="D554" t="str">
            <v>½" G.I. Pipe, sch. 40</v>
          </cell>
        </row>
        <row r="555">
          <cell r="D555" t="str">
            <v>3/4" G.I. Pipe, sch. 40</v>
          </cell>
        </row>
        <row r="556">
          <cell r="D556" t="str">
            <v>1" G.I. Pipe, sch. 40</v>
          </cell>
        </row>
        <row r="557">
          <cell r="D557" t="str">
            <v>1¼" G.I. Pipe, sch. 40</v>
          </cell>
        </row>
        <row r="558">
          <cell r="D558" t="str">
            <v>1½" G.I. Pipe, sch. 40</v>
          </cell>
        </row>
        <row r="559">
          <cell r="D559" t="str">
            <v>2" G.I. Pipe, sch. 40</v>
          </cell>
        </row>
        <row r="560">
          <cell r="D560" t="str">
            <v>2¼" G.I. Pipe, sch. 40</v>
          </cell>
        </row>
        <row r="561">
          <cell r="D561" t="str">
            <v>3" G.I. Pipe, sch. 40</v>
          </cell>
        </row>
        <row r="562">
          <cell r="D562" t="str">
            <v>4" G.I. Pipe, sch. 40</v>
          </cell>
        </row>
        <row r="563">
          <cell r="D563" t="str">
            <v>2½" G.I. Pipe, sch. 40</v>
          </cell>
        </row>
        <row r="564">
          <cell r="D564" t="str">
            <v>4" G.I. Pipe ,sch. 20</v>
          </cell>
        </row>
        <row r="565">
          <cell r="D565" t="str">
            <v>1½" G.I. Pipe ,sch. 20</v>
          </cell>
        </row>
        <row r="566">
          <cell r="D566" t="str">
            <v>2" B.I. Pipe, sch. 40</v>
          </cell>
        </row>
        <row r="567">
          <cell r="D567" t="str">
            <v>1" B.I. Pipe, sch. 40</v>
          </cell>
        </row>
        <row r="568">
          <cell r="D568" t="str">
            <v>½" G.I. Coupling, sch. 40</v>
          </cell>
        </row>
        <row r="569">
          <cell r="D569" t="str">
            <v>1" G.I. Coupling, sch. 40</v>
          </cell>
        </row>
        <row r="570">
          <cell r="D570" t="str">
            <v>1¼" G.I. Coupling, sch. 40</v>
          </cell>
        </row>
        <row r="571">
          <cell r="D571" t="str">
            <v>1½" G.I. Coupling, sch. 40</v>
          </cell>
        </row>
        <row r="572">
          <cell r="D572" t="str">
            <v>2"  G.I. Coupling, sch. 40</v>
          </cell>
        </row>
        <row r="573">
          <cell r="D573" t="str">
            <v>2¼" G.I. Coupling, sch. 40</v>
          </cell>
        </row>
        <row r="574">
          <cell r="D574" t="str">
            <v>3" G.I. Coupling, sch. 40</v>
          </cell>
        </row>
        <row r="575">
          <cell r="D575" t="str">
            <v>4"  G.I. Coupling, sch. 40</v>
          </cell>
        </row>
        <row r="576">
          <cell r="D576" t="str">
            <v>2½" G.I. Coupling, sch. 40</v>
          </cell>
        </row>
        <row r="577">
          <cell r="D577" t="str">
            <v>½" G.I. Elbow 45°, sch. 40</v>
          </cell>
        </row>
        <row r="578">
          <cell r="D578" t="str">
            <v>1"G.I. Elbow 45°, sch. 40</v>
          </cell>
        </row>
        <row r="579">
          <cell r="D579" t="str">
            <v>1¼"G.I. Elbow 45°, sch. 40</v>
          </cell>
        </row>
        <row r="580">
          <cell r="D580" t="str">
            <v>1½"G.I. Elbow 45°, sch. 40</v>
          </cell>
        </row>
        <row r="581">
          <cell r="D581" t="str">
            <v>2"G.I. Elbow 45°, sch. 40</v>
          </cell>
        </row>
        <row r="582">
          <cell r="D582" t="str">
            <v>2½" G.I. Elbow 45°, sch. 40</v>
          </cell>
        </row>
        <row r="583">
          <cell r="D583" t="str">
            <v>3" G.I. Elbow 45°, sch. 40</v>
          </cell>
        </row>
        <row r="584">
          <cell r="D584" t="str">
            <v>4" G.I. Elbow 45°, sch. 40</v>
          </cell>
        </row>
        <row r="585">
          <cell r="D585" t="str">
            <v>½" G.I. Elbow 90°, sch 40</v>
          </cell>
        </row>
        <row r="586">
          <cell r="D586" t="str">
            <v>1" G.I. Elbow 90°, sch 40</v>
          </cell>
        </row>
        <row r="587">
          <cell r="D587" t="str">
            <v>1¼" G.I. Elbow 90°, sch 40</v>
          </cell>
        </row>
        <row r="588">
          <cell r="D588" t="str">
            <v>1½"  G.I. Elbow 90°, sch 40</v>
          </cell>
        </row>
        <row r="589">
          <cell r="D589" t="str">
            <v>2" G.I. Elbow 90°, sch 40</v>
          </cell>
        </row>
        <row r="590">
          <cell r="D590" t="str">
            <v>2½" G.I. Elbow 90°, sch 40</v>
          </cell>
        </row>
        <row r="591">
          <cell r="D591" t="str">
            <v>3" G.I. Elbow 90°, sch 40</v>
          </cell>
        </row>
        <row r="592">
          <cell r="D592" t="str">
            <v>4" G.I. Elbow 90°, sch 40</v>
          </cell>
        </row>
        <row r="593">
          <cell r="D593" t="str">
            <v>2" G.I. Street Elbow, sch 40</v>
          </cell>
        </row>
        <row r="594">
          <cell r="D594" t="str">
            <v>3/4"  G.I. Elbow 90°, sch 40</v>
          </cell>
        </row>
        <row r="595">
          <cell r="D595" t="str">
            <v>½" G.I. TEE, sch 40</v>
          </cell>
        </row>
        <row r="596">
          <cell r="D596" t="str">
            <v>1" G.I. TEE, sch 40</v>
          </cell>
        </row>
        <row r="597">
          <cell r="D597" t="str">
            <v>1¼" G.I. TEE, sch 40</v>
          </cell>
        </row>
        <row r="598">
          <cell r="D598" t="str">
            <v>1½" G.I. TEE, sch 40</v>
          </cell>
        </row>
        <row r="599">
          <cell r="D599" t="str">
            <v>2"  G.I. TEE, sch 40</v>
          </cell>
        </row>
        <row r="600">
          <cell r="D600" t="str">
            <v>2½" G.I. TEE, sch 40</v>
          </cell>
        </row>
        <row r="601">
          <cell r="D601" t="str">
            <v>3" G.I. TEE, sch 40</v>
          </cell>
        </row>
        <row r="602">
          <cell r="D602" t="str">
            <v>4" G.I. TEE, sch 40</v>
          </cell>
        </row>
        <row r="603">
          <cell r="D603" t="str">
            <v>½" G.I. Nipples, 12"</v>
          </cell>
        </row>
        <row r="604">
          <cell r="D604" t="str">
            <v>1" G.I. Nipples, 12"</v>
          </cell>
        </row>
        <row r="605">
          <cell r="D605" t="str">
            <v>1" G.I. Nipple, 10"</v>
          </cell>
        </row>
        <row r="606">
          <cell r="D606" t="str">
            <v>1¼" G.I. Nipples, 4"</v>
          </cell>
        </row>
        <row r="607">
          <cell r="D607" t="str">
            <v>1¼" G.I. Nipples, 12"</v>
          </cell>
        </row>
        <row r="608">
          <cell r="D608" t="str">
            <v>½" G.I. Nipples, 4"</v>
          </cell>
        </row>
        <row r="609">
          <cell r="D609" t="str">
            <v>½" G.I. Nipples, 8"</v>
          </cell>
        </row>
        <row r="610">
          <cell r="D610" t="str">
            <v>3/4"  G.I. Nipples, 4"</v>
          </cell>
        </row>
        <row r="611">
          <cell r="D611" t="str">
            <v>63mmØ Gate Valve</v>
          </cell>
        </row>
        <row r="612">
          <cell r="D612" t="str">
            <v>63mmØ x 90° G.I. Elbow</v>
          </cell>
        </row>
        <row r="613">
          <cell r="D613" t="str">
            <v>63mmØ x 63mmØ Female Adaptor</v>
          </cell>
        </row>
        <row r="614">
          <cell r="D614" t="str">
            <v>63mmØ GI Union Patente</v>
          </cell>
        </row>
        <row r="615">
          <cell r="D615" t="str">
            <v>63mmØ GI Pipe</v>
          </cell>
        </row>
        <row r="616">
          <cell r="D616" t="str">
            <v>50mmØ GI Pipe</v>
          </cell>
        </row>
        <row r="617">
          <cell r="D617" t="str">
            <v>50mmØ GI Union Patente</v>
          </cell>
        </row>
        <row r="618">
          <cell r="D618" t="str">
            <v>50mmØ x 90° G.I. Elbow</v>
          </cell>
        </row>
        <row r="619">
          <cell r="D619" t="str">
            <v>50mmØ G.I. Nipples x 600mm</v>
          </cell>
        </row>
        <row r="620">
          <cell r="D620" t="str">
            <v>50mmØ G.I. Nipples x 500mm</v>
          </cell>
        </row>
        <row r="621">
          <cell r="D621" t="str">
            <v>50mmØ G.I. Nipples x 300mm</v>
          </cell>
        </row>
        <row r="622">
          <cell r="D622" t="str">
            <v>50mmØ G.I. Nipples x 200mm</v>
          </cell>
        </row>
        <row r="623">
          <cell r="D623" t="str">
            <v>50mmØ G.I. Gate Valve</v>
          </cell>
        </row>
        <row r="624">
          <cell r="D624" t="str">
            <v>50mmØ G.I. End Cap</v>
          </cell>
        </row>
        <row r="625">
          <cell r="D625" t="str">
            <v>50mmØ G.I. Perforated w/ Strainer</v>
          </cell>
        </row>
        <row r="626">
          <cell r="D626" t="str">
            <v>40mmØ x 50mmØ Female Adaptor</v>
          </cell>
        </row>
        <row r="627">
          <cell r="D627" t="str">
            <v>40mmØ x 90° G.I. Elbow</v>
          </cell>
        </row>
        <row r="628">
          <cell r="D628" t="str">
            <v>40mmØ G.I. Gate Valve</v>
          </cell>
        </row>
        <row r="629">
          <cell r="D629" t="str">
            <v>40mmØ G.I. Tee</v>
          </cell>
        </row>
        <row r="630">
          <cell r="D630" t="str">
            <v>40mmØ G.I. Coupling</v>
          </cell>
        </row>
        <row r="631">
          <cell r="D631" t="str">
            <v>38mmØ G.I. Nipples x 400mm</v>
          </cell>
        </row>
        <row r="632">
          <cell r="D632" t="str">
            <v>38mmØ G.I. Nipples x 100mm</v>
          </cell>
        </row>
        <row r="633">
          <cell r="D633" t="str">
            <v>38mmØ x 90° G.I. Elbow</v>
          </cell>
        </row>
        <row r="634">
          <cell r="D634" t="str">
            <v>12mmØ Brass Faucet</v>
          </cell>
        </row>
        <row r="635">
          <cell r="D635" t="str">
            <v>12mmØ Globe Valve</v>
          </cell>
        </row>
        <row r="636">
          <cell r="D636" t="str">
            <v>12mmØ Gate Valve</v>
          </cell>
        </row>
        <row r="637">
          <cell r="D637" t="str">
            <v>12mmØ Saddle Clamp</v>
          </cell>
        </row>
        <row r="638">
          <cell r="D638" t="str">
            <v>12mmØ PE Pipe</v>
          </cell>
        </row>
        <row r="639">
          <cell r="D639" t="str">
            <v>12mmØ GI Pipe</v>
          </cell>
        </row>
        <row r="640">
          <cell r="D640" t="str">
            <v>12mmØ x 90° GI Elbow</v>
          </cell>
        </row>
        <row r="641">
          <cell r="D641" t="str">
            <v>100mmØ PVC Pipe</v>
          </cell>
        </row>
        <row r="642">
          <cell r="D642" t="str">
            <v>38mmØ G.I. Nipples x 100mm</v>
          </cell>
        </row>
        <row r="643">
          <cell r="D643" t="str">
            <v>½" G.I. Cap</v>
          </cell>
        </row>
        <row r="644">
          <cell r="D644" t="str">
            <v>1¼" G.I. Cap</v>
          </cell>
        </row>
        <row r="645">
          <cell r="D645" t="str">
            <v>2" G.I. Cap</v>
          </cell>
        </row>
        <row r="646">
          <cell r="D646" t="str">
            <v>2"x3/4", Saddle Clamp</v>
          </cell>
        </row>
        <row r="647">
          <cell r="D647" t="str">
            <v>½" Gate Valve</v>
          </cell>
        </row>
        <row r="648">
          <cell r="D648" t="str">
            <v>2" Gate Valve</v>
          </cell>
        </row>
        <row r="649">
          <cell r="D649" t="str">
            <v>3/4"  Gate Valve</v>
          </cell>
        </row>
        <row r="650">
          <cell r="D650" t="str">
            <v>½" Check Valve</v>
          </cell>
        </row>
        <row r="651">
          <cell r="D651" t="str">
            <v xml:space="preserve">½"  G.I. Union Patent </v>
          </cell>
        </row>
        <row r="652">
          <cell r="D652" t="str">
            <v xml:space="preserve">2" G.I. Union Patent </v>
          </cell>
        </row>
        <row r="653">
          <cell r="D653" t="str">
            <v xml:space="preserve">2½" G.I. Union Patent </v>
          </cell>
        </row>
        <row r="654">
          <cell r="D654" t="str">
            <v xml:space="preserve">1¼" x 3/4"  G.I. Bushing </v>
          </cell>
        </row>
        <row r="655">
          <cell r="D655" t="str">
            <v xml:space="preserve">1"x2", G.I. Bushing </v>
          </cell>
        </row>
        <row r="656">
          <cell r="D656" t="str">
            <v>1½" GI Male Adapter</v>
          </cell>
        </row>
        <row r="657">
          <cell r="D657" t="str">
            <v xml:space="preserve">2" x ½"  G.I. Bushing </v>
          </cell>
        </row>
        <row r="658">
          <cell r="D658" t="str">
            <v>2" x 1½" Reducer, Bell Cap</v>
          </cell>
        </row>
        <row r="659">
          <cell r="D659" t="str">
            <v>3/4"  Gate Valve</v>
          </cell>
        </row>
        <row r="660">
          <cell r="D660" t="str">
            <v>½" Check Valve</v>
          </cell>
        </row>
        <row r="661">
          <cell r="D661" t="str">
            <v>PVC AND UPVC PIPES AND FITTINGS - Blue Pipes (WaterPipes)</v>
          </cell>
        </row>
        <row r="662">
          <cell r="D662" t="str">
            <v>1/2" PVC Blue Pipe</v>
          </cell>
        </row>
        <row r="663">
          <cell r="D663" t="str">
            <v xml:space="preserve">2½" G.I. Union Patent </v>
          </cell>
        </row>
        <row r="664">
          <cell r="D664" t="str">
            <v>( PVC AND UPVC PIPES AND FITTINGS )</v>
          </cell>
        </row>
        <row r="665">
          <cell r="D665" t="str">
            <v>2" PVC Pipe</v>
          </cell>
        </row>
        <row r="666">
          <cell r="D666" t="str">
            <v>3" PVC Pipe</v>
          </cell>
        </row>
        <row r="667">
          <cell r="D667" t="str">
            <v>4" PVC Pipe</v>
          </cell>
        </row>
        <row r="668">
          <cell r="D668" t="str">
            <v>4" PVC Pipe (S-40)</v>
          </cell>
        </row>
        <row r="669">
          <cell r="D669" t="str">
            <v>2" PVC TEE</v>
          </cell>
        </row>
        <row r="670">
          <cell r="D670" t="str">
            <v>3" PVC TEE</v>
          </cell>
        </row>
        <row r="671">
          <cell r="D671" t="str">
            <v>4" PVC TEE</v>
          </cell>
        </row>
        <row r="672">
          <cell r="D672" t="str">
            <v>2" PVC Elbow 45°</v>
          </cell>
        </row>
        <row r="673">
          <cell r="D673" t="str">
            <v>3" PVC Elbow 45°</v>
          </cell>
        </row>
        <row r="674">
          <cell r="D674" t="str">
            <v>4" PVC Elbow 45°</v>
          </cell>
        </row>
        <row r="675">
          <cell r="D675" t="str">
            <v>2" PVC Elbow 90°</v>
          </cell>
        </row>
        <row r="676">
          <cell r="D676" t="str">
            <v>3" PVC Elbow 90°</v>
          </cell>
        </row>
        <row r="677">
          <cell r="D677" t="str">
            <v>4" PVC Elbow 90°</v>
          </cell>
        </row>
        <row r="678">
          <cell r="D678" t="str">
            <v>2" PVC WYE</v>
          </cell>
        </row>
        <row r="679">
          <cell r="D679" t="str">
            <v>3" PVC WYE</v>
          </cell>
        </row>
        <row r="680">
          <cell r="D680" t="str">
            <v>4"  PVC WYE</v>
          </cell>
        </row>
        <row r="681">
          <cell r="D681" t="str">
            <v>2" PVC 1/8" bend</v>
          </cell>
        </row>
        <row r="682">
          <cell r="D682" t="str">
            <v>3"  PVC 1/8" bend</v>
          </cell>
        </row>
        <row r="683">
          <cell r="D683" t="str">
            <v>4"  PVC 1/8" bend</v>
          </cell>
        </row>
        <row r="684">
          <cell r="D684" t="str">
            <v>2" PVC clean-out</v>
          </cell>
        </row>
        <row r="685">
          <cell r="D685" t="str">
            <v>3" PVC clean-out</v>
          </cell>
        </row>
        <row r="686">
          <cell r="D686" t="str">
            <v>4" PVC clean-out</v>
          </cell>
        </row>
        <row r="687">
          <cell r="D687" t="str">
            <v>4" PVC end cap</v>
          </cell>
        </row>
        <row r="688">
          <cell r="D688" t="str">
            <v>2" PVC P-Trap</v>
          </cell>
        </row>
        <row r="689">
          <cell r="D689" t="str">
            <v>3"  PVC P-Trap</v>
          </cell>
        </row>
        <row r="690">
          <cell r="D690" t="str">
            <v>4" PVC P-Trap</v>
          </cell>
        </row>
        <row r="691">
          <cell r="D691" t="str">
            <v>2"x3", PVC Reducer</v>
          </cell>
        </row>
        <row r="692">
          <cell r="D692" t="str">
            <v>3"x4", PVC Reducer</v>
          </cell>
        </row>
        <row r="693">
          <cell r="D693" t="str">
            <v>2"x4", PVC Reducer</v>
          </cell>
        </row>
        <row r="694">
          <cell r="D694" t="str">
            <v>4"x2", PVC TEE</v>
          </cell>
        </row>
        <row r="695">
          <cell r="D695" t="str">
            <v>4"x2", PVC  WYE</v>
          </cell>
        </row>
        <row r="696">
          <cell r="D696" t="str">
            <v>3"x4", PVC  WYE</v>
          </cell>
        </row>
        <row r="697">
          <cell r="D697" t="str">
            <v>3"x2", PVC  WYE</v>
          </cell>
        </row>
        <row r="698">
          <cell r="D698" t="str">
            <v>4" PVC Coupling</v>
          </cell>
        </row>
        <row r="699">
          <cell r="D699" t="str">
            <v>3/4" uPVC Elbow</v>
          </cell>
        </row>
        <row r="700">
          <cell r="D700" t="str">
            <v>3/4" uPVC Tee</v>
          </cell>
        </row>
        <row r="701">
          <cell r="D701" t="str">
            <v>3/4" uPVC Coupling</v>
          </cell>
        </row>
        <row r="702">
          <cell r="D702" t="str">
            <v>3" uPVC Coupling</v>
          </cell>
        </row>
        <row r="703">
          <cell r="D703" t="str">
            <v>4" uPVC Coupling</v>
          </cell>
        </row>
        <row r="704">
          <cell r="D704" t="str">
            <v>3/4" uPVC Nipple</v>
          </cell>
        </row>
        <row r="705">
          <cell r="D705" t="str">
            <v>½"x3/4", uPVC Reducer</v>
          </cell>
        </row>
        <row r="706">
          <cell r="D706" t="str">
            <v xml:space="preserve">½" uPVC Water Pipe </v>
          </cell>
        </row>
        <row r="707">
          <cell r="D707" t="str">
            <v xml:space="preserve">3/4" uPVC Water Pipe </v>
          </cell>
        </row>
        <row r="708">
          <cell r="D708" t="str">
            <v xml:space="preserve">4" uPVC Water Pipe </v>
          </cell>
        </row>
        <row r="709">
          <cell r="D709" t="str">
            <v xml:space="preserve">3" uPVC Water Pipe </v>
          </cell>
        </row>
        <row r="710">
          <cell r="D710" t="str">
            <v xml:space="preserve">2" uPVC Water Pipe </v>
          </cell>
        </row>
        <row r="711">
          <cell r="D711" t="str">
            <v xml:space="preserve">1-1/2" uPVC Water Pipe </v>
          </cell>
        </row>
        <row r="712">
          <cell r="D712" t="str">
            <v xml:space="preserve">1" uPVC Water Pipe </v>
          </cell>
        </row>
        <row r="713">
          <cell r="D713" t="str">
            <v xml:space="preserve">2-1/2" uPVC Water Pipe </v>
          </cell>
        </row>
        <row r="714">
          <cell r="D714" t="str">
            <v>3/4" uPVC Nipple</v>
          </cell>
        </row>
        <row r="715">
          <cell r="D715" t="str">
            <v>( PE PIPES AND FITTINGS )</v>
          </cell>
        </row>
        <row r="716">
          <cell r="D716" t="str">
            <v>PE Pipe, SDR 9  3/8"</v>
          </cell>
        </row>
        <row r="717">
          <cell r="D717" t="str">
            <v>PE Pipe, SDR 9  1/2"</v>
          </cell>
        </row>
        <row r="718">
          <cell r="D718" t="str">
            <v>PE Pipe, SDR 9  3/4"</v>
          </cell>
        </row>
        <row r="719">
          <cell r="D719" t="str">
            <v>PE Pipe, SDR 9  1"</v>
          </cell>
        </row>
        <row r="720">
          <cell r="D720" t="str">
            <v>PE Pipe, SDR 9  1-1/4"</v>
          </cell>
        </row>
        <row r="721">
          <cell r="D721" t="str">
            <v>PE Pipe, SDR 9  1-1/2"</v>
          </cell>
        </row>
        <row r="722">
          <cell r="D722" t="str">
            <v>PE Pipe, SDR 9  2"</v>
          </cell>
        </row>
        <row r="723">
          <cell r="D723" t="str">
            <v>PE Pipe, SDR 9  2-1/2"</v>
          </cell>
        </row>
        <row r="724">
          <cell r="D724" t="str">
            <v>PE Pipe, SDR 9  3"</v>
          </cell>
        </row>
        <row r="725">
          <cell r="D725" t="str">
            <v>PE Pipe, SDR 9  4"</v>
          </cell>
        </row>
        <row r="726">
          <cell r="D726" t="str">
            <v>PE Pipe, SDR 9  6"</v>
          </cell>
        </row>
        <row r="727">
          <cell r="D727" t="str">
            <v>PE Pipe, SDR 11  3/8"</v>
          </cell>
        </row>
        <row r="728">
          <cell r="D728" t="str">
            <v>PE Pipe, SDR 11  1/2"</v>
          </cell>
        </row>
        <row r="729">
          <cell r="D729" t="str">
            <v>PE Pipe, SDR 11  3/4"</v>
          </cell>
        </row>
        <row r="730">
          <cell r="D730" t="str">
            <v>PE Pipe, SDR 11  1"</v>
          </cell>
        </row>
        <row r="731">
          <cell r="D731" t="str">
            <v>PE Pipe, SDR 11  1-1/4"</v>
          </cell>
        </row>
        <row r="732">
          <cell r="D732" t="str">
            <v>PE Pipe, SDR 11  1-1/2"</v>
          </cell>
        </row>
        <row r="733">
          <cell r="D733" t="str">
            <v>PE Pipe, SDR 11  2"</v>
          </cell>
        </row>
        <row r="734">
          <cell r="D734" t="str">
            <v>PE Pipe, SDR 11  2-1/2"</v>
          </cell>
        </row>
        <row r="735">
          <cell r="D735" t="str">
            <v>PE Pipe, SDR 11  3"</v>
          </cell>
        </row>
        <row r="736">
          <cell r="D736" t="str">
            <v>PE Pipe, SDR 11  4"</v>
          </cell>
        </row>
        <row r="737">
          <cell r="D737" t="str">
            <v>PE Pipe, SDR 11  6"</v>
          </cell>
        </row>
        <row r="738">
          <cell r="D738" t="str">
            <v>PE Pipe, SDR 13.5   3/8"</v>
          </cell>
        </row>
        <row r="739">
          <cell r="D739" t="str">
            <v>PE Pipe, SDR 13.5   1/2"</v>
          </cell>
        </row>
        <row r="740">
          <cell r="D740" t="str">
            <v>PE Pipe, SDR 13.5   3/4"</v>
          </cell>
        </row>
        <row r="741">
          <cell r="D741" t="str">
            <v>PE Pipe, SDR 13.5   1"</v>
          </cell>
        </row>
        <row r="742">
          <cell r="D742" t="str">
            <v>PE Pipe, SDR 13.5   1-1/4"</v>
          </cell>
        </row>
        <row r="743">
          <cell r="D743" t="str">
            <v>PE Pipe, SDR 13.5   1-1/2"</v>
          </cell>
        </row>
        <row r="744">
          <cell r="D744" t="str">
            <v>PE Pipe, SDR 13.5   2"</v>
          </cell>
        </row>
        <row r="745">
          <cell r="D745" t="str">
            <v>PE Pipe, SDR 13.5   2-1/2"</v>
          </cell>
        </row>
        <row r="746">
          <cell r="D746" t="str">
            <v>PE Pipe, SDR 13.5   3"</v>
          </cell>
        </row>
        <row r="747">
          <cell r="D747" t="str">
            <v>PE Pipe, SDR 13.5   4"</v>
          </cell>
        </row>
        <row r="748">
          <cell r="D748" t="str">
            <v>PE Pipe, SDR 13.5   6"</v>
          </cell>
        </row>
        <row r="749">
          <cell r="D749" t="str">
            <v>PE Pipe, SDR 17   3/8"</v>
          </cell>
        </row>
        <row r="750">
          <cell r="D750" t="str">
            <v>PE Pipe, SDR 17   1/2"</v>
          </cell>
        </row>
        <row r="751">
          <cell r="D751" t="str">
            <v>PE Pipe, SDR 17   3/4"</v>
          </cell>
        </row>
        <row r="752">
          <cell r="D752" t="str">
            <v>PE Pipe, SDR 17   1"</v>
          </cell>
        </row>
        <row r="753">
          <cell r="D753" t="str">
            <v>PE Pipe, SDR 17   1-1/4"</v>
          </cell>
        </row>
        <row r="754">
          <cell r="D754" t="str">
            <v>PE Pipe, SDR 17   1-1/2"</v>
          </cell>
        </row>
        <row r="755">
          <cell r="D755" t="str">
            <v>PE Pipe, SDR 17   2"</v>
          </cell>
        </row>
        <row r="756">
          <cell r="D756" t="str">
            <v>PE Pipe, SDR 17   2-1/2"</v>
          </cell>
        </row>
        <row r="757">
          <cell r="D757" t="str">
            <v>PE Pipe, SDR 17   3"</v>
          </cell>
        </row>
        <row r="758">
          <cell r="D758" t="str">
            <v>PE Pipe, SDR 17   4"</v>
          </cell>
        </row>
        <row r="759">
          <cell r="D759" t="str">
            <v>PE Pipe, SDR 17   6"</v>
          </cell>
        </row>
        <row r="760">
          <cell r="D760" t="str">
            <v>PE Pipe, SDR 17   1/2"</v>
          </cell>
        </row>
        <row r="761">
          <cell r="D761" t="str">
            <v>PE PIPES FITTINGS FACTOR =</v>
          </cell>
        </row>
        <row r="762">
          <cell r="D762" t="str">
            <v>PE Pipe, SDR 17   1"</v>
          </cell>
        </row>
        <row r="763">
          <cell r="D763" t="str">
            <v>PE PIPE MALE ADAPTOR</v>
          </cell>
        </row>
        <row r="764">
          <cell r="D764" t="str">
            <v>PE Pipe Male Thread Adaptor - 20mm x 1/2"</v>
          </cell>
        </row>
        <row r="765">
          <cell r="D765" t="str">
            <v>PE Pipe Male Thread Adaptor - 25mm x 3/4"</v>
          </cell>
        </row>
        <row r="766">
          <cell r="D766" t="str">
            <v>PE Pipe Male Thread Adaptor - 32mm x 1"</v>
          </cell>
        </row>
        <row r="767">
          <cell r="D767" t="str">
            <v>PE Pipe Male Thread Adaptor - 40mm x 1-1/4"</v>
          </cell>
        </row>
        <row r="768">
          <cell r="D768" t="str">
            <v>PE Pipe Male Thread Adaptor - 50mm x 1-1/2"</v>
          </cell>
        </row>
        <row r="769">
          <cell r="D769" t="str">
            <v>PE Pipe Male Thread Adaptor - 63mm x 2"</v>
          </cell>
        </row>
        <row r="770">
          <cell r="D770" t="str">
            <v>PE Pipe Male Thread Adaptor - 90mm x 3"</v>
          </cell>
        </row>
        <row r="771">
          <cell r="D771" t="str">
            <v>PE PIPES FITTINGS FACTOR =</v>
          </cell>
        </row>
        <row r="772">
          <cell r="D772" t="str">
            <v>PE PIPE FEMALE ADAPTOR</v>
          </cell>
        </row>
        <row r="773">
          <cell r="D773" t="str">
            <v>PE Pipe Female Thread Adaptor - 20mm x 1/2"</v>
          </cell>
        </row>
        <row r="774">
          <cell r="D774" t="str">
            <v>PE Pipe Female Thread Adaptor - 25mm x 3/4"</v>
          </cell>
        </row>
        <row r="775">
          <cell r="D775" t="str">
            <v>PE Pipe Female Thread Adaptor - 32mm x 1"</v>
          </cell>
        </row>
        <row r="776">
          <cell r="D776" t="str">
            <v>PE Pipe Female Thread Adaptor - 50mm x 1-1/2"</v>
          </cell>
        </row>
        <row r="777">
          <cell r="D777" t="str">
            <v>PE Pipe Female Thread Adaptor - 63mm x 2"</v>
          </cell>
        </row>
        <row r="778">
          <cell r="D778" t="str">
            <v>PE Pipe Female Thread Adaptor - 90mm x 3"</v>
          </cell>
        </row>
        <row r="779">
          <cell r="D779" t="str">
            <v>PE Pipe Male Thread Adaptor - 63mm x 2"</v>
          </cell>
        </row>
        <row r="780">
          <cell r="D780" t="str">
            <v>STRAIGHT COUPLER</v>
          </cell>
        </row>
        <row r="781">
          <cell r="D781" t="str">
            <v>PE Pipe Straight Coupler - 20mm x 20mm</v>
          </cell>
        </row>
        <row r="782">
          <cell r="D782" t="str">
            <v>PE Pipe Straight Coupler - 25mm x 25mm</v>
          </cell>
        </row>
        <row r="783">
          <cell r="D783" t="str">
            <v>PE Pipe Straight Coupler - 32mm x 32mm</v>
          </cell>
        </row>
        <row r="784">
          <cell r="D784" t="str">
            <v>PE Pipe Straight Coupler - 40mm x 40mm</v>
          </cell>
        </row>
        <row r="785">
          <cell r="D785" t="str">
            <v>PE Pipe Straight Coupler - 50mm x 50mm</v>
          </cell>
        </row>
        <row r="786">
          <cell r="D786" t="str">
            <v>PE Pipe Straight Coupler - 63mm x 63mm</v>
          </cell>
        </row>
        <row r="787">
          <cell r="D787" t="str">
            <v>PE Pipe Straight Coupler - 75mm x 75mm</v>
          </cell>
        </row>
        <row r="788">
          <cell r="D788" t="str">
            <v>PE Pipe Straight Coupler - 90mm x 90mm</v>
          </cell>
        </row>
        <row r="789">
          <cell r="D789" t="str">
            <v>PE Pipe Straight Coupler - 90mm x 90mm</v>
          </cell>
        </row>
        <row r="790">
          <cell r="D790" t="str">
            <v>REDUCING COUPLER</v>
          </cell>
        </row>
        <row r="791">
          <cell r="D791" t="str">
            <v>PE Pipe Reducing Coupler - 25mm x 20mm</v>
          </cell>
        </row>
        <row r="792">
          <cell r="D792" t="str">
            <v>PE Pipe Reducing Coupler - 32mm x 20mm</v>
          </cell>
        </row>
        <row r="793">
          <cell r="D793" t="str">
            <v>PE Pipe Reducing Coupler - 32mm x 25mm</v>
          </cell>
        </row>
        <row r="794">
          <cell r="D794" t="str">
            <v>PE Pipe Reducing Coupler - 40mm x 32mm</v>
          </cell>
        </row>
        <row r="795">
          <cell r="D795" t="str">
            <v>PE Pipe Reducing Coupler - 50mm x 25mm</v>
          </cell>
        </row>
        <row r="796">
          <cell r="D796" t="str">
            <v>PE Pipe Reducing Coupler - 50mm x 32mm</v>
          </cell>
        </row>
        <row r="797">
          <cell r="D797" t="str">
            <v>PE Pipe Reducing Coupler - 50mm x 40mm</v>
          </cell>
        </row>
        <row r="798">
          <cell r="D798" t="str">
            <v>PE Pipe Reducing Coupler - 63mm x 32mm</v>
          </cell>
        </row>
        <row r="799">
          <cell r="D799" t="str">
            <v>PE Pipe Reducing Coupler - 63mm x 40mm</v>
          </cell>
        </row>
        <row r="800">
          <cell r="D800" t="str">
            <v>PE Pipe Reducing Coupler - 63mm x 50mm</v>
          </cell>
        </row>
        <row r="801">
          <cell r="D801" t="str">
            <v>PE Pipe Reducing Coupler - 90mm x 63mm</v>
          </cell>
        </row>
        <row r="802">
          <cell r="D802" t="str">
            <v>PE Pipe Reducing Coupler - 32mm x 20mm</v>
          </cell>
        </row>
        <row r="803">
          <cell r="D803" t="str">
            <v>END CAP</v>
          </cell>
        </row>
        <row r="804">
          <cell r="D804" t="str">
            <v>PE Pipe End Cap - 20mm</v>
          </cell>
        </row>
        <row r="805">
          <cell r="D805" t="str">
            <v>PE Pipe End Cap - 25mm</v>
          </cell>
        </row>
        <row r="806">
          <cell r="D806" t="str">
            <v>PE Pipe End Cap - 32mm</v>
          </cell>
        </row>
        <row r="807">
          <cell r="D807" t="str">
            <v>PE Pipe End Cap - 40mm</v>
          </cell>
        </row>
        <row r="808">
          <cell r="D808" t="str">
            <v>PE Pipe End Cap - 50mm</v>
          </cell>
        </row>
        <row r="809">
          <cell r="D809" t="str">
            <v>PE Pipe End Cap - 63mm</v>
          </cell>
        </row>
        <row r="810">
          <cell r="D810" t="str">
            <v>PE Pipe End Cap - 90mm</v>
          </cell>
        </row>
        <row r="811">
          <cell r="D811" t="str">
            <v>PE Pipe Reducing Coupler - 90mm x 63mm</v>
          </cell>
        </row>
        <row r="812">
          <cell r="D812" t="str">
            <v>MALE TEE</v>
          </cell>
        </row>
        <row r="813">
          <cell r="D813" t="str">
            <v>PE Pipe Male Tee - 20mm x 1/2"</v>
          </cell>
        </row>
        <row r="814">
          <cell r="D814" t="str">
            <v>PE Pipe Male Tee - 20mm x 3/4"</v>
          </cell>
        </row>
        <row r="815">
          <cell r="D815" t="str">
            <v>PE Pipe Male Tee - 25mm x 1/2"</v>
          </cell>
        </row>
        <row r="816">
          <cell r="D816" t="str">
            <v>PE Pipe Male Tee - 25mm x 3/4"</v>
          </cell>
        </row>
        <row r="817">
          <cell r="D817" t="str">
            <v>PE Pipe Male Tee - 32mm x 3/4"</v>
          </cell>
        </row>
        <row r="818">
          <cell r="D818" t="str">
            <v>PE Pipe Male Tee - 32mm x 1"</v>
          </cell>
        </row>
        <row r="819">
          <cell r="D819" t="str">
            <v>PE Pipe Male Tee - 50mm x 1-1/2"</v>
          </cell>
        </row>
        <row r="820">
          <cell r="D820" t="str">
            <v>PE Pipe Male Tee - 63mm x 2"</v>
          </cell>
        </row>
        <row r="821">
          <cell r="D821" t="str">
            <v>PE Pipe Male Tee - 90mm x 3"</v>
          </cell>
        </row>
        <row r="822">
          <cell r="D822" t="str">
            <v>MALE TEE</v>
          </cell>
        </row>
        <row r="823">
          <cell r="D823" t="str">
            <v>FEMALE TEE</v>
          </cell>
        </row>
        <row r="824">
          <cell r="D824" t="str">
            <v>PE Pipe Female Tee - 20mm x 1/2"</v>
          </cell>
        </row>
        <row r="825">
          <cell r="D825" t="str">
            <v>PE Pipe Female Tee - 20mm x 3/4"</v>
          </cell>
        </row>
        <row r="826">
          <cell r="D826" t="str">
            <v>PE Pipe Female Tee - 25mm x 1/2"</v>
          </cell>
        </row>
        <row r="827">
          <cell r="D827" t="str">
            <v>PE Pipe Female Tee - 25mm x 3/4"</v>
          </cell>
        </row>
        <row r="828">
          <cell r="D828" t="str">
            <v>PE Pipe Female Tee - 32mm x 3/4"</v>
          </cell>
        </row>
        <row r="829">
          <cell r="D829" t="str">
            <v>PE Pipe Female Tee - 32mm x 1"</v>
          </cell>
        </row>
        <row r="830">
          <cell r="D830" t="str">
            <v>PE Pipe Female Tee - 50mm x 1-1/2"</v>
          </cell>
        </row>
        <row r="831">
          <cell r="D831" t="str">
            <v>PE Pipe Female Tee - 63mm x 2"</v>
          </cell>
        </row>
        <row r="832">
          <cell r="D832" t="str">
            <v>PE Pipe Female Tee - 90mm x 3"</v>
          </cell>
        </row>
        <row r="833">
          <cell r="D833" t="str">
            <v>FEMALE TEE</v>
          </cell>
        </row>
        <row r="834">
          <cell r="D834" t="str">
            <v>REDUCING TEE</v>
          </cell>
        </row>
        <row r="835">
          <cell r="D835" t="str">
            <v>PE Pipe Reducing Tee - 25mm x 20mm</v>
          </cell>
        </row>
        <row r="836">
          <cell r="D836" t="str">
            <v>PE Pipe Reducing Tee - 32mm x 20mm</v>
          </cell>
        </row>
        <row r="837">
          <cell r="D837" t="str">
            <v>PE Pipe Reducing Tee - 32mm x 25mm</v>
          </cell>
        </row>
        <row r="838">
          <cell r="D838" t="str">
            <v>PE Pipe Reducing Tee - 40mm x 32mm</v>
          </cell>
        </row>
        <row r="839">
          <cell r="D839" t="str">
            <v>PE Pipe Reducing Tee - 50mm x 32mm</v>
          </cell>
        </row>
        <row r="840">
          <cell r="D840" t="str">
            <v>PE Pipe Reducing Tee - 50mm x 40mm</v>
          </cell>
        </row>
        <row r="841">
          <cell r="D841" t="str">
            <v>PE Pipe Reducing Tee - 63mm x 50mm</v>
          </cell>
        </row>
        <row r="842">
          <cell r="D842" t="str">
            <v>PE Pipe Female Tee - 90mm x 3"</v>
          </cell>
        </row>
        <row r="843">
          <cell r="D843" t="str">
            <v>EQUAL TEE</v>
          </cell>
        </row>
        <row r="844">
          <cell r="D844" t="str">
            <v>PE Pipe Equal Tee - 20mm x 20mm</v>
          </cell>
        </row>
        <row r="845">
          <cell r="D845" t="str">
            <v>PE Pipe Equal Tee - 20mm x 25mm</v>
          </cell>
        </row>
        <row r="846">
          <cell r="D846" t="str">
            <v>PE Pipe Equal Tee - 32mm x 32mm</v>
          </cell>
        </row>
        <row r="847">
          <cell r="D847" t="str">
            <v>PE Pipe Equal Tee - 40mm x 40mm</v>
          </cell>
        </row>
        <row r="848">
          <cell r="D848" t="str">
            <v>PE Pipe Equal Tee - 50mm x 50mm</v>
          </cell>
        </row>
        <row r="849">
          <cell r="D849" t="str">
            <v>PE Pipe Equal Tee - 63mm x 63mm</v>
          </cell>
        </row>
        <row r="850">
          <cell r="D850" t="str">
            <v>PE Pipe Equal Tee - 90mm x 90mm</v>
          </cell>
        </row>
        <row r="851">
          <cell r="D851" t="str">
            <v>PE Pipe Reducing Tee - 63mm x 50mm</v>
          </cell>
        </row>
        <row r="852">
          <cell r="D852" t="str">
            <v>EQUAL BEND 90°</v>
          </cell>
        </row>
        <row r="853">
          <cell r="D853" t="str">
            <v>PE Pipe Equal Bend 90° - 20mm x 20mm</v>
          </cell>
        </row>
        <row r="854">
          <cell r="D854" t="str">
            <v>PE Pipe Equal Bend 90° - 20mm x 25mm</v>
          </cell>
        </row>
        <row r="855">
          <cell r="D855" t="str">
            <v>PE Pipe Equal Bend 90° - 32mm x 32mm</v>
          </cell>
        </row>
        <row r="856">
          <cell r="D856" t="str">
            <v>PE Pipe Equal Bend 90° - 40mm x 40mm</v>
          </cell>
        </row>
        <row r="857">
          <cell r="D857" t="str">
            <v>PE Pipe Equal Bend 90° - 50mm x 50mm</v>
          </cell>
        </row>
        <row r="858">
          <cell r="D858" t="str">
            <v>PE Pipe Equal Bend 90° - 63mm x 63mm</v>
          </cell>
        </row>
        <row r="859">
          <cell r="D859" t="str">
            <v>PE Pipe Equal Bend 90° - 90mm x 90mm</v>
          </cell>
        </row>
        <row r="860">
          <cell r="D860" t="str">
            <v>PE Pipe Equal Tee - 90mm x 90mm</v>
          </cell>
        </row>
        <row r="861">
          <cell r="D861" t="str">
            <v>FEMALE BEND 90°</v>
          </cell>
        </row>
        <row r="862">
          <cell r="D862" t="str">
            <v>PE Pipe Female Bend 90° - 20mm x 1/2"</v>
          </cell>
        </row>
        <row r="863">
          <cell r="D863" t="str">
            <v>PE Pipe Female Bend 90° - 20mm x 3/4"</v>
          </cell>
        </row>
        <row r="864">
          <cell r="D864" t="str">
            <v>PE Pipe Female Bend 90° - 25mm x 1/2"</v>
          </cell>
        </row>
        <row r="865">
          <cell r="D865" t="str">
            <v>PE Pipe Female Bend 90° - 25mm x 3/4"</v>
          </cell>
        </row>
        <row r="866">
          <cell r="D866" t="str">
            <v>PE Pipe Female Bend 90° - 25mm x 1"</v>
          </cell>
        </row>
        <row r="867">
          <cell r="D867" t="str">
            <v>PE Pipe Female Bend 90° - 32mm x 3/4"</v>
          </cell>
        </row>
        <row r="868">
          <cell r="D868" t="str">
            <v>PE Pipe Female Bend 90° - 32mm x 1"</v>
          </cell>
        </row>
        <row r="869">
          <cell r="D869" t="str">
            <v>PE Pipe Female Bend 90° - 50mm x 1-1/2"</v>
          </cell>
        </row>
        <row r="870">
          <cell r="D870" t="str">
            <v>PE Pipe Female Bend 90° - 63mm x 2"</v>
          </cell>
        </row>
        <row r="871">
          <cell r="D871" t="str">
            <v>PE Pipe Female Bend 90° - 90mm x 3"</v>
          </cell>
        </row>
        <row r="872">
          <cell r="D872" t="str">
            <v>PE Pipe Female Bend 90° - 20mm x 1/2"</v>
          </cell>
        </row>
        <row r="873">
          <cell r="D873" t="str">
            <v>MALE BEND 90°</v>
          </cell>
        </row>
        <row r="874">
          <cell r="D874" t="str">
            <v>PE Pipe Male Bend 90° - 20mm x 1/2"</v>
          </cell>
        </row>
        <row r="875">
          <cell r="D875" t="str">
            <v>PE Pipe Male Bend 90° - 20mm x 3/4"</v>
          </cell>
        </row>
        <row r="876">
          <cell r="D876" t="str">
            <v>PE Pipe Male Bend 90° - 25mm x 1/2"</v>
          </cell>
        </row>
        <row r="877">
          <cell r="D877" t="str">
            <v>PE Pipe Male Bend 90° - 25mm x 3/4"</v>
          </cell>
        </row>
        <row r="878">
          <cell r="D878" t="str">
            <v>PE Pipe Male Bend 90° - 25mm x 1"</v>
          </cell>
        </row>
        <row r="879">
          <cell r="D879" t="str">
            <v>PE Pipe Male Bend 90° - 32mm x 3/4"</v>
          </cell>
        </row>
        <row r="880">
          <cell r="D880" t="str">
            <v>PE Pipe Male Bend 90° - 32mm x 1"</v>
          </cell>
        </row>
        <row r="881">
          <cell r="D881" t="str">
            <v>PE Pipe Male Bend 90° - 50mm x 1-1/2"</v>
          </cell>
        </row>
        <row r="882">
          <cell r="D882" t="str">
            <v>PE Pipe Male Bend 90° - 63mm x 2"</v>
          </cell>
        </row>
        <row r="883">
          <cell r="D883" t="str">
            <v>PE Pipe Male Bend 90° - 90mm x 3"</v>
          </cell>
        </row>
        <row r="884">
          <cell r="D884" t="str">
            <v>PE Pipe Male Bend 90° - 20mm x 1/2"</v>
          </cell>
        </row>
        <row r="885">
          <cell r="D885" t="str">
            <v>SINGLE OUTLET SADDLE CLAMP</v>
          </cell>
        </row>
        <row r="886">
          <cell r="D886" t="str">
            <v>PE Pipe Single Outlet Saddle Clamp - 32mm x 3/4"</v>
          </cell>
        </row>
        <row r="887">
          <cell r="D887" t="str">
            <v>PE Pipe Single Outlet Saddle Clamp - 32mm x 1"</v>
          </cell>
        </row>
        <row r="888">
          <cell r="D888" t="str">
            <v>PE Pipe Single Outlet Saddle Clamp - 40mm x 1"</v>
          </cell>
        </row>
        <row r="889">
          <cell r="D889" t="str">
            <v>PE Pipe Single Outlet Saddle Clamp - 50mm x 3/4"</v>
          </cell>
        </row>
        <row r="890">
          <cell r="D890" t="str">
            <v>PE Pipe Single Outlet Saddle Clamp - 50mm x 1"</v>
          </cell>
        </row>
        <row r="891">
          <cell r="D891" t="str">
            <v>PE Pipe Single Outlet Saddle Clamp - 63mm x 3/4"</v>
          </cell>
        </row>
        <row r="892">
          <cell r="D892" t="str">
            <v>PE Pipe Single Outlet Saddle Clamp - 63mm x 1"</v>
          </cell>
        </row>
        <row r="893">
          <cell r="D893" t="str">
            <v>PE Pipe Single Outlet Saddle Clamp - 73mm x 1"</v>
          </cell>
        </row>
        <row r="894">
          <cell r="D894" t="str">
            <v>PE Pipe Single Outlet Saddle Clamp - 90mm x 3/4"</v>
          </cell>
        </row>
        <row r="895">
          <cell r="D895" t="str">
            <v>PE Pipe Single Outlet Saddle Clamp - 90mm x 1"</v>
          </cell>
        </row>
        <row r="896">
          <cell r="D896" t="str">
            <v>PE Pipe Single Outlet Saddle Clamp - 90mm x 2"</v>
          </cell>
        </row>
        <row r="897">
          <cell r="D897" t="str">
            <v>PE Pipe Single Outlet Saddle Clamp - 110mm x 3/4"</v>
          </cell>
        </row>
        <row r="898">
          <cell r="D898" t="str">
            <v>PE Pipe Single Outlet Saddle Clamp - 110mm x 1"</v>
          </cell>
        </row>
        <row r="899">
          <cell r="D899" t="str">
            <v>PE Pipe Single Outlet Saddle Clamp - 110mm x 1-1/4"</v>
          </cell>
        </row>
        <row r="900">
          <cell r="D900" t="str">
            <v>PE Pipe Single Outlet Saddle Clamp - 110mm x 2"</v>
          </cell>
        </row>
        <row r="901">
          <cell r="D901" t="str">
            <v>PE Pipe Single Outlet Saddle Clamp - 160mm x 3/4"</v>
          </cell>
        </row>
        <row r="902">
          <cell r="D902" t="str">
            <v>PE Pipe Single Outlet Saddle Clamp - 160mm x 1"</v>
          </cell>
        </row>
        <row r="903">
          <cell r="D903" t="str">
            <v>PE Pipe Single Outlet Saddle Clamp - 160mm x 2"</v>
          </cell>
        </row>
        <row r="904">
          <cell r="D904" t="str">
            <v>PE Pipe Single Outlet Saddle Clamp - 90mm x 3/4"</v>
          </cell>
        </row>
        <row r="905">
          <cell r="D905" t="str">
            <v>DOUBLE OUTLET SADDLE CLAMP</v>
          </cell>
        </row>
        <row r="906">
          <cell r="D906" t="str">
            <v>PE Pipe Double Outlet Saddle Clamp - 32mm x 3/4" x 3/4"</v>
          </cell>
        </row>
        <row r="907">
          <cell r="D907" t="str">
            <v>PE Pipe Double Outlet Saddle Clamp - 32mm x 1" x 1"</v>
          </cell>
        </row>
        <row r="908">
          <cell r="D908" t="str">
            <v>PE Pipe Double Outlet Saddle Clamp - 50mm x 3/4" x 3/4"</v>
          </cell>
        </row>
        <row r="909">
          <cell r="D909" t="str">
            <v>PE Pipe Double Outlet Saddle Clamp - 50mm x 1" x 1"</v>
          </cell>
        </row>
        <row r="910">
          <cell r="D910" t="str">
            <v>PE Pipe Double Outlet Saddle Clamp - 63mm x 3/4" x 3/4"</v>
          </cell>
        </row>
        <row r="911">
          <cell r="D911" t="str">
            <v>PE Pipe Double Outlet Saddle Clamp - 63mm x 1" x 1"</v>
          </cell>
        </row>
        <row r="912">
          <cell r="D912" t="str">
            <v>PE Pipe Double Outlet Saddle Clamp - 90mm x 3/4" x 3/4"</v>
          </cell>
        </row>
        <row r="913">
          <cell r="D913" t="str">
            <v>PE Pipe Double Outlet Saddle Clamp - 90mm x 1" x 1"</v>
          </cell>
        </row>
        <row r="914">
          <cell r="D914" t="str">
            <v>PE Pipe Double Outlet Saddle Clamp - 90mm x 2" x 2"</v>
          </cell>
        </row>
        <row r="915">
          <cell r="D915" t="str">
            <v>PE Pipe Double Outlet Saddle Clamp - 110mm x 3/4" x 3/4"</v>
          </cell>
        </row>
        <row r="916">
          <cell r="D916" t="str">
            <v>PE Pipe Double Outlet Saddle Clamp - 110mm x 1" x 1"</v>
          </cell>
        </row>
        <row r="917">
          <cell r="D917" t="str">
            <v>PE Pipe Double Outlet Saddle Clamp - 110mm x 2" x 2"</v>
          </cell>
        </row>
        <row r="918">
          <cell r="D918" t="str">
            <v>PE Pipe Double Outlet Saddle Clamp - 160mm x 3/4" x 3/4"</v>
          </cell>
        </row>
        <row r="919">
          <cell r="D919" t="str">
            <v>PE Pipe Double Outlet Saddle Clamp - 160mm x 1" x 1"</v>
          </cell>
        </row>
        <row r="920">
          <cell r="D920" t="str">
            <v>PE Pipe Double Outlet Saddle Clamp - 160mm x 2" x 2"</v>
          </cell>
        </row>
        <row r="921">
          <cell r="D921" t="str">
            <v>PE Pipe Double Outlet Saddle Clamp - 63mm x 1" x 1"</v>
          </cell>
        </row>
        <row r="922">
          <cell r="D922" t="str">
            <v>SPIGOT - Stub End</v>
          </cell>
        </row>
        <row r="923">
          <cell r="D923" t="str">
            <v>PE Pipe Stub End Long Collar - 90mm x 63mm</v>
          </cell>
        </row>
        <row r="924">
          <cell r="D924" t="str">
            <v>PE Pipe Stub End Long Collar - 110mm x 63mm</v>
          </cell>
        </row>
        <row r="925">
          <cell r="D925" t="str">
            <v>PE Pipe Stub End Long Collar - 160mm x 63mm</v>
          </cell>
        </row>
        <row r="926">
          <cell r="D926" t="str">
            <v>PE Pipe Stub End Long Collar - 160mm x 110mm</v>
          </cell>
        </row>
        <row r="927">
          <cell r="D927" t="str">
            <v>PE Pipe Double Outlet Saddle Clamp - 110mm x 2" x 2"</v>
          </cell>
        </row>
        <row r="928">
          <cell r="D928" t="str">
            <v>SPIGOT - Reducer</v>
          </cell>
        </row>
        <row r="929">
          <cell r="D929" t="str">
            <v>PE Pipe (Spigot) Reducer - 63mm</v>
          </cell>
        </row>
        <row r="930">
          <cell r="D930" t="str">
            <v>PE Pipe (Spigot) Reducer - 90mm</v>
          </cell>
        </row>
        <row r="931">
          <cell r="D931" t="str">
            <v>PE Pipe (Spigot) Reducer - 110mm</v>
          </cell>
        </row>
        <row r="932">
          <cell r="D932" t="str">
            <v>PE Pipe (Spigot) Reducer - 160mm</v>
          </cell>
        </row>
        <row r="933">
          <cell r="D933" t="str">
            <v>PE Pipe Stub End Long Collar - 90mm x 63mm</v>
          </cell>
        </row>
        <row r="934">
          <cell r="D934" t="str">
            <v>PE Pipe, SDR 17   25mmØ</v>
          </cell>
        </row>
        <row r="935">
          <cell r="D935" t="str">
            <v>PE Pipe, SDR 17   32mmØ</v>
          </cell>
        </row>
        <row r="936">
          <cell r="D936" t="str">
            <v>PE Pipe, SDR 17   40mmØ</v>
          </cell>
        </row>
        <row r="937">
          <cell r="D937" t="str">
            <v>PE Pipe, SDR 17   50mmØ</v>
          </cell>
        </row>
        <row r="938">
          <cell r="D938" t="str">
            <v>PE Pipe, SDR 17   63mmØ</v>
          </cell>
        </row>
        <row r="939">
          <cell r="D939" t="str">
            <v>PE Pipe, SDR 17  75mmØ</v>
          </cell>
        </row>
        <row r="940">
          <cell r="D940" t="str">
            <v>PE Pipe, SDR 17  90mmØ</v>
          </cell>
        </row>
        <row r="941">
          <cell r="D941" t="str">
            <v>PE Pipe (Spigot) Reducer - 110mm</v>
          </cell>
        </row>
        <row r="942">
          <cell r="D942" t="str">
            <v>3/8" PE Pipe Coupling/Connector</v>
          </cell>
        </row>
        <row r="943">
          <cell r="D943" t="str">
            <v>½" PE Pipe Coupling/Connector</v>
          </cell>
        </row>
        <row r="944">
          <cell r="D944" t="str">
            <v>3/4" PE Pipe Coupling/Connector</v>
          </cell>
        </row>
        <row r="945">
          <cell r="D945" t="str">
            <v>1" PE Pipe Coupling/Connector</v>
          </cell>
        </row>
        <row r="946">
          <cell r="D946" t="str">
            <v>1¼" PE Pipe Coupling/Connector</v>
          </cell>
        </row>
        <row r="947">
          <cell r="D947" t="str">
            <v>1½" PE Pipe Coupling/Connector</v>
          </cell>
        </row>
        <row r="948">
          <cell r="D948" t="str">
            <v>2" PE Pipe Coupling/Connector</v>
          </cell>
        </row>
        <row r="949">
          <cell r="D949" t="str">
            <v>2½" PE Pipe Coupling/Connector</v>
          </cell>
        </row>
        <row r="950">
          <cell r="D950" t="str">
            <v>3" PE Pipe Coupling/Connector</v>
          </cell>
        </row>
        <row r="951">
          <cell r="D951" t="str">
            <v>63mm X 2"dia. Male Adaptor, PLASSON</v>
          </cell>
        </row>
        <row r="952">
          <cell r="D952" t="str">
            <v>75mm X 2½"dia. Male Adaptor, PLASSON</v>
          </cell>
        </row>
        <row r="953">
          <cell r="D953" t="str">
            <v>½" PE Pipe Coupling/Connector</v>
          </cell>
        </row>
        <row r="954">
          <cell r="D954" t="str">
            <v>Butt Fusion</v>
          </cell>
        </row>
        <row r="955">
          <cell r="D955" t="str">
            <v>PE Pipe Butt Fussion - 25mmØ</v>
          </cell>
        </row>
        <row r="956">
          <cell r="D956" t="str">
            <v>PE Pipe Butt Fussion - 32mmØ</v>
          </cell>
        </row>
        <row r="957">
          <cell r="D957" t="str">
            <v>PE Pipe Butt Fussion - 40mmØ</v>
          </cell>
        </row>
        <row r="958">
          <cell r="D958" t="str">
            <v>PE Pipe Butt Fussion - 50mmØ</v>
          </cell>
        </row>
        <row r="959">
          <cell r="D959" t="str">
            <v>PE Pipe Butt Fussion - 63mmØ</v>
          </cell>
        </row>
        <row r="960">
          <cell r="D960" t="str">
            <v>PE Pipe Butt Fussion - 75mmØ</v>
          </cell>
        </row>
        <row r="961">
          <cell r="D961" t="str">
            <v>PE Pipe Butt Fussion - 90mmØ</v>
          </cell>
        </row>
        <row r="962">
          <cell r="D962" t="str">
            <v>75mm X 2½"dia. Male Adaptor, PLASSON</v>
          </cell>
        </row>
        <row r="963">
          <cell r="D963" t="str">
            <v>PE Pipe Butt Fussion - 25mm x 20mm</v>
          </cell>
        </row>
        <row r="964">
          <cell r="D964" t="str">
            <v>PE Pipe Butt Fussion - 32mm x 20mm</v>
          </cell>
        </row>
        <row r="965">
          <cell r="D965" t="str">
            <v>PE Pipe Butt Fussion - 32mm x 25mm</v>
          </cell>
        </row>
        <row r="966">
          <cell r="D966" t="str">
            <v>PE Pipe Butt Fussion - 50mm x 25mm</v>
          </cell>
        </row>
        <row r="967">
          <cell r="D967" t="str">
            <v>PE Pipe Butt Fussion - 50mm x 32mm</v>
          </cell>
        </row>
        <row r="968">
          <cell r="D968" t="str">
            <v>PE Pipe Butt Fussion - 50mm x 40mm</v>
          </cell>
        </row>
        <row r="969">
          <cell r="D969" t="str">
            <v>PE Pipe Butt Fussion - 63mm x 32mm</v>
          </cell>
        </row>
        <row r="970">
          <cell r="D970" t="str">
            <v>PE Pipe Butt Fussion - 63mm x 40mm</v>
          </cell>
        </row>
        <row r="971">
          <cell r="D971" t="str">
            <v>PE Pipe Butt Fussion - 63mm x 50mm</v>
          </cell>
        </row>
        <row r="972">
          <cell r="D972" t="str">
            <v>PE Pipe Butt Fussion - 90mm x 63mm</v>
          </cell>
        </row>
        <row r="973">
          <cell r="D973" t="str">
            <v>PE Pipe Butt Fussion - 25mm x 20mm</v>
          </cell>
        </row>
        <row r="974">
          <cell r="D974" t="str">
            <v>PE Pipe Butt Fussion - 32mm x 20mm</v>
          </cell>
        </row>
        <row r="975">
          <cell r="D975" t="str">
            <v>( SANITARY FIXTURES )</v>
          </cell>
        </row>
        <row r="976">
          <cell r="D976" t="str">
            <v>½" Brass Faucet, Plain Bibb</v>
          </cell>
        </row>
        <row r="977">
          <cell r="D977" t="str">
            <v>Water closet (ordinary)</v>
          </cell>
        </row>
        <row r="978">
          <cell r="D978" t="str">
            <v>Water closet</v>
          </cell>
        </row>
        <row r="979">
          <cell r="D979" t="str">
            <v>Water seal bowl (Pail Flush)</v>
          </cell>
        </row>
        <row r="980">
          <cell r="D980" t="str">
            <v>Lavatory, porcelain</v>
          </cell>
        </row>
        <row r="981">
          <cell r="D981" t="str">
            <v>Kitchen sink ( Aluminum)</v>
          </cell>
        </row>
        <row r="982">
          <cell r="D982" t="str">
            <v>Soap Holder (ceramic)</v>
          </cell>
        </row>
        <row r="983">
          <cell r="D983" t="str">
            <v>Paper Holder (ceramic)</v>
          </cell>
        </row>
        <row r="984">
          <cell r="D984" t="str">
            <v>4x4 Floor drain plate</v>
          </cell>
        </row>
        <row r="985">
          <cell r="D985" t="str">
            <v>6x6 Floor drain plate</v>
          </cell>
        </row>
        <row r="986">
          <cell r="D986" t="str">
            <v>1¼" Jetmatic Pump, Heavy Duty</v>
          </cell>
        </row>
        <row r="987">
          <cell r="D987" t="str">
            <v>Magsaysay Pump, Heavy Duty</v>
          </cell>
        </row>
        <row r="988">
          <cell r="D988" t="str">
            <v>Sink Strainer</v>
          </cell>
        </row>
        <row r="989">
          <cell r="D989" t="str">
            <v>Dome Type Roof Drain</v>
          </cell>
        </row>
        <row r="990">
          <cell r="D990" t="str">
            <v>Kitchen sink (Stainless)</v>
          </cell>
        </row>
        <row r="991">
          <cell r="D991" t="str">
            <v>Brass Faucet</v>
          </cell>
        </row>
        <row r="992">
          <cell r="D992" t="str">
            <v>Stainless Lavatory Faucet</v>
          </cell>
        </row>
        <row r="993">
          <cell r="D993" t="str">
            <v>150mm PVC Sanitary/Sewer Pipe x 3000</v>
          </cell>
        </row>
        <row r="994">
          <cell r="D994" t="str">
            <v>150mm PVC Pipe x 6000</v>
          </cell>
        </row>
        <row r="995">
          <cell r="D995" t="str">
            <v>6x6 Floor drain plate</v>
          </cell>
        </row>
        <row r="996">
          <cell r="D996" t="str">
            <v>( ELECTRICAL WIRES &amp; APURTENANCES )</v>
          </cell>
        </row>
        <row r="997">
          <cell r="D997" t="str">
            <v>#8 AWG TW Wire solid</v>
          </cell>
        </row>
        <row r="998">
          <cell r="D998" t="str">
            <v>#10 AWG TW Wire solid</v>
          </cell>
        </row>
        <row r="999">
          <cell r="D999" t="str">
            <v>#12 AWG TW Wire solid</v>
          </cell>
        </row>
        <row r="1000">
          <cell r="D1000" t="str">
            <v>#14 AWG TW Wire solid</v>
          </cell>
        </row>
        <row r="1001">
          <cell r="D1001" t="str">
            <v>#10 AWG TW Wire stranded</v>
          </cell>
        </row>
        <row r="1002">
          <cell r="D1002" t="str">
            <v>#12 AWG TW Wire stranded</v>
          </cell>
        </row>
        <row r="1003">
          <cell r="D1003" t="str">
            <v>#14 AWG TW Wire stranded</v>
          </cell>
        </row>
        <row r="1004">
          <cell r="D1004" t="str">
            <v>#10  PDX Wire</v>
          </cell>
        </row>
        <row r="1005">
          <cell r="D1005" t="str">
            <v>#12 PDX Wire</v>
          </cell>
        </row>
        <row r="1006">
          <cell r="D1006" t="str">
            <v>#14 PDX Wire</v>
          </cell>
        </row>
        <row r="1007">
          <cell r="D1007" t="str">
            <v>3/4" PolyFlex Pipe</v>
          </cell>
        </row>
        <row r="1008">
          <cell r="D1008" t="str">
            <v>½" Flexible conduit</v>
          </cell>
        </row>
        <row r="1009">
          <cell r="D1009" t="str">
            <v>1" Flexible conduit</v>
          </cell>
        </row>
        <row r="1010">
          <cell r="D1010" t="str">
            <v>½" Entrance Cap</v>
          </cell>
        </row>
        <row r="1011">
          <cell r="D1011" t="str">
            <v>20A Circuit Breakers</v>
          </cell>
        </row>
        <row r="1012">
          <cell r="D1012" t="str">
            <v>30A Circuit Breakers</v>
          </cell>
        </row>
        <row r="1013">
          <cell r="D1013" t="str">
            <v>40A Circuit Breakers</v>
          </cell>
        </row>
        <row r="1014">
          <cell r="D1014" t="str">
            <v>60ACircuit Breakers</v>
          </cell>
        </row>
        <row r="1015">
          <cell r="D1015" t="str">
            <v>100A Circuit Breakers</v>
          </cell>
        </row>
        <row r="1016">
          <cell r="D1016" t="str">
            <v>15A Fuse</v>
          </cell>
        </row>
        <row r="1017">
          <cell r="D1017" t="str">
            <v>20A Fuse</v>
          </cell>
        </row>
        <row r="1018">
          <cell r="D1018" t="str">
            <v>30A Fuse</v>
          </cell>
        </row>
        <row r="1019">
          <cell r="D1019" t="str">
            <v>60A Fuse</v>
          </cell>
        </row>
        <row r="1020">
          <cell r="D1020" t="str">
            <v>30A kWh Meter</v>
          </cell>
        </row>
        <row r="1021">
          <cell r="D1021" t="str">
            <v>60A kWh Meter</v>
          </cell>
        </row>
        <row r="1022">
          <cell r="D1022" t="str">
            <v>100A kWh Meter</v>
          </cell>
        </row>
        <row r="1023">
          <cell r="D1023" t="str">
            <v>2X4, Utility Box</v>
          </cell>
        </row>
        <row r="1024">
          <cell r="D1024" t="str">
            <v>4X4, Junction Box with cover (Square)</v>
          </cell>
        </row>
        <row r="1025">
          <cell r="D1025" t="str">
            <v>4X4, Junction Box with cover (Octagonal)</v>
          </cell>
        </row>
        <row r="1026">
          <cell r="D1026" t="str">
            <v>Porcelain Ceiling Outlet</v>
          </cell>
        </row>
        <row r="1027">
          <cell r="D1027" t="str">
            <v>Duplex convenience outlet (surface type)</v>
          </cell>
        </row>
        <row r="1028">
          <cell r="D1028" t="str">
            <v>Rubber female plug</v>
          </cell>
        </row>
        <row r="1029">
          <cell r="D1029" t="str">
            <v>Electrical Tape</v>
          </cell>
        </row>
        <row r="1030">
          <cell r="D1030" t="str">
            <v>Panel Board, 6-Breakers</v>
          </cell>
        </row>
        <row r="1031">
          <cell r="D1031" t="str">
            <v>One Gang Switch (flush type)</v>
          </cell>
        </row>
        <row r="1032">
          <cell r="D1032" t="str">
            <v>Two Gang Swicth (flush type)</v>
          </cell>
        </row>
        <row r="1033">
          <cell r="D1033" t="str">
            <v>Three Gang Swicth (flush type)</v>
          </cell>
        </row>
        <row r="1034">
          <cell r="D1034" t="str">
            <v>One Gang Outlet (flush type)</v>
          </cell>
        </row>
        <row r="1035">
          <cell r="D1035" t="str">
            <v>Two Gang Outlet (flush type)</v>
          </cell>
        </row>
        <row r="1036">
          <cell r="D1036" t="str">
            <v>Three Gang Outlet (flush type)</v>
          </cell>
        </row>
        <row r="1037">
          <cell r="D1037" t="str">
            <v>1/2" Metal Conduit Pipe, 3.0m</v>
          </cell>
        </row>
        <row r="1038">
          <cell r="D1038" t="str">
            <v>20mmØ PVC Conduit Pipes, 3.0m</v>
          </cell>
        </row>
        <row r="1039">
          <cell r="D1039" t="str">
            <v>Main Switch Box, 2P, Double-Throw</v>
          </cell>
        </row>
        <row r="1040">
          <cell r="D1040" t="str">
            <v>Porcelain Wire Holder</v>
          </cell>
        </row>
        <row r="1041">
          <cell r="D1041" t="str">
            <v>Panel Board, 6-Breakers</v>
          </cell>
        </row>
        <row r="1042">
          <cell r="D1042" t="str">
            <v>( LIGHTS AND LAMPS )</v>
          </cell>
        </row>
        <row r="1043">
          <cell r="D1043" t="str">
            <v>20W 220 V Flourescent Lamp</v>
          </cell>
        </row>
        <row r="1044">
          <cell r="D1044" t="str">
            <v>40W 220 V Flourescent Lamp</v>
          </cell>
        </row>
        <row r="1045">
          <cell r="D1045" t="str">
            <v>20W 220 V Reflectorized Flourescent Lamp, Single Housing</v>
          </cell>
        </row>
        <row r="1046">
          <cell r="D1046" t="str">
            <v>10W Incandescent Bulb</v>
          </cell>
        </row>
        <row r="1047">
          <cell r="D1047" t="str">
            <v>20W Incandescent Bulb</v>
          </cell>
        </row>
        <row r="1048">
          <cell r="D1048" t="str">
            <v>50W Incandescent Bulb</v>
          </cell>
        </row>
        <row r="1049">
          <cell r="D1049" t="str">
            <v>100W Incandescent Bulb</v>
          </cell>
        </row>
        <row r="1050">
          <cell r="D1050" t="str">
            <v>18 W SL 2000 Flourescent Bulb</v>
          </cell>
        </row>
        <row r="1051">
          <cell r="D1051" t="str">
            <v>18 W SL 2000 Flourescent Bulb</v>
          </cell>
        </row>
        <row r="1052">
          <cell r="D1052" t="str">
            <v>Porcelain Wire Holder</v>
          </cell>
        </row>
        <row r="1053">
          <cell r="D1053" t="str">
            <v>( PAINTS &amp; ACCESSORIES )</v>
          </cell>
        </row>
        <row r="1054">
          <cell r="D1054" t="str">
            <v>Latex Paint Flat</v>
          </cell>
        </row>
        <row r="1055">
          <cell r="D1055" t="str">
            <v>Acrylic Latex Paint Flat</v>
          </cell>
        </row>
        <row r="1056">
          <cell r="D1056" t="str">
            <v>Acrylic Semi-Gloss Paint Latex</v>
          </cell>
        </row>
        <row r="1057">
          <cell r="D1057" t="str">
            <v>Acrylic Gloss Latex</v>
          </cell>
        </row>
        <row r="1058">
          <cell r="D1058" t="str">
            <v>Acrylic Clear Gloss Emulsion</v>
          </cell>
        </row>
        <row r="1059">
          <cell r="D1059" t="str">
            <v>Latex High Gloss Enamel</v>
          </cell>
        </row>
        <row r="1060">
          <cell r="D1060" t="str">
            <v>Latex Tinting Color (Water-based)</v>
          </cell>
        </row>
        <row r="1061">
          <cell r="D1061" t="str">
            <v>Quick Drying Enamel</v>
          </cell>
        </row>
        <row r="1062">
          <cell r="D1062" t="str">
            <v>Interior Semi-Gloss Enamel</v>
          </cell>
        </row>
        <row r="1063">
          <cell r="D1063" t="str">
            <v>Flat Wall Enamel</v>
          </cell>
        </row>
        <row r="1064">
          <cell r="D1064" t="str">
            <v>Conc. Primer Sealer</v>
          </cell>
        </row>
        <row r="1065">
          <cell r="D1065" t="str">
            <v>Interior Primer Sealer</v>
          </cell>
        </row>
        <row r="1066">
          <cell r="D1066" t="str">
            <v>Exterior Wood Primer</v>
          </cell>
        </row>
        <row r="1067">
          <cell r="D1067" t="str">
            <v>Prepakote Red Oxide Primer</v>
          </cell>
        </row>
        <row r="1068">
          <cell r="D1068" t="str">
            <v>Zinc Chromate Primer.</v>
          </cell>
        </row>
        <row r="1069">
          <cell r="D1069" t="str">
            <v>Red Lead Primer</v>
          </cell>
        </row>
        <row r="1070">
          <cell r="D1070" t="str">
            <v>Blackboard Paint green</v>
          </cell>
        </row>
        <row r="1071">
          <cell r="D1071" t="str">
            <v>Portland Roofing Paint</v>
          </cell>
        </row>
        <row r="1072">
          <cell r="D1072" t="str">
            <v>Galva wash zinc remover</v>
          </cell>
        </row>
        <row r="1073">
          <cell r="D1073" t="str">
            <v>Sanding Sealer</v>
          </cell>
        </row>
        <row r="1074">
          <cell r="D1074" t="str">
            <v>Clear Gloss Lacquer</v>
          </cell>
        </row>
        <row r="1075">
          <cell r="D1075" t="str">
            <v>Paint Thinner</v>
          </cell>
        </row>
        <row r="1076">
          <cell r="D1076" t="str">
            <v>Concrete Neutralizer</v>
          </cell>
        </row>
        <row r="1077">
          <cell r="D1077" t="str">
            <v>Coal Tar</v>
          </cell>
        </row>
        <row r="1078">
          <cell r="D1078" t="str">
            <v>Wood Stain</v>
          </cell>
        </row>
        <row r="1079">
          <cell r="D1079" t="str">
            <v>Kalsomine powder</v>
          </cell>
        </row>
        <row r="1080">
          <cell r="D1080" t="str">
            <v>Sanding Paper</v>
          </cell>
        </row>
        <row r="1081">
          <cell r="D1081" t="str">
            <v>Epoxy Primer, Boysen</v>
          </cell>
        </row>
        <row r="1082">
          <cell r="D1082" t="str">
            <v>Roller Brush w/ Tray</v>
          </cell>
        </row>
        <row r="1083">
          <cell r="D1083" t="str">
            <v>Paint Brush</v>
          </cell>
        </row>
        <row r="1084">
          <cell r="D1084" t="str">
            <v>Reflectorized Paint</v>
          </cell>
        </row>
        <row r="1085">
          <cell r="D1085" t="str">
            <v>Reflectorized Paint (Black/Yellow)</v>
          </cell>
        </row>
        <row r="1086">
          <cell r="D1086" t="str">
            <v>Marine Paint</v>
          </cell>
        </row>
        <row r="1087">
          <cell r="D1087" t="str">
            <v>Epoxy Enamel, Boysen</v>
          </cell>
        </row>
        <row r="1088">
          <cell r="D1088" t="str">
            <v>Concrete Neutralizer</v>
          </cell>
        </row>
        <row r="1089">
          <cell r="D1089" t="str">
            <v>( PRESERVATIVES )</v>
          </cell>
        </row>
        <row r="1090">
          <cell r="D1090" t="str">
            <v>Wood preservative (Solignum)</v>
          </cell>
        </row>
        <row r="1091">
          <cell r="D1091" t="str">
            <v>Kalsomine powder</v>
          </cell>
        </row>
        <row r="1092">
          <cell r="D1092" t="str">
            <v>( TILES )</v>
          </cell>
        </row>
        <row r="1093">
          <cell r="D1093" t="str">
            <v>Unglazed Tiles  4-1/4" x 4-1/4"</v>
          </cell>
        </row>
        <row r="1094">
          <cell r="D1094" t="str">
            <v>Glazed Tile (Plain Color)  4-1/4" x 4-1/4"</v>
          </cell>
        </row>
        <row r="1095">
          <cell r="D1095" t="str">
            <v>Mosaic Floor Tiles  12 x 12</v>
          </cell>
        </row>
        <row r="1096">
          <cell r="D1096" t="str">
            <v>Glazed Tiles  4" x 4"</v>
          </cell>
        </row>
        <row r="1097">
          <cell r="D1097" t="str">
            <v>Vitirified Tiles  4" x 8"</v>
          </cell>
        </row>
        <row r="1098">
          <cell r="D1098" t="str">
            <v>Floor Tiles (Plain Color)  8" x 8"</v>
          </cell>
        </row>
        <row r="1099">
          <cell r="D1099" t="str">
            <v>Glazed Tiles (Plain Color)  8" x 8"</v>
          </cell>
        </row>
        <row r="1100">
          <cell r="D1100" t="str">
            <v>Vinyl Tiles  8" x 8"</v>
          </cell>
        </row>
        <row r="1101">
          <cell r="D1101" t="str">
            <v>Capping</v>
          </cell>
        </row>
        <row r="1102">
          <cell r="D1102" t="str">
            <v>Internal Bead  4"</v>
          </cell>
        </row>
        <row r="1103">
          <cell r="D1103" t="str">
            <v xml:space="preserve">External Bead  4" </v>
          </cell>
        </row>
        <row r="1104">
          <cell r="D1104" t="str">
            <v>Internal Corner bead</v>
          </cell>
        </row>
        <row r="1105">
          <cell r="D1105" t="str">
            <v>External Corner bead</v>
          </cell>
        </row>
        <row r="1106">
          <cell r="D1106" t="str">
            <v>Unglazed Tiles  4" x 4"</v>
          </cell>
        </row>
        <row r="1107">
          <cell r="D1107" t="str">
            <v>Mosaic Floor Tiles  12 x 12</v>
          </cell>
        </row>
        <row r="1108">
          <cell r="D1108" t="str">
            <v>( INSTRUMENTS )</v>
          </cell>
        </row>
        <row r="1109">
          <cell r="D1109" t="str">
            <v>Weighing Scale w Ht Measurement (Adult)</v>
          </cell>
        </row>
        <row r="1110">
          <cell r="D1110" t="str">
            <v>Weighing Scale (Newborn)</v>
          </cell>
        </row>
        <row r="1111">
          <cell r="D1111" t="str">
            <v>Stethoscope</v>
          </cell>
        </row>
        <row r="1112">
          <cell r="D1112" t="str">
            <v>Medical Trolley w/glass container</v>
          </cell>
        </row>
        <row r="1113">
          <cell r="D1113" t="str">
            <v>Sphygmomanometer (Mercury)</v>
          </cell>
        </row>
        <row r="1114">
          <cell r="D1114" t="str">
            <v>Thermometer</v>
          </cell>
        </row>
        <row r="1115">
          <cell r="D1115" t="str">
            <v>Scissors (Surgical)</v>
          </cell>
        </row>
        <row r="1116">
          <cell r="D1116" t="str">
            <v>Scissors (Bandage)</v>
          </cell>
        </row>
        <row r="1117">
          <cell r="D1117" t="str">
            <v>Forceps (Curve)</v>
          </cell>
        </row>
        <row r="1118">
          <cell r="D1118" t="str">
            <v>Forceps (Straight)</v>
          </cell>
        </row>
        <row r="1119">
          <cell r="D1119" t="str">
            <v>Kidney Basin (Stainless)</v>
          </cell>
        </row>
        <row r="1120">
          <cell r="D1120" t="str">
            <v>Bed Pan (Metal)</v>
          </cell>
        </row>
        <row r="1121">
          <cell r="D1121" t="str">
            <v>Male Urinal</v>
          </cell>
        </row>
        <row r="1122">
          <cell r="D1122" t="str">
            <v>O.B. Bed with Stirrups</v>
          </cell>
        </row>
        <row r="1123">
          <cell r="D1123" t="str">
            <v>Hot Water Bag</v>
          </cell>
        </row>
        <row r="1124">
          <cell r="D1124" t="str">
            <v>Medical Trolley w/glass container</v>
          </cell>
        </row>
        <row r="1125">
          <cell r="D1125" t="str">
            <v>( FURNITURES )</v>
          </cell>
        </row>
        <row r="1126">
          <cell r="D1126" t="str">
            <v>Monoblock Student Chair</v>
          </cell>
        </row>
        <row r="1127">
          <cell r="D1127" t="str">
            <v>Monoblock Chair</v>
          </cell>
        </row>
        <row r="1128">
          <cell r="D1128" t="str">
            <v>Standard Office Table, Wood (SZOPAD Standard)</v>
          </cell>
        </row>
        <row r="1129">
          <cell r="D1129" t="str">
            <v>Blackboard</v>
          </cell>
        </row>
        <row r="1130">
          <cell r="D1130" t="str">
            <v>Kitchen Table, Wood (SZOPAD Standard)</v>
          </cell>
        </row>
        <row r="1131">
          <cell r="D1131" t="str">
            <v>Monoblock Bench (2-seater)</v>
          </cell>
        </row>
        <row r="1132">
          <cell r="D1132" t="str">
            <v>Bed Pan (Metal)</v>
          </cell>
        </row>
        <row r="1133">
          <cell r="D1133" t="str">
            <v>( MOORING &amp; FENDERS )</v>
          </cell>
        </row>
        <row r="1134">
          <cell r="D1134" t="str">
            <v>Mooring Bollard 25T</v>
          </cell>
        </row>
        <row r="1135">
          <cell r="D1135" t="str">
            <v>Mooring Bollard 15T</v>
          </cell>
        </row>
        <row r="1136">
          <cell r="D1136" t="str">
            <v>Mooring Bitt 10T</v>
          </cell>
        </row>
        <row r="1137">
          <cell r="D1137" t="str">
            <v>Mooring Bitt 15T</v>
          </cell>
        </row>
        <row r="1138">
          <cell r="D1138" t="str">
            <v>Mooring Cleat 5T</v>
          </cell>
        </row>
        <row r="1139">
          <cell r="D1139" t="str">
            <v>V-Type Rubber Fender (200x1500) incl. its appurtenances</v>
          </cell>
        </row>
        <row r="1140">
          <cell r="D1140" t="str">
            <v>V-Type Rubber Fender (300x1500) incl. its appurtenances</v>
          </cell>
        </row>
        <row r="1141">
          <cell r="D1141" t="str">
            <v>V-Type Rubber Fender (400x1000) incl. its appurtenances</v>
          </cell>
        </row>
        <row r="1142">
          <cell r="D1142" t="str">
            <v>V-Type Rubber Fender (400x2000) incl. its appurtenances</v>
          </cell>
        </row>
        <row r="1143">
          <cell r="D1143" t="str">
            <v>L Corner Type Rubber Fender (250Hx1000Lx1000L) incl. its appurtenances</v>
          </cell>
        </row>
        <row r="1144">
          <cell r="D1144" t="str">
            <v>Used Tires (800mmØ)</v>
          </cell>
        </row>
        <row r="1145">
          <cell r="D1145" t="str">
            <v>Used Tires (600mmØ)</v>
          </cell>
        </row>
        <row r="1146">
          <cell r="D1146" t="str">
            <v>Used Tires (1000mmØ) and its appurtenances</v>
          </cell>
        </row>
        <row r="1147">
          <cell r="D1147" t="str">
            <v>Mooring Bollard 15T</v>
          </cell>
        </row>
        <row r="1148">
          <cell r="D1148" t="str">
            <v>Mooring Bitt 10T</v>
          </cell>
        </row>
        <row r="1149">
          <cell r="D1149" t="str">
            <v>( LUBRICANT AND OIL )</v>
          </cell>
        </row>
        <row r="1150">
          <cell r="D1150" t="str">
            <v>Used Oil</v>
          </cell>
        </row>
        <row r="1151">
          <cell r="D1151" t="str">
            <v>Oil, No. 110</v>
          </cell>
        </row>
        <row r="1152">
          <cell r="D1152" t="str">
            <v>Gasoline, Regular</v>
          </cell>
        </row>
        <row r="1153">
          <cell r="D1153" t="str">
            <v>V-Type Rubber Fender (400x1000) incl. its appurtenances</v>
          </cell>
        </row>
        <row r="1154">
          <cell r="D1154" t="str">
            <v>( JUNKS &amp; JOB ORDER )</v>
          </cell>
        </row>
        <row r="1155">
          <cell r="D1155" t="str">
            <v>Tension Rod</v>
          </cell>
        </row>
        <row r="1156">
          <cell r="D1156" t="str">
            <v>Steel Plate Cover 0.65 X 0.65 m</v>
          </cell>
        </row>
        <row r="1157">
          <cell r="D1157" t="str">
            <v>Window Grill, Steel</v>
          </cell>
        </row>
        <row r="1158">
          <cell r="D1158" t="str">
            <v xml:space="preserve">Shop-made Door Lock, 5/8" Plain Bar </v>
          </cell>
        </row>
        <row r="1159">
          <cell r="D1159" t="str">
            <v>Fabricated Clamp, 5mm thk x 3"</v>
          </cell>
        </row>
        <row r="1160">
          <cell r="D1160" t="str">
            <v>Used Tires</v>
          </cell>
        </row>
        <row r="1161">
          <cell r="D1161" t="str">
            <v>2.0m X 2.40m  GI Vertical Roll-Up Door</v>
          </cell>
        </row>
        <row r="1162">
          <cell r="D1162" t="str">
            <v>30"  Spherical Roof Vent, Turbine Type</v>
          </cell>
        </row>
        <row r="1163">
          <cell r="D1163" t="str">
            <v>Ga#24 GI Sht Caps</v>
          </cell>
        </row>
        <row r="1164">
          <cell r="D1164" t="str">
            <v>Hard Asphalt Filler</v>
          </cell>
        </row>
        <row r="1165">
          <cell r="D1165" t="str">
            <v>250 x 250 x 3000 Rubbing Timber (Yakal)</v>
          </cell>
        </row>
        <row r="1166">
          <cell r="D1166" t="str">
            <v>Creosoted Wooden Pole 300mmØ x 15m.</v>
          </cell>
        </row>
        <row r="1167">
          <cell r="D1167" t="str">
            <v>Creosoted Wooden Pole 300mmØ x 18m.</v>
          </cell>
        </row>
        <row r="1168">
          <cell r="D1168" t="str">
            <v>Steel Stapples 10mmØ</v>
          </cell>
        </row>
        <row r="1169">
          <cell r="D1169" t="str">
            <v>Fire Extinguishers</v>
          </cell>
        </row>
        <row r="1170">
          <cell r="D1170" t="str">
            <v>Water Proofing Compound &amp; Accessories</v>
          </cell>
        </row>
        <row r="1171">
          <cell r="D1171" t="str">
            <v>Gate Accessories</v>
          </cell>
        </row>
        <row r="1172">
          <cell r="D1172" t="str">
            <v>Electrical &amp; Fixtures</v>
          </cell>
        </row>
        <row r="1173">
          <cell r="D1173" t="str">
            <v>Regulatory Sign</v>
          </cell>
        </row>
        <row r="1174">
          <cell r="D1174" t="str">
            <v>Warning Sign</v>
          </cell>
        </row>
        <row r="1175">
          <cell r="D1175" t="str">
            <v>Elastomeric Bearing Pad Duro 60 (Complete Set)</v>
          </cell>
        </row>
        <row r="1176">
          <cell r="D1176" t="str">
            <v>Restrainer Bolt (25mmØx800</v>
          </cell>
        </row>
        <row r="1177">
          <cell r="D1177" t="str">
            <v>Ga#10 GI Pre-Fab Steel Flex Beam</v>
          </cell>
        </row>
        <row r="1178">
          <cell r="D1178" t="str">
            <v>Ga#10 GI Pre-Fab Steel Flex Beam end</v>
          </cell>
        </row>
        <row r="1179">
          <cell r="D1179" t="str">
            <v>Restrainer Bolt (25mmØx800)</v>
          </cell>
        </row>
        <row r="1180">
          <cell r="D1180" t="str">
            <v>Water Meter</v>
          </cell>
        </row>
        <row r="1181">
          <cell r="D1181" t="str">
            <v>Filter Fabric</v>
          </cell>
        </row>
        <row r="1182">
          <cell r="D1182" t="str">
            <v>Ga# 18 Stainless Steel Tank and Accessories</v>
          </cell>
        </row>
        <row r="1183">
          <cell r="D1183" t="str">
            <v>Engr's Transit</v>
          </cell>
        </row>
        <row r="1184">
          <cell r="D1184" t="str">
            <v>Polyurethane Plastic</v>
          </cell>
        </row>
        <row r="1185">
          <cell r="D1185" t="str">
            <v>Regulatory Sign</v>
          </cell>
        </row>
        <row r="1186">
          <cell r="D1186" t="str">
            <v>Warning Sign</v>
          </cell>
        </row>
        <row r="1187">
          <cell r="D1187" t="str">
            <v>FENESTRATION</v>
          </cell>
        </row>
        <row r="1188">
          <cell r="D1188" t="str">
            <v>Door 1 - Community Center 1</v>
          </cell>
        </row>
        <row r="1189">
          <cell r="D1189" t="str">
            <v>Door 2 - Community Center 1</v>
          </cell>
        </row>
        <row r="1190">
          <cell r="D1190" t="str">
            <v>Window 1 - Community Center 1</v>
          </cell>
        </row>
        <row r="1191">
          <cell r="D1191" t="str">
            <v>Window 2 - Community Center 1</v>
          </cell>
        </row>
        <row r="1192">
          <cell r="D1192" t="str">
            <v>Window 3 - Community Center 1</v>
          </cell>
        </row>
        <row r="1193">
          <cell r="D1193" t="str">
            <v>Filter Fabric</v>
          </cell>
        </row>
        <row r="1194">
          <cell r="D1194" t="str">
            <v>Door 1 - Community Center 2</v>
          </cell>
        </row>
        <row r="1195">
          <cell r="D1195" t="str">
            <v>Door 2 - Community Center 2</v>
          </cell>
        </row>
        <row r="1196">
          <cell r="D1196" t="str">
            <v>Window 1 - Community Center 2</v>
          </cell>
        </row>
        <row r="1197">
          <cell r="D1197" t="str">
            <v>Window 2 - Community Center 2</v>
          </cell>
        </row>
        <row r="1198">
          <cell r="D1198" t="str">
            <v>Window 3 - Community Center 2</v>
          </cell>
        </row>
        <row r="1199">
          <cell r="D1199" t="str">
            <v>FENESTRATION</v>
          </cell>
        </row>
        <row r="1200">
          <cell r="D1200" t="str">
            <v>Door 1 - Community Center 1</v>
          </cell>
        </row>
        <row r="1201">
          <cell r="D1201" t="str">
            <v>FACILITIES FOR ENGINEER</v>
          </cell>
        </row>
        <row r="1202">
          <cell r="D1202" t="str">
            <v>Temporary Field Office/Quarter (2 Container Van w/ Shed)</v>
          </cell>
        </row>
        <row r="1203">
          <cell r="D1203" t="str">
            <v>Temporary Field Office/Quarter</v>
          </cell>
        </row>
        <row r="1204">
          <cell r="D1204" t="str">
            <v>Airconditioning Unit</v>
          </cell>
        </row>
        <row r="1205">
          <cell r="D1205" t="str">
            <v>Computer Pentium 4 w/ HP Deskject Printer (Latest Model)</v>
          </cell>
        </row>
        <row r="1206">
          <cell r="D1206" t="str">
            <v>Office Furnitures/Equipment (Items 81.70, 81.80 and 81.90)</v>
          </cell>
        </row>
        <row r="1207">
          <cell r="D1207" t="str">
            <v>Office Supplies/Water/Electricity</v>
          </cell>
        </row>
        <row r="1208">
          <cell r="D1208" t="str">
            <v>Furnishing on Rental Basis (Mat'ls Laboratory, Operations &amp; Maintenance)</v>
          </cell>
        </row>
        <row r="1209">
          <cell r="D1209" t="str">
            <v>Progress Photographed</v>
          </cell>
        </row>
        <row r="1210">
          <cell r="D1210" t="str">
            <v>Window 3 - Community Center 2</v>
          </cell>
        </row>
        <row r="1211">
          <cell r="D1211" t="str">
            <v>OFFICE FURNITURES</v>
          </cell>
        </row>
        <row r="1212">
          <cell r="D1212" t="str">
            <v>Office Table</v>
          </cell>
        </row>
        <row r="1213">
          <cell r="D1213" t="str">
            <v>Office Chairs</v>
          </cell>
        </row>
        <row r="1214">
          <cell r="D1214" t="str">
            <v>Bench</v>
          </cell>
        </row>
        <row r="1215">
          <cell r="D1215" t="str">
            <v>Plywood Board</v>
          </cell>
        </row>
        <row r="1216">
          <cell r="D1216" t="str">
            <v>Airconditioning Unit</v>
          </cell>
        </row>
        <row r="1217">
          <cell r="D1217" t="str">
            <v>SIGNAGES</v>
          </cell>
        </row>
        <row r="1218">
          <cell r="D1218" t="str">
            <v>Plate Marker</v>
          </cell>
        </row>
        <row r="1219">
          <cell r="D1219" t="str">
            <v>Marker Pedestal</v>
          </cell>
        </row>
        <row r="1220">
          <cell r="D1220" t="str">
            <v>Stainless Steel Plaque</v>
          </cell>
        </row>
        <row r="1221">
          <cell r="D1221" t="str">
            <v>Stainless Steel Plaque w/ Concrete Pedestal</v>
          </cell>
        </row>
        <row r="1222">
          <cell r="D1222" t="str">
            <v>Wooden Type Project Information Signboard</v>
          </cell>
        </row>
        <row r="1223">
          <cell r="D1223" t="str">
            <v>Steel Type Project Information Signboard</v>
          </cell>
        </row>
        <row r="1224">
          <cell r="D1224" t="str">
            <v>Steel Type Project Information Signboard (Tarpaulin w/ Plywood Backing)</v>
          </cell>
        </row>
        <row r="1225">
          <cell r="D1225" t="str">
            <v>Signage</v>
          </cell>
        </row>
        <row r="1226">
          <cell r="D1226" t="str">
            <v>Plate Marker w/ Pedestal</v>
          </cell>
        </row>
        <row r="1227">
          <cell r="D1227" t="str">
            <v>Plywood Board</v>
          </cell>
        </row>
        <row r="1228">
          <cell r="D1228" t="str">
            <v>Solar Dryer</v>
          </cell>
        </row>
        <row r="1229">
          <cell r="D1229" t="str">
            <v>PERMITS &amp; LICENSES</v>
          </cell>
        </row>
        <row r="1230">
          <cell r="D1230" t="str">
            <v>Warehouse</v>
          </cell>
        </row>
        <row r="1231">
          <cell r="D1231" t="str">
            <v>Solar Dryer</v>
          </cell>
        </row>
        <row r="1232">
          <cell r="D1232" t="str">
            <v>Community Center 1</v>
          </cell>
        </row>
        <row r="1233">
          <cell r="D1233" t="str">
            <v>Stainless Steel Plaque w/ Concrete Pedestal</v>
          </cell>
        </row>
        <row r="1234">
          <cell r="D1234" t="str">
            <v>SAFETY</v>
          </cell>
        </row>
        <row r="1235">
          <cell r="D1235" t="str">
            <v>Hard Hats</v>
          </cell>
        </row>
        <row r="1236">
          <cell r="D1236" t="str">
            <v>First Aid Kit</v>
          </cell>
        </row>
        <row r="1237">
          <cell r="D1237" t="str">
            <v>Traffic Barricade Type "D"</v>
          </cell>
        </row>
        <row r="1238">
          <cell r="D1238" t="str">
            <v>4 feet width Plastic Canvas</v>
          </cell>
        </row>
        <row r="1239">
          <cell r="D1239" t="str">
            <v>No.8 diameter Nylon Rope</v>
          </cell>
        </row>
        <row r="1240">
          <cell r="D1240" t="str">
            <v>( LIQUIFIED AND PRESSURE GASES )</v>
          </cell>
        </row>
        <row r="1241">
          <cell r="D1241" t="str">
            <v>Oxygen Gas</v>
          </cell>
        </row>
        <row r="1242">
          <cell r="D1242" t="str">
            <v>Acetylene Gas</v>
          </cell>
        </row>
        <row r="1243">
          <cell r="D1243" t="str">
            <v>Warehouse</v>
          </cell>
        </row>
        <row r="1244">
          <cell r="D1244" t="str">
            <v>Solar Dryer</v>
          </cell>
        </row>
        <row r="1245">
          <cell r="D1245" t="str">
            <v>Community Center 1</v>
          </cell>
        </row>
        <row r="1246">
          <cell r="D1246" t="str">
            <v>Traffic Barricade Type "D"</v>
          </cell>
        </row>
        <row r="1247">
          <cell r="D1247" t="str">
            <v>SAFETY</v>
          </cell>
        </row>
        <row r="1248">
          <cell r="D1248" t="str">
            <v>Hard Hats</v>
          </cell>
        </row>
        <row r="1249">
          <cell r="D1249" t="str">
            <v>First Aid Kit</v>
          </cell>
        </row>
        <row r="1250">
          <cell r="D1250" t="str">
            <v>Traffic Barricade Type "D"</v>
          </cell>
        </row>
        <row r="1251">
          <cell r="D1251" t="str">
            <v>Plastic Canvas (1.2m width)</v>
          </cell>
        </row>
        <row r="1252">
          <cell r="D1252" t="str">
            <v>Nylon Rope</v>
          </cell>
        </row>
        <row r="1253">
          <cell r="D1253" t="str">
            <v>( LIQUIFIED AND PRESSURE GASES )</v>
          </cell>
        </row>
        <row r="1254">
          <cell r="D1254" t="str">
            <v>Oxygen Gas</v>
          </cell>
        </row>
        <row r="1255">
          <cell r="D1255" t="str">
            <v>( LIQUIFIED AND PRESSURE GASES )</v>
          </cell>
        </row>
        <row r="1256">
          <cell r="D1256" t="str">
            <v>Oxygen Gas</v>
          </cell>
        </row>
        <row r="1257">
          <cell r="D1257" t="str">
            <v>Acetylene Gas</v>
          </cell>
        </row>
        <row r="1258">
          <cell r="D1258" t="str">
            <v>Bench</v>
          </cell>
        </row>
        <row r="1259">
          <cell r="D1259" t="str">
            <v>Plywood Board</v>
          </cell>
        </row>
        <row r="1260">
          <cell r="D1260" t="str">
            <v>Plywood Board</v>
          </cell>
        </row>
        <row r="1261">
          <cell r="D1261" t="str">
            <v>SIGNAGES</v>
          </cell>
        </row>
        <row r="1262">
          <cell r="D1262" t="str">
            <v>Plate Marker</v>
          </cell>
        </row>
        <row r="1263">
          <cell r="D1263" t="str">
            <v>Marker Pedestal</v>
          </cell>
        </row>
        <row r="1264">
          <cell r="D1264" t="str">
            <v>Stainless Steel Plaque</v>
          </cell>
        </row>
        <row r="1265">
          <cell r="D1265" t="str">
            <v>Stainless Steel Plaque w/ Concrete Pedestal</v>
          </cell>
        </row>
        <row r="1266">
          <cell r="D1266" t="str">
            <v>Wooden Type Project Information Signboard</v>
          </cell>
        </row>
        <row r="1267">
          <cell r="D1267" t="str">
            <v>Steel Type Project Information Signboard</v>
          </cell>
        </row>
        <row r="1268">
          <cell r="D1268" t="str">
            <v>Steel Type Project Information Signboard (Tarpaulin w/ Plywood Backing)</v>
          </cell>
        </row>
        <row r="1269">
          <cell r="D1269" t="str">
            <v>Signage</v>
          </cell>
        </row>
        <row r="1270">
          <cell r="D1270" t="str">
            <v>Plate Marker w/ Pedestal</v>
          </cell>
        </row>
        <row r="1271">
          <cell r="D1271" t="str">
            <v>Plate Marker w/ Pedestal</v>
          </cell>
        </row>
        <row r="1273">
          <cell r="D1273" t="str">
            <v>PERMITS &amp; LICENSES</v>
          </cell>
        </row>
        <row r="1274">
          <cell r="D1274" t="str">
            <v>Warehouse</v>
          </cell>
        </row>
        <row r="1275">
          <cell r="D1275" t="str">
            <v>Solar Dryer</v>
          </cell>
        </row>
        <row r="1276">
          <cell r="D1276" t="str">
            <v>Community Center 1</v>
          </cell>
        </row>
        <row r="1277">
          <cell r="D1277" t="str">
            <v>Community Center 1</v>
          </cell>
        </row>
        <row r="1278">
          <cell r="D1278" t="str">
            <v>SAFETY</v>
          </cell>
        </row>
        <row r="1279">
          <cell r="D1279" t="str">
            <v>Hard Hats</v>
          </cell>
        </row>
        <row r="1280">
          <cell r="D1280" t="str">
            <v>First Aid Kit</v>
          </cell>
        </row>
        <row r="1281">
          <cell r="D1281" t="str">
            <v>Traffic Barricade Type "D"</v>
          </cell>
        </row>
        <row r="1282">
          <cell r="D1282" t="str">
            <v>Traffic Barricade Type "D"</v>
          </cell>
        </row>
        <row r="1283">
          <cell r="D1283" t="str">
            <v>( LIQUIFIED AND PRESSURE GASES )</v>
          </cell>
        </row>
        <row r="1284">
          <cell r="D1284" t="str">
            <v>Oxygen Gas</v>
          </cell>
        </row>
        <row r="1285">
          <cell r="D1285" t="str">
            <v>Acetylene Gas</v>
          </cell>
        </row>
        <row r="1286">
          <cell r="D1286" t="str">
            <v>Acetylene Gas</v>
          </cell>
        </row>
      </sheetData>
      <sheetData sheetId="8" refreshError="1"/>
      <sheetData sheetId="9" refreshError="1"/>
      <sheetData sheetId="10" refreshError="1"/>
      <sheetData sheetId="11"/>
      <sheetData sheetId="12"/>
      <sheetData sheetId="13" refreshError="1">
        <row r="7">
          <cell r="B7" t="str">
            <v>Scope of Works</v>
          </cell>
        </row>
        <row r="8">
          <cell r="B8" t="str">
            <v>Mobilization &amp; Demobilization</v>
          </cell>
        </row>
        <row r="9">
          <cell r="B9" t="str">
            <v>MOBILIZATION &amp; DEMOBILIZATION</v>
          </cell>
        </row>
        <row r="10">
          <cell r="B10" t="str">
            <v>Mobilization and Demobilization</v>
          </cell>
        </row>
        <row r="11">
          <cell r="B11" t="str">
            <v>FACILITIES FOR ENGINEER</v>
          </cell>
        </row>
        <row r="12">
          <cell r="B12" t="str">
            <v>Facilities for Engineers</v>
          </cell>
        </row>
        <row r="14">
          <cell r="B14" t="str">
            <v>TEMPORARY FACILITIES</v>
          </cell>
        </row>
        <row r="15">
          <cell r="B15" t="str">
            <v>TEMPORARY FACILITY FOR ENGINEERS</v>
          </cell>
        </row>
        <row r="16">
          <cell r="B16" t="str">
            <v>TEMPORARY FACILITY, SIGNAGE &amp; PERMITS</v>
          </cell>
        </row>
        <row r="17">
          <cell r="B17" t="str">
            <v>Temporary Facility for Engineer</v>
          </cell>
        </row>
        <row r="18">
          <cell r="B18" t="str">
            <v>Temporary Facilities.</v>
          </cell>
        </row>
        <row r="19">
          <cell r="B19" t="str">
            <v>Temporary Facilities &amp; Signages</v>
          </cell>
        </row>
        <row r="20">
          <cell r="B20" t="str">
            <v>PERMITS &amp; LICENSES</v>
          </cell>
        </row>
        <row r="21">
          <cell r="B21" t="str">
            <v>BUILDING PERMITS</v>
          </cell>
        </row>
        <row r="24">
          <cell r="B24" t="str">
            <v>SITE WORKS</v>
          </cell>
        </row>
        <row r="26">
          <cell r="B26" t="str">
            <v>Site Clearing</v>
          </cell>
        </row>
        <row r="27">
          <cell r="B27" t="str">
            <v>Layout of Lines &amp; Grades</v>
          </cell>
        </row>
        <row r="29">
          <cell r="B29" t="str">
            <v xml:space="preserve"> EARTHWORKS</v>
          </cell>
        </row>
        <row r="30">
          <cell r="B30" t="str">
            <v>Earthworks</v>
          </cell>
        </row>
        <row r="31">
          <cell r="B31" t="str">
            <v>Structural Excavation</v>
          </cell>
        </row>
        <row r="32">
          <cell r="B32" t="str">
            <v>Structural Excavation (Mech'l)</v>
          </cell>
        </row>
        <row r="33">
          <cell r="B33" t="str">
            <v>Structural Excavation (Soft Wet Sand)</v>
          </cell>
        </row>
        <row r="34">
          <cell r="B34" t="str">
            <v>Structural Embankment</v>
          </cell>
        </row>
        <row r="35">
          <cell r="B35" t="str">
            <v>Structural Backfill</v>
          </cell>
        </row>
        <row r="36">
          <cell r="B36" t="str">
            <v>Common Embankment Fill</v>
          </cell>
        </row>
        <row r="37">
          <cell r="B37" t="str">
            <v>Core Rock Fill (30 kg/pc)</v>
          </cell>
        </row>
        <row r="38">
          <cell r="B38" t="str">
            <v>Core Rock Fill (2 - 4 kg/pc)</v>
          </cell>
        </row>
        <row r="39">
          <cell r="B39" t="str">
            <v>Core Rock Fill (0.04 - 0.3 kg/pc)</v>
          </cell>
        </row>
        <row r="40">
          <cell r="B40" t="str">
            <v>Boulders Fill</v>
          </cell>
        </row>
        <row r="42">
          <cell r="B42" t="str">
            <v>Item 101 (1) - Removal of Structures and Obstruction</v>
          </cell>
        </row>
        <row r="43">
          <cell r="B43" t="str">
            <v>Item 102 (1) - Excavation</v>
          </cell>
        </row>
        <row r="44">
          <cell r="B44" t="str">
            <v>Item 103 (6) - Pipe Culverts and Drain Excavation</v>
          </cell>
        </row>
        <row r="45">
          <cell r="B45" t="str">
            <v>Item 103 (3) - Foundation Fill</v>
          </cell>
        </row>
        <row r="46">
          <cell r="B46" t="str">
            <v>Item 104 (1)a - Embankment</v>
          </cell>
        </row>
        <row r="47">
          <cell r="B47" t="str">
            <v>Item 405 (1)c - Structural Concrete</v>
          </cell>
        </row>
        <row r="48">
          <cell r="B48" t="str">
            <v>Item 404 (1)c - Reinforcing Steel</v>
          </cell>
        </row>
        <row r="49">
          <cell r="B49" t="str">
            <v>Item 500 - Pipe Culverts and Storm Drains</v>
          </cell>
        </row>
        <row r="50">
          <cell r="B50" t="str">
            <v>Item 505 - Stone Masonry</v>
          </cell>
        </row>
        <row r="59">
          <cell r="B59" t="str">
            <v>Gravel Fill</v>
          </cell>
        </row>
        <row r="61">
          <cell r="B61" t="str">
            <v>Pipe Trench Excavation (25mmØ Pipe)</v>
          </cell>
        </row>
        <row r="62">
          <cell r="B62" t="str">
            <v>Pipe Trench Excavation (32mmØ Pipe)</v>
          </cell>
        </row>
        <row r="63">
          <cell r="B63" t="str">
            <v>Pipe Trench Excavation (40mmØ Pipe)</v>
          </cell>
        </row>
        <row r="64">
          <cell r="B64" t="str">
            <v>Pipe Trench Excavation (50mmØ Pipe)</v>
          </cell>
        </row>
        <row r="65">
          <cell r="B65" t="str">
            <v>Pipe Trench Excavation (63mmØ Pipe)</v>
          </cell>
        </row>
        <row r="66">
          <cell r="B66" t="str">
            <v>Pipe Trench Excavation (75mmØ Pipe)</v>
          </cell>
        </row>
        <row r="67">
          <cell r="B67" t="str">
            <v>Pipe Trench Excavation (90mmØ Pipe)</v>
          </cell>
        </row>
        <row r="75">
          <cell r="B75" t="str">
            <v>CONCRETE PAVEMENT BASE PREPARATION</v>
          </cell>
        </row>
        <row r="78">
          <cell r="B78" t="str">
            <v>BUILDING  EARTHWORKS</v>
          </cell>
        </row>
        <row r="81">
          <cell r="B81" t="str">
            <v>Gravel Bedding</v>
          </cell>
        </row>
        <row r="82">
          <cell r="B82" t="str">
            <v>Backfilling with Compaction</v>
          </cell>
        </row>
        <row r="84">
          <cell r="B84" t="str">
            <v>CONCRETE WORKS</v>
          </cell>
        </row>
        <row r="86">
          <cell r="B86" t="str">
            <v>Concrete Class "A"</v>
          </cell>
        </row>
        <row r="87">
          <cell r="B87" t="str">
            <v>Concrete Class "B"</v>
          </cell>
        </row>
        <row r="88">
          <cell r="B88" t="str">
            <v>Concrete Class "C"</v>
          </cell>
        </row>
        <row r="89">
          <cell r="B89" t="str">
            <v>Lean Concrete</v>
          </cell>
        </row>
        <row r="90">
          <cell r="B90" t="str">
            <v>Supply &amp; Place 21 MPa Concrete</v>
          </cell>
        </row>
        <row r="91">
          <cell r="B91" t="str">
            <v>Supply &amp; Place 25 MPa Concrete</v>
          </cell>
        </row>
        <row r="92">
          <cell r="B92" t="str">
            <v>Supply &amp; Place 30 MPa Concrete</v>
          </cell>
        </row>
        <row r="93">
          <cell r="B93" t="str">
            <v>Supply &amp; Place 35 MPa Concrete</v>
          </cell>
        </row>
        <row r="94">
          <cell r="B94" t="str">
            <v>Supply &amp; Place 30 MPa Concrete incl. Formworks</v>
          </cell>
        </row>
        <row r="95">
          <cell r="B95" t="str">
            <v>Supply &amp; Place 35 MPa Concrete incl. Formworks</v>
          </cell>
        </row>
        <row r="96">
          <cell r="B96" t="str">
            <v>Supply &amp; Place 30 MPa Concrete (Pile Coping)</v>
          </cell>
        </row>
        <row r="97">
          <cell r="B97" t="str">
            <v>Supply &amp; Place 25 MPa Concrete Stair</v>
          </cell>
        </row>
        <row r="98">
          <cell r="B98" t="str">
            <v>Supply &amp; Place 17 MPa Lean Concrete</v>
          </cell>
        </row>
        <row r="99">
          <cell r="B99" t="str">
            <v>CONSTRUCTION OF RETAINING WALL</v>
          </cell>
        </row>
        <row r="101">
          <cell r="B101" t="str">
            <v>Precast Concrete Slab (25 Mpa)</v>
          </cell>
        </row>
        <row r="102">
          <cell r="B102" t="str">
            <v>CONCRETE ANCHOR BLOCK</v>
          </cell>
        </row>
        <row r="105">
          <cell r="B105" t="str">
            <v>STAIR LANDING WORKS</v>
          </cell>
        </row>
        <row r="106">
          <cell r="B106" t="str">
            <v>Concrete Stair</v>
          </cell>
        </row>
        <row r="107">
          <cell r="B107" t="str">
            <v>Precast Concrete Stair Landing</v>
          </cell>
        </row>
        <row r="108">
          <cell r="B108" t="str">
            <v>R.C. BOX CULVERT "A"</v>
          </cell>
        </row>
        <row r="109">
          <cell r="B109" t="str">
            <v>R.C. BOX CULVERT "B"</v>
          </cell>
        </row>
        <row r="110">
          <cell r="B110" t="str">
            <v>R.C. COVERED DITCH</v>
          </cell>
        </row>
        <row r="111">
          <cell r="B111" t="str">
            <v>Supply &amp; Place 30 MPa Concrete</v>
          </cell>
        </row>
        <row r="120">
          <cell r="B120" t="str">
            <v xml:space="preserve"> MASONRY WORKS</v>
          </cell>
        </row>
        <row r="122">
          <cell r="B122" t="str">
            <v>4" CHB</v>
          </cell>
        </row>
        <row r="123">
          <cell r="B123" t="str">
            <v>6" CHB</v>
          </cell>
        </row>
        <row r="124">
          <cell r="B124" t="str">
            <v>Construct 150mm CHB Wall</v>
          </cell>
        </row>
        <row r="125">
          <cell r="B125" t="str">
            <v>Cement Plastering</v>
          </cell>
        </row>
        <row r="126">
          <cell r="B126" t="str">
            <v>Grouted Riprap</v>
          </cell>
        </row>
        <row r="128">
          <cell r="B128" t="str">
            <v>FINISHING WORKS</v>
          </cell>
        </row>
        <row r="130">
          <cell r="B130" t="str">
            <v>Provide Plain Cement Plaster Finish</v>
          </cell>
        </row>
        <row r="131">
          <cell r="B131" t="str">
            <v>Apply Painted Finish on Concrete</v>
          </cell>
        </row>
        <row r="132">
          <cell r="B132" t="str">
            <v>Supply &amp; Install Roof Waterproofing</v>
          </cell>
        </row>
        <row r="134">
          <cell r="B134" t="str">
            <v>FENESTRATION</v>
          </cell>
        </row>
        <row r="136">
          <cell r="B136" t="str">
            <v>Supply and Install Door Type D-1 (0.80 x 2.10m.) Complete with Door and all Accessories</v>
          </cell>
        </row>
        <row r="137">
          <cell r="B137" t="str">
            <v>Supply and Install Window Type W-1 (1.8 x 1.3m.) Complete with Window Jamb, Steel Grilles, etc.</v>
          </cell>
        </row>
        <row r="138">
          <cell r="B138" t="str">
            <v>Supply and Install Window Type W-2 (0.6 x 1.3m.) Complete with Window Jamb, Steel Grilles, etc.</v>
          </cell>
        </row>
        <row r="139">
          <cell r="B139" t="str">
            <v>Supply and Install Window Type W-1 (0.90 x 1.3m.) Complete with Window Jamb, Steel Grilles, etc.</v>
          </cell>
        </row>
        <row r="141">
          <cell r="B141" t="str">
            <v>Supply and Install Door Type D-1 (0.70 x 2.10m.) Complete with Door and all Accessories</v>
          </cell>
        </row>
        <row r="142">
          <cell r="B142" t="str">
            <v>Supply and Install Door Type D-2 (0.70 x 2.0m.) Complete with Door and all Accessories</v>
          </cell>
        </row>
        <row r="143">
          <cell r="B143" t="str">
            <v>Supply and Install Door Type D-3 (0.70 x 1.40m.) Complete with Door and all Accessories</v>
          </cell>
        </row>
        <row r="144">
          <cell r="B144" t="str">
            <v>Supply and Install Window Type W-1 (0.60 x 0.5m.) Complete with Window Jamb, etc.</v>
          </cell>
        </row>
        <row r="150">
          <cell r="B150" t="str">
            <v>Door 1 - Community Center 1</v>
          </cell>
        </row>
        <row r="151">
          <cell r="B151" t="str">
            <v>Door 2 - Community Center 1</v>
          </cell>
        </row>
        <row r="152">
          <cell r="B152" t="str">
            <v>Window 1 - Community Center 1</v>
          </cell>
        </row>
        <row r="153">
          <cell r="B153" t="str">
            <v>Window 2 - Community Center 1</v>
          </cell>
        </row>
        <row r="154">
          <cell r="B154" t="str">
            <v>Window 3 - Community Center 1</v>
          </cell>
        </row>
        <row r="156">
          <cell r="B156" t="str">
            <v>Door 1 - Community Center 2</v>
          </cell>
        </row>
        <row r="157">
          <cell r="B157" t="str">
            <v>Door 2 - Community Center 2</v>
          </cell>
        </row>
        <row r="158">
          <cell r="B158" t="str">
            <v>Window 1 - Community Center 2</v>
          </cell>
        </row>
        <row r="159">
          <cell r="B159" t="str">
            <v>Window 2 - Community Center 2</v>
          </cell>
        </row>
        <row r="160">
          <cell r="B160" t="str">
            <v>Window 3 - Community Center 2</v>
          </cell>
        </row>
        <row r="162">
          <cell r="B162" t="str">
            <v>Door 1 - Trading Center 1</v>
          </cell>
        </row>
        <row r="163">
          <cell r="B163" t="str">
            <v>Door 2 - Trading Center 1</v>
          </cell>
        </row>
        <row r="164">
          <cell r="B164" t="str">
            <v>Window 1 - Trading Center 1</v>
          </cell>
        </row>
        <row r="165">
          <cell r="B165" t="str">
            <v>Window 2 - Trading Center 1</v>
          </cell>
        </row>
        <row r="166">
          <cell r="B166" t="str">
            <v>Window 3 - Trading Center 1</v>
          </cell>
        </row>
        <row r="175">
          <cell r="B175" t="str">
            <v>DRAINAGE WORKS</v>
          </cell>
        </row>
        <row r="177">
          <cell r="B177" t="str">
            <v>CONSTRUCT CROSS-DRAIN</v>
          </cell>
        </row>
        <row r="178">
          <cell r="B178" t="str">
            <v>Supply and Install RCP, 610mmØ</v>
          </cell>
        </row>
        <row r="179">
          <cell r="B179" t="str">
            <v>Supply &amp; Install Concrete Headwall &amp; Outfall</v>
          </cell>
        </row>
        <row r="181">
          <cell r="B181" t="str">
            <v>PORT CONSTRUCTION</v>
          </cell>
        </row>
        <row r="183">
          <cell r="B183" t="str">
            <v>CONSTRUCTION OF R.C. PIER EXTENTION-1, 9m x 27m.</v>
          </cell>
        </row>
        <row r="184">
          <cell r="B184" t="str">
            <v>CONSTRUCTION OF R.C. PIER EXTENTION-2, 9m x 12m.</v>
          </cell>
        </row>
        <row r="185">
          <cell r="B185" t="str">
            <v>CONSTRUCTION OF R.C. PIER EXTENTION</v>
          </cell>
        </row>
        <row r="186">
          <cell r="B186" t="str">
            <v>CONSTRUCTION OF BOAT LANDING</v>
          </cell>
        </row>
        <row r="187">
          <cell r="B187" t="str">
            <v>CONSTRUCTION OF BULKHEAD TYPE WHARF &amp; RORO RAMP</v>
          </cell>
        </row>
        <row r="188">
          <cell r="B188" t="str">
            <v>CONSTRUCTION OF WHARF EXTENSION &amp; RORO RAMP</v>
          </cell>
        </row>
        <row r="191">
          <cell r="B191" t="str">
            <v>PRECAST CONCRETE WORKS</v>
          </cell>
        </row>
        <row r="192">
          <cell r="B192" t="str">
            <v/>
          </cell>
        </row>
        <row r="193">
          <cell r="B193" t="str">
            <v>Supply &amp; Place 35 MPa Precast Concrete Slab</v>
          </cell>
        </row>
        <row r="194">
          <cell r="B194" t="str">
            <v>Supply &amp; Place 35 MPa Precast Concrete Beam</v>
          </cell>
        </row>
        <row r="195">
          <cell r="B195" t="str">
            <v>Supply &amp; Place Non-Shrink Grout on Precast Concrete Beam</v>
          </cell>
        </row>
        <row r="197">
          <cell r="B197" t="str">
            <v>Supply &amp; Place Non-Shrink Grout on Precast Concrete Beam &amp; Slab</v>
          </cell>
        </row>
        <row r="208">
          <cell r="B208" t="str">
            <v>CAST IN-PLACE CONCRETE WORKS</v>
          </cell>
        </row>
        <row r="209">
          <cell r="B209" t="str">
            <v>Supply &amp; Place 30 MPa Cast in-place Concrete Slab incl. Formworks</v>
          </cell>
        </row>
        <row r="210">
          <cell r="B210" t="str">
            <v>Supply &amp; Place 30 MPa Cast in-place Concrete Beam incl. Formworks</v>
          </cell>
        </row>
        <row r="211">
          <cell r="B211" t="str">
            <v>Supply &amp; Place 30 MPa Cast in-place Concrete Deck Slab</v>
          </cell>
        </row>
        <row r="212">
          <cell r="B212" t="str">
            <v>Supply &amp; Place 30 MPa Cast in-place Concrete</v>
          </cell>
        </row>
        <row r="213">
          <cell r="B213" t="str">
            <v>Supply &amp; Place 30 MPa Cast in-place Concrete incl. Formworks</v>
          </cell>
        </row>
        <row r="215">
          <cell r="B215" t="str">
            <v>PILE SPLICING WORKS</v>
          </cell>
        </row>
        <row r="216">
          <cell r="B216" t="str">
            <v>Pile Splicing and its appurtenances</v>
          </cell>
        </row>
        <row r="218">
          <cell r="B218" t="str">
            <v>PILING WORKS</v>
          </cell>
        </row>
        <row r="220">
          <cell r="B220" t="str">
            <v>Supply and Drive Steel Pipe Test Piles, 450mmØ x 18m.</v>
          </cell>
        </row>
        <row r="221">
          <cell r="B221" t="str">
            <v>Supply Steel Pipe Pile, 450mmØ x 18m.</v>
          </cell>
        </row>
        <row r="222">
          <cell r="B222" t="str">
            <v>Handle Pitch and Drive Vertical Steel Pipe Pile</v>
          </cell>
        </row>
        <row r="223">
          <cell r="B223" t="str">
            <v>Handle Pitch and Drive Batter Steel Pipe Pile</v>
          </cell>
        </row>
        <row r="224">
          <cell r="B224" t="str">
            <v>Steel Pipe Pile Shoe (for 450mmØ Pile)</v>
          </cell>
        </row>
        <row r="225">
          <cell r="B225" t="str">
            <v>Steel Pipe Pile Tip Cladding (for 450mmØ Pile)</v>
          </cell>
        </row>
        <row r="227">
          <cell r="B227" t="str">
            <v>Fender Pile (Molave)</v>
          </cell>
        </row>
        <row r="228">
          <cell r="B228" t="str">
            <v>Timber Post (Molave)</v>
          </cell>
        </row>
        <row r="229">
          <cell r="B229" t="str">
            <v>Supply and Drive PSC Test Piles, 400mm x 400mm x 12m.</v>
          </cell>
        </row>
        <row r="230">
          <cell r="B230" t="str">
            <v>PSC Test Piles, 400mm x 400mm x 12m.</v>
          </cell>
        </row>
        <row r="231">
          <cell r="B231" t="str">
            <v>Supply and Drive PSC Test Piles, 400mm x 400mm x 14m.</v>
          </cell>
        </row>
        <row r="232">
          <cell r="B232" t="str">
            <v>PSC Test Piles, 400mm x 400mm x 14m.</v>
          </cell>
        </row>
        <row r="233">
          <cell r="B233" t="str">
            <v>Supply and Drive PSC Test Piles, 400mm x 400mm x 21m.</v>
          </cell>
        </row>
        <row r="234">
          <cell r="B234" t="str">
            <v>PSC Test Piles, 400mm x 400mm x 21m.</v>
          </cell>
        </row>
        <row r="235">
          <cell r="B235" t="str">
            <v>Supply and Drive PSC Test Piles, 400mm x 400mm x 24m.</v>
          </cell>
        </row>
        <row r="236">
          <cell r="B236" t="str">
            <v>PSC Test Piles, 400mm x 400mm x 24m.</v>
          </cell>
        </row>
        <row r="237">
          <cell r="B237" t="str">
            <v>Supply 400mm x 400mm PSC Pile, L=10m.</v>
          </cell>
        </row>
        <row r="238">
          <cell r="B238" t="str">
            <v>Supply 400mm x 400mm PSC Pile, L=12m.</v>
          </cell>
        </row>
        <row r="239">
          <cell r="B239" t="str">
            <v>Supply 400mm x 400mm PSC Pile, L=22m.</v>
          </cell>
        </row>
        <row r="240">
          <cell r="B240" t="str">
            <v>Supply 450mm x 450mm PSC Pile</v>
          </cell>
        </row>
        <row r="241">
          <cell r="B241" t="str">
            <v>Supply &amp; Drive PSC Test Piles, 450mm x 450mm Incl. Splicing</v>
          </cell>
        </row>
        <row r="242">
          <cell r="B242" t="str">
            <v>Handle Pitch and Drive PSC Vertical Pile, 450mm x 450mm</v>
          </cell>
        </row>
        <row r="243">
          <cell r="B243" t="str">
            <v>Handle Pitch and Drive PSC Batter  Piles, 450mm x 450mm</v>
          </cell>
        </row>
        <row r="245">
          <cell r="B245" t="str">
            <v>Handle Pitch and Drive PSC Vertical Pile, 400mm x 400mm</v>
          </cell>
        </row>
        <row r="246">
          <cell r="B246" t="str">
            <v>Handle Pitch and Drive PSC Batter  Piles, 400mm x 400mm</v>
          </cell>
        </row>
        <row r="248">
          <cell r="B248" t="str">
            <v>Handle Pitch and Drive Vertical PSC Pile including cutting</v>
          </cell>
        </row>
        <row r="249">
          <cell r="B249" t="str">
            <v>Handle Pitch Drive Batter PSC Pile including cutting</v>
          </cell>
        </row>
        <row r="251">
          <cell r="B251" t="str">
            <v>MOORING AND FENDERING SYSTEM</v>
          </cell>
        </row>
        <row r="252">
          <cell r="B252" t="str">
            <v>SEISMIC GAP PLATE &amp; RORO STEEL RAMP PROTECTION</v>
          </cell>
        </row>
        <row r="254">
          <cell r="B254" t="str">
            <v>MOORING SYSTEM</v>
          </cell>
        </row>
        <row r="256">
          <cell r="B256" t="str">
            <v>Supply &amp; Install V-Type Rubber Fender (200 x 1500mm)</v>
          </cell>
        </row>
        <row r="257">
          <cell r="B257" t="str">
            <v>Supply &amp; Install V-Type Rubber Fender (300 x 1500mm)</v>
          </cell>
        </row>
        <row r="258">
          <cell r="B258" t="str">
            <v>Supply &amp; Install V-Type Rubber Fender (400H x 1000mm)</v>
          </cell>
        </row>
        <row r="259">
          <cell r="B259" t="str">
            <v>Supply &amp; Install L Corner Type Rubber Fender (250H x 1000L x 1000L)</v>
          </cell>
        </row>
        <row r="260">
          <cell r="B260" t="str">
            <v>Supply &amp; Install Mooring Bollard (25T)</v>
          </cell>
        </row>
        <row r="261">
          <cell r="B261" t="str">
            <v>Supply &amp; Install Mooring Bollard (15T)</v>
          </cell>
        </row>
        <row r="262">
          <cell r="B262" t="str">
            <v>Supply &amp; Install Mooring Cleats (5T)</v>
          </cell>
        </row>
        <row r="263">
          <cell r="B263" t="str">
            <v>Supply &amp; Install Mooring Cleats (10T)</v>
          </cell>
        </row>
        <row r="264">
          <cell r="B264" t="str">
            <v>Supply &amp; Install Mooring Bitt (10T)</v>
          </cell>
        </row>
        <row r="265">
          <cell r="B265" t="str">
            <v>Supply &amp; Install Mooring Bitt (15T)</v>
          </cell>
        </row>
        <row r="266">
          <cell r="B266" t="str">
            <v>Supply &amp; Install 7-Pile Timber Dolphin (L=15m.)</v>
          </cell>
        </row>
        <row r="267">
          <cell r="B267" t="str">
            <v>Supply &amp; Install Wooden Mooring</v>
          </cell>
        </row>
        <row r="268">
          <cell r="B268" t="str">
            <v>Supply &amp; Install Rubber Tire Fender and its appurtenances</v>
          </cell>
        </row>
        <row r="270">
          <cell r="B270" t="str">
            <v>CONSTRUCTION OF R.C. PIER EXTENTION, 9m x 21m. (Fast Craft)</v>
          </cell>
        </row>
        <row r="271">
          <cell r="B271" t="str">
            <v>CONSTRUCTION OF RORO, 9m x 24m.</v>
          </cell>
        </row>
        <row r="272">
          <cell r="B272" t="str">
            <v>CONSTRUCTION OF TRANSITION PLATFORM 5m. X 11m.</v>
          </cell>
        </row>
        <row r="274">
          <cell r="B274" t="str">
            <v>SUPPLY AND INSTALL GATE, 8.5 meter width</v>
          </cell>
        </row>
        <row r="275">
          <cell r="B275" t="str">
            <v>CONSTRUCTION OF GUARD HOUSE, (2.00m. X 2.00m.)</v>
          </cell>
        </row>
        <row r="277">
          <cell r="B277" t="str">
            <v xml:space="preserve">TINSMITHRY </v>
          </cell>
        </row>
        <row r="279">
          <cell r="B279" t="str">
            <v>G.I. Sheet Roofing</v>
          </cell>
        </row>
        <row r="280">
          <cell r="B280" t="str">
            <v>Ga. #26 Corr. G.I. Sheet Roofing</v>
          </cell>
        </row>
        <row r="281">
          <cell r="B281" t="str">
            <v>Ga. #26 Plain G.I. Sheet Ridge Roll</v>
          </cell>
        </row>
        <row r="282">
          <cell r="B282" t="str">
            <v>Ga. #26 Plain G.I. Gutter</v>
          </cell>
        </row>
        <row r="283">
          <cell r="B283" t="str">
            <v>Ga. #26 Plain G.I. Flashing</v>
          </cell>
        </row>
        <row r="287">
          <cell r="B287" t="str">
            <v>CARPENTRY  WORKS</v>
          </cell>
        </row>
        <row r="289">
          <cell r="B289" t="str">
            <v>Timber Port - Beam (Yakal)</v>
          </cell>
        </row>
        <row r="290">
          <cell r="B290" t="str">
            <v>Timber Port - Beam (Yakal or equivalent)</v>
          </cell>
        </row>
        <row r="291">
          <cell r="B291" t="str">
            <v>Timber Port - Floor Joist (Yakal)</v>
          </cell>
        </row>
        <row r="292">
          <cell r="B292" t="str">
            <v>Timber Port - Floor Joist (Yakal or equivalent)</v>
          </cell>
        </row>
        <row r="293">
          <cell r="B293" t="str">
            <v>Timber Port - Floor Planks (Yakal)</v>
          </cell>
        </row>
        <row r="294">
          <cell r="B294" t="str">
            <v>Timber Port - Floor Planks (Yakal or equivalent)</v>
          </cell>
        </row>
        <row r="295">
          <cell r="B295" t="str">
            <v>Timber Port - Cross Bracing (Yakal)</v>
          </cell>
        </row>
        <row r="296">
          <cell r="B296" t="str">
            <v>Timber Port - Cross Bracing (Yakal or equivalent)</v>
          </cell>
        </row>
        <row r="297">
          <cell r="B297" t="str">
            <v>Timber Port - Bridging (Yakal)</v>
          </cell>
        </row>
        <row r="298">
          <cell r="B298" t="str">
            <v>Timber Port - Bridging (Yakal or equivalent)</v>
          </cell>
        </row>
        <row r="299">
          <cell r="B299" t="str">
            <v>Timber Port - Curb (Yakal)</v>
          </cell>
        </row>
        <row r="300">
          <cell r="B300" t="str">
            <v>Timber Port - Curb (Yakal or equivalent)</v>
          </cell>
        </row>
        <row r="301">
          <cell r="B301" t="str">
            <v>Timber Port Pier Head - Beam (Yakal)</v>
          </cell>
        </row>
        <row r="302">
          <cell r="B302" t="str">
            <v>Timber Port Pier Head - Beam (Yakal or equivalent)</v>
          </cell>
        </row>
        <row r="303">
          <cell r="B303" t="str">
            <v>Timber Port Pier Head - Floor Joist (Yakal)</v>
          </cell>
        </row>
        <row r="304">
          <cell r="B304" t="str">
            <v>Timber Port Pier Head - Floor Joist (Yakal or equivalent)</v>
          </cell>
        </row>
        <row r="305">
          <cell r="B305" t="str">
            <v>Timber Port Pier Head - Floor Planks (Yakal)</v>
          </cell>
        </row>
        <row r="306">
          <cell r="B306" t="str">
            <v>Timber Port Pier Head - Cross Bracing (Yakal or equivalent)</v>
          </cell>
        </row>
        <row r="307">
          <cell r="B307" t="str">
            <v>Timber Port Pier Head - Cross Bracing (Yakal)</v>
          </cell>
        </row>
        <row r="308">
          <cell r="B308" t="str">
            <v>Timber Port Pier Head - Cross Bracing (Yakal or equivalent)</v>
          </cell>
        </row>
        <row r="309">
          <cell r="B309" t="str">
            <v>Timber Port Pier Head - Bridging (Yakal)</v>
          </cell>
        </row>
        <row r="310">
          <cell r="B310" t="str">
            <v>Timber Port Pier Head - Bridging (Yakal or equivalent)</v>
          </cell>
        </row>
        <row r="311">
          <cell r="B311" t="str">
            <v>Timber Port Pier Head - Curb (Yakal)</v>
          </cell>
        </row>
        <row r="312">
          <cell r="B312" t="str">
            <v>Timber Port Pier Head - Curb (Yakal or equivalent)</v>
          </cell>
        </row>
        <row r="313">
          <cell r="B313" t="str">
            <v>Ceiling Board on wood runner (s.m.)</v>
          </cell>
        </row>
        <row r="314">
          <cell r="B314" t="str">
            <v>Frame Installation</v>
          </cell>
        </row>
        <row r="315">
          <cell r="B315" t="str">
            <v>Board Installation</v>
          </cell>
        </row>
        <row r="316">
          <cell r="B316" t="str">
            <v>Flush Door (3'x7') + 21 s.f.</v>
          </cell>
        </row>
        <row r="317">
          <cell r="B317" t="str">
            <v>Fabrication</v>
          </cell>
        </row>
        <row r="319">
          <cell r="B319" t="str">
            <v>6mm thk. Ordinary Plywood Ceiling &amp; 6mm thk Marine Plywood Sidings</v>
          </cell>
        </row>
        <row r="320">
          <cell r="B320" t="str">
            <v>6mm thk. Marine Plywood Ceiling</v>
          </cell>
        </row>
        <row r="321">
          <cell r="B321" t="str">
            <v>6mm thk. Ordinary Plywood Ceiling</v>
          </cell>
        </row>
        <row r="324">
          <cell r="B324" t="str">
            <v>WIRE AND CABLE WORKS</v>
          </cell>
        </row>
        <row r="325">
          <cell r="B325" t="str">
            <v>Wire and Cable for Suspension</v>
          </cell>
        </row>
        <row r="337">
          <cell r="B337" t="str">
            <v xml:space="preserve">REINFORCING BARS </v>
          </cell>
        </row>
        <row r="339">
          <cell r="B339" t="str">
            <v>Deformed Bar</v>
          </cell>
        </row>
        <row r="340">
          <cell r="B340" t="str">
            <v>Supply &amp; Install Reinforcing Steel Bars for Pile Jacket</v>
          </cell>
        </row>
        <row r="341">
          <cell r="B341" t="str">
            <v>Supply &amp; Install Reinforcing Steel Bars for Precast Slab</v>
          </cell>
        </row>
        <row r="342">
          <cell r="B342" t="str">
            <v>Supply &amp; Install Reinforcing Steel Bars for Precast Beam</v>
          </cell>
        </row>
        <row r="343">
          <cell r="B343" t="str">
            <v>Supply &amp; Install Reinforcing Steel Bars</v>
          </cell>
        </row>
        <row r="344">
          <cell r="B344" t="str">
            <v>fy = 276 Mpa</v>
          </cell>
        </row>
        <row r="345">
          <cell r="B345" t="str">
            <v>fy = 230 Mpa</v>
          </cell>
        </row>
        <row r="349">
          <cell r="B349" t="str">
            <v>STEEL WORKS</v>
          </cell>
        </row>
        <row r="351">
          <cell r="B351" t="str">
            <v>Supply and Install Ramp Steel Rail</v>
          </cell>
        </row>
        <row r="354">
          <cell r="B354" t="str">
            <v>Steel Truss - Community Center 1</v>
          </cell>
        </row>
        <row r="355">
          <cell r="B355" t="str">
            <v>Steel Purlins - Community Center 1</v>
          </cell>
        </row>
        <row r="357">
          <cell r="B357" t="str">
            <v>Steel Truss - Community Center 2</v>
          </cell>
        </row>
        <row r="358">
          <cell r="B358" t="str">
            <v>Steel Purlins - Community Center 2</v>
          </cell>
        </row>
        <row r="360">
          <cell r="B360" t="str">
            <v>Steel Truss - Trading Center 1</v>
          </cell>
        </row>
        <row r="361">
          <cell r="B361" t="str">
            <v>Steel Purlins - Trading Center 1</v>
          </cell>
        </row>
        <row r="364">
          <cell r="B364" t="str">
            <v>Supply and Install Seismic Gap Plate</v>
          </cell>
        </row>
        <row r="365">
          <cell r="B365" t="str">
            <v>STEEL GATE WORKS</v>
          </cell>
        </row>
        <row r="367">
          <cell r="B367" t="str">
            <v>STEEL SHEET PILING WORKS</v>
          </cell>
        </row>
        <row r="368">
          <cell r="B368" t="str">
            <v>Supply Steel Sheet Pile (ASTM 690 / 690M)</v>
          </cell>
        </row>
        <row r="369">
          <cell r="B369" t="str">
            <v>Handle Pitch and Drive Steel Sheet Pile</v>
          </cell>
        </row>
        <row r="370">
          <cell r="B370" t="str">
            <v>Supply &amp; Install Channel Wale Support</v>
          </cell>
        </row>
        <row r="371">
          <cell r="B371" t="str">
            <v>Supply &amp; Install Tie Rod Support</v>
          </cell>
        </row>
        <row r="380">
          <cell r="B380" t="str">
            <v>PLUMBING WORKS</v>
          </cell>
        </row>
        <row r="381">
          <cell r="B381" t="str">
            <v>MOTOR PUMP WORKS</v>
          </cell>
        </row>
        <row r="383">
          <cell r="B383" t="str">
            <v>Submersible Pump w/ complete accessories (1HP 136S10412))</v>
          </cell>
        </row>
        <row r="384">
          <cell r="B384" t="str">
            <v>Submersible Pump w/ complete accessories (3HP 186S30412)</v>
          </cell>
        </row>
        <row r="385">
          <cell r="B385" t="str">
            <v>100mmØ PVC Weepholes</v>
          </cell>
        </row>
        <row r="386">
          <cell r="B386" t="str">
            <v>Supply and Install downspout, 100mmØ</v>
          </cell>
        </row>
        <row r="388">
          <cell r="B388" t="str">
            <v>Plumbing &amp; Fixtures - Community Center 1</v>
          </cell>
        </row>
        <row r="389">
          <cell r="B389" t="str">
            <v>Plumbing &amp; Fixtures - Community Center 2</v>
          </cell>
        </row>
        <row r="391">
          <cell r="B391" t="str">
            <v>Plumbing &amp; Fixtures - Trading Center 1</v>
          </cell>
        </row>
        <row r="393">
          <cell r="B393" t="str">
            <v>Plumbing &amp; Fixtures</v>
          </cell>
        </row>
        <row r="395">
          <cell r="B395" t="str">
            <v>Pipes &amp; Fittings for Intake Box "Type A"</v>
          </cell>
        </row>
        <row r="396">
          <cell r="B396" t="str">
            <v>Pipes &amp; Fittings for Intake Box "Type C"</v>
          </cell>
        </row>
        <row r="397">
          <cell r="B397" t="str">
            <v>Pipes &amp; Fittings for Intake Box "Type E"</v>
          </cell>
        </row>
        <row r="398">
          <cell r="B398" t="str">
            <v>Pipes &amp; Fittings for Collection Box</v>
          </cell>
        </row>
        <row r="399">
          <cell r="B399" t="str">
            <v>Pipes &amp; Fittings for 20T Lit Concrete Reservoir on Grade</v>
          </cell>
        </row>
        <row r="400">
          <cell r="B400" t="str">
            <v>Pipes &amp; Fittings for 25T Lit Concrete Reservoir on Grade</v>
          </cell>
        </row>
        <row r="401">
          <cell r="B401" t="str">
            <v>Pipes &amp; Fittings for Collection Box</v>
          </cell>
        </row>
        <row r="402">
          <cell r="B402" t="str">
            <v>Pipes &amp; Fittings for Tapstand</v>
          </cell>
        </row>
        <row r="403">
          <cell r="B403" t="str">
            <v>Pipes &amp; Fittings for Communal Faucet</v>
          </cell>
        </row>
        <row r="404">
          <cell r="B404" t="str">
            <v>Pipes &amp; Fittings for Pipe River Crossing</v>
          </cell>
        </row>
        <row r="405">
          <cell r="B405" t="str">
            <v>Ga#18 Stainless Steel Tank</v>
          </cell>
        </row>
        <row r="409">
          <cell r="B409" t="str">
            <v>TILEWORKS</v>
          </cell>
        </row>
        <row r="410">
          <cell r="B410" t="str">
            <v>200 x 200 Wall Tiles - Community Center 1</v>
          </cell>
        </row>
        <row r="411">
          <cell r="B411" t="str">
            <v>200 x 200 Floor Tiles - Community Center 1</v>
          </cell>
        </row>
        <row r="413">
          <cell r="B413" t="str">
            <v>200 x 200 Wall Tiles - Community Center 2</v>
          </cell>
        </row>
        <row r="414">
          <cell r="B414" t="str">
            <v>200 x 200 Floor Tiles - Community Center 2</v>
          </cell>
        </row>
        <row r="416">
          <cell r="B416" t="str">
            <v>200 x 200 Wall Tiles - Trading Center 1</v>
          </cell>
        </row>
        <row r="417">
          <cell r="B417" t="str">
            <v>200 x 200 Floor Tiles - Trading Center 1</v>
          </cell>
        </row>
        <row r="419">
          <cell r="B419" t="str">
            <v>200 x 200 Wall Tiles</v>
          </cell>
        </row>
        <row r="420">
          <cell r="B420" t="str">
            <v>200 x 200 Floor Tiles</v>
          </cell>
        </row>
        <row r="422">
          <cell r="B422" t="str">
            <v>100 x 100 Wall Tiles</v>
          </cell>
        </row>
        <row r="423">
          <cell r="B423" t="str">
            <v>100 x 100 Floor Tiles</v>
          </cell>
        </row>
        <row r="427">
          <cell r="B427" t="str">
            <v>SANITARY WORK</v>
          </cell>
        </row>
        <row r="428">
          <cell r="B428" t="str">
            <v>Septic Vault &amp; Accessories</v>
          </cell>
        </row>
        <row r="431">
          <cell r="B431" t="str">
            <v>ELECTRICAL WORK</v>
          </cell>
        </row>
        <row r="432">
          <cell r="B432" t="str">
            <v>Supply &amp; Install Electrical - Community Center 1</v>
          </cell>
        </row>
        <row r="433">
          <cell r="B433" t="str">
            <v>Supply &amp; Install Electrical - Community Center 2</v>
          </cell>
        </row>
        <row r="434">
          <cell r="B434" t="str">
            <v>Supply &amp; Install Electrical - Trading Center 1</v>
          </cell>
        </row>
        <row r="438">
          <cell r="B438" t="str">
            <v>ROAD WORKS</v>
          </cell>
        </row>
        <row r="440">
          <cell r="B440" t="str">
            <v>Removal of Existing PCCP</v>
          </cell>
        </row>
        <row r="441">
          <cell r="B441" t="str">
            <v>Embankment</v>
          </cell>
        </row>
        <row r="442">
          <cell r="B442" t="str">
            <v>Common Excavation</v>
          </cell>
        </row>
        <row r="443">
          <cell r="B443" t="str">
            <v>PCCP</v>
          </cell>
        </row>
        <row r="444">
          <cell r="B444" t="str">
            <v>Aggregate Sub Base Course (Item 200)</v>
          </cell>
        </row>
        <row r="445">
          <cell r="B445" t="str">
            <v>Aggregate Base Course (Item 2001)</v>
          </cell>
        </row>
        <row r="446">
          <cell r="B446" t="str">
            <v>Concrete Pavement</v>
          </cell>
        </row>
        <row r="447">
          <cell r="B447" t="str">
            <v>Sand Bedding</v>
          </cell>
        </row>
        <row r="448">
          <cell r="B448" t="str">
            <v>Rockfill Bedding</v>
          </cell>
        </row>
        <row r="449">
          <cell r="B449" t="str">
            <v>Grouted Riprap Class "A"</v>
          </cell>
        </row>
        <row r="450">
          <cell r="B450" t="str">
            <v>Concrete Class "B" Line Canal "U" type</v>
          </cell>
        </row>
        <row r="451">
          <cell r="B451" t="str">
            <v>Lined Canal</v>
          </cell>
        </row>
        <row r="454">
          <cell r="B454" t="str">
            <v>Road Embankment</v>
          </cell>
        </row>
        <row r="455">
          <cell r="B455" t="str">
            <v>Aggregate Base Course (Item 201)</v>
          </cell>
        </row>
        <row r="458">
          <cell r="B458" t="str">
            <v>MISCELLANEOUS</v>
          </cell>
        </row>
        <row r="459">
          <cell r="B459" t="str">
            <v>Guard Rail</v>
          </cell>
        </row>
        <row r="460">
          <cell r="B460" t="str">
            <v>Reflective Pavement Marking</v>
          </cell>
        </row>
        <row r="461">
          <cell r="B461" t="str">
            <v>Regulatory Sign</v>
          </cell>
        </row>
        <row r="462">
          <cell r="B462" t="str">
            <v>GEOTEXTILE WORKS</v>
          </cell>
        </row>
        <row r="463">
          <cell r="B463" t="str">
            <v>Filter Fabric</v>
          </cell>
        </row>
        <row r="466">
          <cell r="B466" t="str">
            <v>IMPROVEMENT OF ACCESS ROAD</v>
          </cell>
        </row>
        <row r="468">
          <cell r="B468" t="str">
            <v>Excavation for Riprap Foundation</v>
          </cell>
        </row>
        <row r="469">
          <cell r="B469" t="str">
            <v>Earthfll, Common Borrow</v>
          </cell>
        </row>
        <row r="471">
          <cell r="B471" t="str">
            <v>ROCK WORKS</v>
          </cell>
        </row>
        <row r="473">
          <cell r="B473" t="str">
            <v>Supply &amp; Install Grouted Riprap</v>
          </cell>
        </row>
        <row r="474">
          <cell r="B474" t="str">
            <v>Rockfill for retaining wall foundation</v>
          </cell>
        </row>
        <row r="475">
          <cell r="B475" t="str">
            <v>Core Rockfill</v>
          </cell>
        </row>
        <row r="477">
          <cell r="B477" t="str">
            <v>PAVEMENT WORKS</v>
          </cell>
        </row>
        <row r="479">
          <cell r="B479" t="str">
            <v>Supply, Place and Compact Subbase Course</v>
          </cell>
        </row>
        <row r="480">
          <cell r="B480" t="str">
            <v>Supply, Place and Compact Base Course</v>
          </cell>
        </row>
        <row r="481">
          <cell r="B481" t="str">
            <v>Construct PCC Pavement</v>
          </cell>
        </row>
        <row r="482">
          <cell r="B482" t="str">
            <v>Construct Concrete Curb</v>
          </cell>
        </row>
        <row r="483">
          <cell r="B483" t="str">
            <v xml:space="preserve">Construct Concrete Curb -1 </v>
          </cell>
        </row>
        <row r="484">
          <cell r="B484" t="str">
            <v>Construct RC Curb @ Bulkhead</v>
          </cell>
        </row>
        <row r="485">
          <cell r="B485" t="str">
            <v>Construct Concrete Passenger Safety Wall</v>
          </cell>
        </row>
        <row r="488">
          <cell r="B488" t="str">
            <v>CONSTRUCTION OF RETAINING WALL</v>
          </cell>
        </row>
        <row r="490">
          <cell r="B490" t="str">
            <v>REHABILITATION OF EXISTING PIER</v>
          </cell>
        </row>
        <row r="492">
          <cell r="B492" t="str">
            <v>Concrete Curb</v>
          </cell>
        </row>
        <row r="493">
          <cell r="B493" t="str">
            <v>Supply, Place and Compact Base Course</v>
          </cell>
        </row>
        <row r="497">
          <cell r="B497" t="str">
            <v xml:space="preserve">OPERATIONS &amp; MAINTENANCE </v>
          </cell>
        </row>
        <row r="499">
          <cell r="B499" t="str">
            <v>Operations &amp; Maintenance</v>
          </cell>
        </row>
        <row r="501">
          <cell r="B501" t="str">
            <v>FALSEWORKS</v>
          </cell>
        </row>
        <row r="503">
          <cell r="B503" t="str">
            <v>Formworks (10mm thk. Ordinary Plywood)</v>
          </cell>
        </row>
        <row r="504">
          <cell r="B504" t="str">
            <v>Formworks (1/4" thk. Ordinary Plywood)</v>
          </cell>
        </row>
        <row r="505">
          <cell r="B505" t="str">
            <v>Formworks (Coco Lumber)</v>
          </cell>
        </row>
        <row r="506">
          <cell r="B506" t="str">
            <v>Scaffolds (Coco Lumber)</v>
          </cell>
        </row>
        <row r="508">
          <cell r="B508" t="str">
            <v>PAINTING WORKS</v>
          </cell>
        </row>
        <row r="509">
          <cell r="B509" t="str">
            <v>Painting on Masonry Surfaces</v>
          </cell>
        </row>
        <row r="510">
          <cell r="B510" t="str">
            <v>Painting on Steel Surfaces</v>
          </cell>
        </row>
        <row r="511">
          <cell r="B511" t="str">
            <v>Painting on Wooden Surfaces</v>
          </cell>
        </row>
        <row r="512">
          <cell r="B512" t="str">
            <v>Protective Coating</v>
          </cell>
        </row>
        <row r="515">
          <cell r="B515" t="str">
            <v>Wood Surface (Coal Tar)</v>
          </cell>
        </row>
        <row r="517">
          <cell r="B517" t="str">
            <v>FINISHING WORKS</v>
          </cell>
        </row>
        <row r="518">
          <cell r="B518" t="str">
            <v>Provide Plain Cement Plaster Finish</v>
          </cell>
        </row>
        <row r="519">
          <cell r="B519" t="str">
            <v>Apply Painted Finish on Concrete</v>
          </cell>
        </row>
        <row r="520">
          <cell r="B520" t="str">
            <v>Supply and Install Rooof Waterproofing</v>
          </cell>
        </row>
        <row r="521">
          <cell r="B521" t="str">
            <v>Supply and Install downspout, 100mm dia.</v>
          </cell>
        </row>
        <row r="522">
          <cell r="B522" t="str">
            <v>SUPPLY AND INSTALL COMPLETE BLDG., ELEC., SYSTEM</v>
          </cell>
        </row>
        <row r="523">
          <cell r="B523" t="str">
            <v>SUPPLY AND INSTALL PORTABLE FIRE EXTINGUISHER</v>
          </cell>
        </row>
        <row r="525">
          <cell r="B525" t="str">
            <v>BRIDGE CONSTRUCTION</v>
          </cell>
        </row>
        <row r="526">
          <cell r="B526" t="str">
            <v>Removal of Existing Bailey Bridge L=15.65m.</v>
          </cell>
        </row>
        <row r="527">
          <cell r="B527" t="str">
            <v>Bridge Excavation Above O.W.L.</v>
          </cell>
        </row>
        <row r="528">
          <cell r="B528" t="str">
            <v>Precast 400 x 4000 R.C. Piles (Furnished)</v>
          </cell>
        </row>
        <row r="529">
          <cell r="B529" t="str">
            <v>Precast 400 x 4000 R.C. Piles (Driven)</v>
          </cell>
        </row>
        <row r="530">
          <cell r="B530" t="str">
            <v>Precast 400 x 4000 R.C. Piles, Test Piles (D/F)</v>
          </cell>
        </row>
        <row r="531">
          <cell r="B531" t="str">
            <v>Concrete Railings</v>
          </cell>
        </row>
        <row r="532">
          <cell r="B532" t="str">
            <v>Reinforcing Steel Grade 40</v>
          </cell>
        </row>
        <row r="533">
          <cell r="B533" t="str">
            <v>Structural Concrete Class A-2 Superstructure</v>
          </cell>
        </row>
        <row r="534">
          <cell r="B534" t="str">
            <v>Structural Concrete Class A-1 Substructure</v>
          </cell>
        </row>
        <row r="535">
          <cell r="B535" t="str">
            <v>Lean Concrete, 100mm thk.</v>
          </cell>
        </row>
        <row r="536">
          <cell r="B536" t="str">
            <v>Bridge Painting</v>
          </cell>
        </row>
        <row r="537">
          <cell r="B537" t="str">
            <v>Grouted Riprap Class "A"</v>
          </cell>
        </row>
        <row r="538">
          <cell r="B538" t="str">
            <v>Grouted Riprap Class "B"</v>
          </cell>
        </row>
        <row r="539">
          <cell r="B539" t="str">
            <v>Filter Layer, Granular Materials</v>
          </cell>
        </row>
        <row r="540">
          <cell r="B540" t="str">
            <v>River Bed Trimming &amp; Excavation</v>
          </cell>
        </row>
        <row r="544">
          <cell r="B544" t="str">
            <v>STEEL FENCING WORKS</v>
          </cell>
        </row>
        <row r="545">
          <cell r="B545" t="str">
            <v>Ga #10 G.I. Cyclone Wire Fence</v>
          </cell>
        </row>
        <row r="547">
          <cell r="B547" t="str">
            <v>REPAIR WORKS</v>
          </cell>
        </row>
        <row r="548">
          <cell r="B548" t="str">
            <v>Reinforced Concrete Repair Works</v>
          </cell>
        </row>
        <row r="553">
          <cell r="B553" t="str">
            <v>DEMOLITION WORKS</v>
          </cell>
        </row>
        <row r="556">
          <cell r="B556" t="str">
            <v>Demolition of Existing Structure affected by the construction</v>
          </cell>
        </row>
        <row r="558">
          <cell r="B558" t="str">
            <v>REMOVAL  WORKS</v>
          </cell>
        </row>
        <row r="560">
          <cell r="B560" t="str">
            <v>Removal of Existing Structure (Pipe Culverts)</v>
          </cell>
        </row>
        <row r="561">
          <cell r="B561" t="str">
            <v>Removal of Existing Structure (Stone masonry)</v>
          </cell>
        </row>
        <row r="563">
          <cell r="B563" t="str">
            <v>ELECTRICAL WORKS</v>
          </cell>
        </row>
        <row r="565">
          <cell r="B565" t="str">
            <v>SUPPLY AND INSTALL COMPLETE BLDG. ELEC. SYSTEM</v>
          </cell>
        </row>
        <row r="566">
          <cell r="B566" t="str">
            <v>SUPPLY AND INSTALL COMPLETE BLDG. ELEC'L SYSTEM</v>
          </cell>
        </row>
        <row r="568">
          <cell r="B568" t="str">
            <v>TRANSMISSION PIPE LINES</v>
          </cell>
        </row>
        <row r="569">
          <cell r="B569" t="str">
            <v>Supply and Install PE Pipes and Fittings (25mmØ)</v>
          </cell>
        </row>
        <row r="570">
          <cell r="B570" t="str">
            <v>Supply and Install PE Pipes and Fittings (32mmØ)</v>
          </cell>
        </row>
        <row r="571">
          <cell r="B571" t="str">
            <v>Supply and Install PE Pipes and Fittings (40mmØ)</v>
          </cell>
        </row>
        <row r="572">
          <cell r="B572" t="str">
            <v>Supply and Install PE Pipes and Fittings (50mmØ)</v>
          </cell>
        </row>
        <row r="573">
          <cell r="B573" t="str">
            <v>Supply and Install PE Pipes and Fittings (63mmØ)</v>
          </cell>
        </row>
        <row r="574">
          <cell r="B574" t="str">
            <v>Supply and Install PE Pipes and Fittings (75mmØ)</v>
          </cell>
        </row>
        <row r="575">
          <cell r="B575" t="str">
            <v>Supply and Install PE Pipes and Fittings (90mmØ)</v>
          </cell>
        </row>
        <row r="577">
          <cell r="B577" t="str">
            <v>Supply and Install GI Pipes and Fittings (63mmØ)</v>
          </cell>
        </row>
        <row r="578">
          <cell r="B578" t="str">
            <v>Supply and Install GI Pipes and Fittings (75mmØ)</v>
          </cell>
        </row>
        <row r="579">
          <cell r="B579" t="str">
            <v>Supply and Install GI Pipes and Fittings (90mmØ)</v>
          </cell>
        </row>
        <row r="580">
          <cell r="B580" t="str">
            <v>Supply and Install uPVC Pipes and Fittings (50mmØ)</v>
          </cell>
        </row>
        <row r="581">
          <cell r="B581" t="str">
            <v>Supply and Install uPVC Pipes and Fittings (63mmØ)</v>
          </cell>
        </row>
        <row r="582">
          <cell r="B582" t="str">
            <v>Supply and Install uPVC Pipes and Fittings (90mmØ)</v>
          </cell>
        </row>
        <row r="592">
          <cell r="B592" t="str">
            <v>FIRE PROTECTION WORKS</v>
          </cell>
        </row>
        <row r="594">
          <cell r="B594" t="str">
            <v>Supply and Install Portable Fire Extinguisher</v>
          </cell>
        </row>
        <row r="596">
          <cell r="B596" t="str">
            <v>SIGNAGES</v>
          </cell>
        </row>
        <row r="597">
          <cell r="B597" t="str">
            <v>PLATE MARKER &amp; SIGNAGES.</v>
          </cell>
        </row>
        <row r="598">
          <cell r="B598" t="str">
            <v>Plate Marker &amp; Signages</v>
          </cell>
        </row>
        <row r="599">
          <cell r="B599" t="str">
            <v>Plate Marker W/ Pedestal</v>
          </cell>
        </row>
        <row r="600">
          <cell r="B600" t="str">
            <v>Project Billboard</v>
          </cell>
        </row>
        <row r="601">
          <cell r="B601" t="str">
            <v>Plate Marker Pedestal</v>
          </cell>
        </row>
        <row r="603">
          <cell r="B603" t="str">
            <v>PROJECT COMPONENTS</v>
          </cell>
        </row>
        <row r="604">
          <cell r="B604" t="str">
            <v>INTAKE BOX TYPE "A"</v>
          </cell>
        </row>
        <row r="605">
          <cell r="B605" t="str">
            <v>INTAKE BOX TYPE "C"</v>
          </cell>
        </row>
        <row r="606">
          <cell r="B606" t="str">
            <v>CONCRETE RESERVOIR ON GRADE (20T LITERS)</v>
          </cell>
        </row>
        <row r="607">
          <cell r="B607" t="str">
            <v>COLLECTION BOX</v>
          </cell>
        </row>
        <row r="608">
          <cell r="B608" t="str">
            <v>TAPSTAND</v>
          </cell>
        </row>
        <row r="609">
          <cell r="B609" t="str">
            <v>RIVER CROSSING</v>
          </cell>
        </row>
        <row r="610">
          <cell r="B610" t="str">
            <v>PIPES &amp; CONVEYORS</v>
          </cell>
        </row>
        <row r="611">
          <cell r="B611" t="str">
            <v>OTHERS</v>
          </cell>
        </row>
        <row r="613">
          <cell r="B613" t="str">
            <v>PORTS CONSTRUCTION</v>
          </cell>
        </row>
        <row r="614">
          <cell r="B614" t="str">
            <v>PASSENGER TERMINAL SHED</v>
          </cell>
        </row>
        <row r="615">
          <cell r="B615" t="str">
            <v>TOILET</v>
          </cell>
        </row>
        <row r="616">
          <cell r="B616" t="str">
            <v>GEOTECHNICAL WORKS</v>
          </cell>
        </row>
        <row r="617">
          <cell r="B617" t="str">
            <v>Geotechnical Investigation</v>
          </cell>
        </row>
        <row r="620">
          <cell r="B620" t="str">
            <v>General Technical Requirements</v>
          </cell>
        </row>
        <row r="621">
          <cell r="B621" t="str">
            <v>SAFETY</v>
          </cell>
        </row>
        <row r="622">
          <cell r="B622" t="str">
            <v>DAYWORK</v>
          </cell>
        </row>
      </sheetData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pment"/>
      <sheetName val="Unit Cost"/>
      <sheetName val="Menu"/>
      <sheetName val="Materials"/>
      <sheetName val="Scope of Works"/>
      <sheetName val="Project 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OF QUANTITY"/>
      <sheetName val="Unit Cost"/>
      <sheetName val="Raw Data"/>
      <sheetName val="Quantity Sheet &amp; Summary "/>
      <sheetName val="GIARDRAIL"/>
      <sheetName val="Sheet1"/>
      <sheetName val="Drainage Schedule"/>
      <sheetName val="TREES"/>
      <sheetName val="pavement markings"/>
      <sheetName val="CANAL LINING"/>
      <sheetName val="COCONET COCOLOG"/>
      <sheetName val="A.1.1(3)Office"/>
      <sheetName val="603(3a) Bak'up"/>
      <sheetName val="Menu"/>
      <sheetName val="Materials"/>
      <sheetName val="Scope of Works"/>
      <sheetName val="Equipment"/>
      <sheetName val="Project List"/>
    </sheetNames>
    <sheetDataSet>
      <sheetData sheetId="0"/>
      <sheetData sheetId="1">
        <row r="8">
          <cell r="E8">
            <v>31273.94</v>
          </cell>
        </row>
      </sheetData>
      <sheetData sheetId="2">
        <row r="9">
          <cell r="A9">
            <v>41.646000000000001</v>
          </cell>
        </row>
      </sheetData>
      <sheetData sheetId="3">
        <row r="286">
          <cell r="U286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e of Works"/>
      <sheetName val="Compo Bill"/>
      <sheetName val="Detailed"/>
      <sheetName val="Qty. Take-off"/>
      <sheetName val="Material"/>
      <sheetName val="Manpower"/>
      <sheetName val="Equipment"/>
      <sheetName val="REVISED BAR CHART"/>
      <sheetName val="Quantity"/>
      <sheetName val="Flared Headwall"/>
      <sheetName val="Straight Headwall"/>
      <sheetName val="CALC."/>
      <sheetName val="C&amp;G"/>
      <sheetName val="SubGrade"/>
      <sheetName val="Transport"/>
      <sheetName val="Unit Cost"/>
      <sheetName val="Materi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6">
          <cell r="N66">
            <v>460</v>
          </cell>
          <cell r="O66">
            <v>310</v>
          </cell>
          <cell r="P66">
            <v>350</v>
          </cell>
          <cell r="Q66">
            <v>250</v>
          </cell>
          <cell r="R66">
            <v>1070</v>
          </cell>
          <cell r="S66">
            <v>1134</v>
          </cell>
          <cell r="T66">
            <v>1070</v>
          </cell>
        </row>
        <row r="67">
          <cell r="N67">
            <v>610</v>
          </cell>
          <cell r="O67">
            <v>410</v>
          </cell>
          <cell r="P67">
            <v>430</v>
          </cell>
          <cell r="Q67">
            <v>250</v>
          </cell>
          <cell r="R67">
            <v>1220</v>
          </cell>
          <cell r="S67">
            <v>1396</v>
          </cell>
          <cell r="T67">
            <v>1220</v>
          </cell>
        </row>
        <row r="68">
          <cell r="N68">
            <v>910</v>
          </cell>
          <cell r="O68">
            <v>610</v>
          </cell>
          <cell r="P68">
            <v>610</v>
          </cell>
          <cell r="Q68">
            <v>250</v>
          </cell>
          <cell r="R68">
            <v>1820</v>
          </cell>
          <cell r="S68">
            <v>1922</v>
          </cell>
          <cell r="T68">
            <v>1820</v>
          </cell>
        </row>
        <row r="69">
          <cell r="N69">
            <v>1070</v>
          </cell>
          <cell r="O69">
            <v>710</v>
          </cell>
          <cell r="P69">
            <v>780</v>
          </cell>
          <cell r="Q69">
            <v>300</v>
          </cell>
          <cell r="R69">
            <v>2420</v>
          </cell>
          <cell r="S69">
            <v>2194</v>
          </cell>
          <cell r="T69">
            <v>1970</v>
          </cell>
        </row>
        <row r="70">
          <cell r="N70">
            <v>1220</v>
          </cell>
          <cell r="O70">
            <v>810</v>
          </cell>
          <cell r="P70">
            <v>870</v>
          </cell>
          <cell r="Q70">
            <v>300</v>
          </cell>
          <cell r="R70">
            <v>3020</v>
          </cell>
          <cell r="S70">
            <v>2457</v>
          </cell>
          <cell r="T70">
            <v>2120</v>
          </cell>
        </row>
        <row r="71">
          <cell r="N71">
            <v>1520</v>
          </cell>
          <cell r="O71">
            <v>1010</v>
          </cell>
          <cell r="P71">
            <v>980</v>
          </cell>
          <cell r="Q71">
            <v>300</v>
          </cell>
          <cell r="R71">
            <v>3620</v>
          </cell>
          <cell r="S71">
            <v>2982</v>
          </cell>
          <cell r="T71">
            <v>2420</v>
          </cell>
        </row>
        <row r="81">
          <cell r="N81">
            <v>460</v>
          </cell>
          <cell r="O81">
            <v>310</v>
          </cell>
          <cell r="P81">
            <v>350</v>
          </cell>
          <cell r="Q81">
            <v>1134</v>
          </cell>
          <cell r="R81">
            <v>600</v>
          </cell>
          <cell r="S81">
            <v>430</v>
          </cell>
          <cell r="T81">
            <v>150</v>
          </cell>
          <cell r="U81">
            <v>1800</v>
          </cell>
          <cell r="V81">
            <v>2550</v>
          </cell>
          <cell r="W81">
            <v>4000</v>
          </cell>
        </row>
        <row r="82">
          <cell r="N82">
            <v>610</v>
          </cell>
          <cell r="O82">
            <v>410</v>
          </cell>
          <cell r="P82">
            <v>430</v>
          </cell>
          <cell r="Q82">
            <v>1396</v>
          </cell>
          <cell r="R82">
            <v>800</v>
          </cell>
          <cell r="S82">
            <v>550</v>
          </cell>
          <cell r="T82">
            <v>150</v>
          </cell>
          <cell r="U82">
            <v>2400</v>
          </cell>
          <cell r="V82">
            <v>3400</v>
          </cell>
          <cell r="W82">
            <v>4950</v>
          </cell>
        </row>
        <row r="83">
          <cell r="N83">
            <v>760</v>
          </cell>
          <cell r="O83">
            <v>510</v>
          </cell>
          <cell r="P83">
            <v>515</v>
          </cell>
          <cell r="Q83">
            <v>1659</v>
          </cell>
          <cell r="R83">
            <v>1000</v>
          </cell>
          <cell r="S83">
            <v>675</v>
          </cell>
          <cell r="T83">
            <v>200</v>
          </cell>
          <cell r="U83">
            <v>3000</v>
          </cell>
          <cell r="V83">
            <v>4250</v>
          </cell>
          <cell r="W83">
            <v>5900</v>
          </cell>
        </row>
        <row r="84">
          <cell r="N84">
            <v>910</v>
          </cell>
          <cell r="O84">
            <v>610</v>
          </cell>
          <cell r="P84">
            <v>600</v>
          </cell>
          <cell r="Q84">
            <v>1922</v>
          </cell>
          <cell r="R84">
            <v>1250</v>
          </cell>
          <cell r="S84">
            <v>800</v>
          </cell>
          <cell r="T84">
            <v>200</v>
          </cell>
          <cell r="U84">
            <v>3600</v>
          </cell>
          <cell r="V84">
            <v>5100</v>
          </cell>
          <cell r="W84">
            <v>6800</v>
          </cell>
        </row>
        <row r="85">
          <cell r="N85">
            <v>1070</v>
          </cell>
          <cell r="O85">
            <v>710</v>
          </cell>
          <cell r="P85">
            <v>780</v>
          </cell>
          <cell r="Q85">
            <v>2194</v>
          </cell>
          <cell r="R85">
            <v>1440</v>
          </cell>
          <cell r="S85">
            <v>930</v>
          </cell>
          <cell r="T85">
            <v>200</v>
          </cell>
          <cell r="U85">
            <v>4250</v>
          </cell>
          <cell r="V85">
            <v>5450</v>
          </cell>
          <cell r="W85">
            <v>7800</v>
          </cell>
        </row>
        <row r="86">
          <cell r="N86">
            <v>1220</v>
          </cell>
          <cell r="O86">
            <v>810</v>
          </cell>
          <cell r="P86">
            <v>870</v>
          </cell>
          <cell r="Q86">
            <v>2457</v>
          </cell>
          <cell r="R86">
            <v>1600</v>
          </cell>
          <cell r="S86">
            <v>1050</v>
          </cell>
          <cell r="T86">
            <v>200</v>
          </cell>
          <cell r="U86">
            <v>4800</v>
          </cell>
          <cell r="V86">
            <v>5700</v>
          </cell>
          <cell r="W86">
            <v>8680</v>
          </cell>
        </row>
        <row r="93">
          <cell r="N93">
            <v>460</v>
          </cell>
          <cell r="O93">
            <v>310</v>
          </cell>
          <cell r="P93">
            <v>350</v>
          </cell>
          <cell r="Q93">
            <v>1134</v>
          </cell>
          <cell r="R93">
            <v>0.15</v>
          </cell>
          <cell r="S93">
            <v>1500</v>
          </cell>
          <cell r="T93">
            <v>0.33</v>
          </cell>
          <cell r="U93">
            <v>2600</v>
          </cell>
          <cell r="V93">
            <v>0.45</v>
          </cell>
          <cell r="W93">
            <v>3400</v>
          </cell>
        </row>
        <row r="94">
          <cell r="N94">
            <v>610</v>
          </cell>
          <cell r="O94">
            <v>410</v>
          </cell>
          <cell r="P94">
            <v>430</v>
          </cell>
          <cell r="Q94">
            <v>1396</v>
          </cell>
          <cell r="R94">
            <v>0.28999999999999998</v>
          </cell>
          <cell r="S94">
            <v>2400</v>
          </cell>
          <cell r="T94">
            <v>0.57999999999999996</v>
          </cell>
          <cell r="U94">
            <v>3500</v>
          </cell>
          <cell r="V94">
            <v>0.87</v>
          </cell>
          <cell r="W94">
            <v>4600</v>
          </cell>
        </row>
        <row r="95">
          <cell r="N95">
            <v>910</v>
          </cell>
          <cell r="O95">
            <v>610</v>
          </cell>
          <cell r="P95">
            <v>600</v>
          </cell>
          <cell r="Q95">
            <v>1922</v>
          </cell>
          <cell r="R95">
            <v>0.65</v>
          </cell>
          <cell r="S95">
            <v>3800</v>
          </cell>
          <cell r="T95">
            <v>1.3</v>
          </cell>
          <cell r="U95">
            <v>5200</v>
          </cell>
          <cell r="V95">
            <v>1.95</v>
          </cell>
          <cell r="W95">
            <v>6800</v>
          </cell>
        </row>
        <row r="96">
          <cell r="N96">
            <v>1070</v>
          </cell>
          <cell r="O96">
            <v>710</v>
          </cell>
          <cell r="P96">
            <v>780</v>
          </cell>
          <cell r="Q96">
            <v>2194</v>
          </cell>
          <cell r="R96">
            <v>0.9</v>
          </cell>
          <cell r="S96">
            <v>4300</v>
          </cell>
          <cell r="T96">
            <v>1.8</v>
          </cell>
          <cell r="U96">
            <v>6050</v>
          </cell>
          <cell r="V96">
            <v>2.7</v>
          </cell>
          <cell r="W96">
            <v>7900</v>
          </cell>
        </row>
        <row r="97">
          <cell r="N97">
            <v>1220</v>
          </cell>
          <cell r="O97">
            <v>810</v>
          </cell>
          <cell r="P97">
            <v>870</v>
          </cell>
          <cell r="Q97">
            <v>2457</v>
          </cell>
          <cell r="R97">
            <v>1.19</v>
          </cell>
          <cell r="S97">
            <v>4800</v>
          </cell>
          <cell r="T97">
            <v>2.34</v>
          </cell>
          <cell r="U97">
            <v>6900</v>
          </cell>
          <cell r="V97">
            <v>3.51</v>
          </cell>
          <cell r="W97">
            <v>9000</v>
          </cell>
        </row>
        <row r="98">
          <cell r="N98">
            <v>1520</v>
          </cell>
          <cell r="O98">
            <v>1010</v>
          </cell>
          <cell r="P98">
            <v>980</v>
          </cell>
          <cell r="Q98">
            <v>2982</v>
          </cell>
          <cell r="R98">
            <v>1.81</v>
          </cell>
          <cell r="S98">
            <v>6000</v>
          </cell>
          <cell r="T98">
            <v>3.63</v>
          </cell>
          <cell r="U98">
            <v>8600</v>
          </cell>
          <cell r="V98">
            <v>5.43</v>
          </cell>
          <cell r="W98">
            <v>11200</v>
          </cell>
        </row>
      </sheetData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Center"/>
      <sheetName val="AutoList"/>
      <sheetName val="Project Link"/>
      <sheetName val="Unit Cost"/>
      <sheetName val="603(3a) Bak'up"/>
      <sheetName val="Materials"/>
      <sheetName val="Scope of Works"/>
    </sheetNames>
    <sheetDataSet>
      <sheetData sheetId="0" refreshError="1"/>
      <sheetData sheetId="1" refreshError="1"/>
      <sheetData sheetId="2" refreshError="1">
        <row r="10">
          <cell r="D10" t="str">
            <v>Sand</v>
          </cell>
        </row>
        <row r="11">
          <cell r="D11" t="str">
            <v>Gravel</v>
          </cell>
        </row>
        <row r="12">
          <cell r="D12" t="str">
            <v>Boulders (20-30 cm dia.)</v>
          </cell>
        </row>
        <row r="13">
          <cell r="D13" t="str">
            <v>Filling Materials</v>
          </cell>
        </row>
        <row r="14">
          <cell r="D14" t="str">
            <v>Sub Base Course (item 200)</v>
          </cell>
        </row>
        <row r="15">
          <cell r="D15" t="str">
            <v>Base Course (item 201)</v>
          </cell>
        </row>
        <row r="16">
          <cell r="D16" t="str">
            <v>Common Borrow</v>
          </cell>
        </row>
        <row r="17">
          <cell r="D17" t="str">
            <v>Gravelfill</v>
          </cell>
        </row>
        <row r="19">
          <cell r="D19" t="str">
            <v>( WATER )</v>
          </cell>
        </row>
        <row r="21">
          <cell r="D21" t="str">
            <v>Water</v>
          </cell>
        </row>
        <row r="23">
          <cell r="D23" t="str">
            <v>( CEMENT )</v>
          </cell>
        </row>
        <row r="25">
          <cell r="D25" t="str">
            <v>Portland Cement 40kg</v>
          </cell>
        </row>
        <row r="26">
          <cell r="D26" t="str">
            <v>Pozzoland Cement 40 kg</v>
          </cell>
        </row>
        <row r="27">
          <cell r="D27" t="str">
            <v>Red cement</v>
          </cell>
        </row>
        <row r="28">
          <cell r="D28" t="str">
            <v>White Cement</v>
          </cell>
        </row>
        <row r="29">
          <cell r="D29" t="str">
            <v>Water Sealant Cement</v>
          </cell>
        </row>
        <row r="30">
          <cell r="D30" t="str">
            <v>Bentonite</v>
          </cell>
        </row>
        <row r="32">
          <cell r="D32" t="str">
            <v>( MANPOWER )</v>
          </cell>
        </row>
        <row r="34">
          <cell r="D34" t="str">
            <v>Foreman</v>
          </cell>
        </row>
        <row r="35">
          <cell r="D35" t="str">
            <v>Carpenter</v>
          </cell>
        </row>
        <row r="36">
          <cell r="D36" t="str">
            <v>Mason</v>
          </cell>
        </row>
        <row r="37">
          <cell r="D37" t="str">
            <v>Steelman</v>
          </cell>
        </row>
        <row r="38">
          <cell r="D38" t="str">
            <v>Electrician</v>
          </cell>
        </row>
        <row r="39">
          <cell r="D39" t="str">
            <v>Tinsmith</v>
          </cell>
        </row>
        <row r="40">
          <cell r="D40" t="str">
            <v>Welder</v>
          </cell>
        </row>
        <row r="41">
          <cell r="D41" t="str">
            <v>Plumber</v>
          </cell>
        </row>
        <row r="42">
          <cell r="D42" t="str">
            <v>Painter</v>
          </cell>
        </row>
        <row r="43">
          <cell r="D43" t="str">
            <v>HE Operator</v>
          </cell>
        </row>
        <row r="44">
          <cell r="D44" t="str">
            <v>Unskilled Labor</v>
          </cell>
        </row>
        <row r="46">
          <cell r="D46" t="str">
            <v>( HEAVY EQUIPMENT )</v>
          </cell>
        </row>
        <row r="48">
          <cell r="D48" t="str">
            <v>Backhoe</v>
          </cell>
        </row>
        <row r="49">
          <cell r="D49" t="str">
            <v>Road Grader</v>
          </cell>
        </row>
        <row r="50">
          <cell r="D50" t="str">
            <v>Road Roller</v>
          </cell>
        </row>
        <row r="51">
          <cell r="D51" t="str">
            <v>Dumpt Truck</v>
          </cell>
        </row>
        <row r="52">
          <cell r="D52" t="str">
            <v>Truck Mounted Crane</v>
          </cell>
        </row>
        <row r="53">
          <cell r="D53" t="str">
            <v>Truck Mounted Crane w/ Bucket</v>
          </cell>
        </row>
        <row r="54">
          <cell r="D54" t="str">
            <v>Transit Mixer</v>
          </cell>
        </row>
        <row r="55">
          <cell r="D55" t="str">
            <v>Water Truck</v>
          </cell>
        </row>
        <row r="56">
          <cell r="D56" t="str">
            <v>D22 Delmag Diesel Hammer</v>
          </cell>
        </row>
        <row r="57">
          <cell r="D57" t="str">
            <v>Tractor-Drawn Roller (1-d)</v>
          </cell>
        </row>
        <row r="58">
          <cell r="D58" t="str">
            <v>Tandem Roller</v>
          </cell>
        </row>
        <row r="59">
          <cell r="D59" t="str">
            <v>Mini-Excavator</v>
          </cell>
        </row>
        <row r="60">
          <cell r="D60" t="str">
            <v>Skid-Steer Loader</v>
          </cell>
        </row>
        <row r="61">
          <cell r="D61" t="str">
            <v>Truck Mounted Crane</v>
          </cell>
        </row>
        <row r="62">
          <cell r="D62" t="str">
            <v>Barge Mounted Crane</v>
          </cell>
        </row>
        <row r="63">
          <cell r="D63" t="str">
            <v>Road Maintener</v>
          </cell>
        </row>
        <row r="64">
          <cell r="D64" t="str">
            <v>Diesel Hammer</v>
          </cell>
        </row>
        <row r="65">
          <cell r="D65" t="str">
            <v>Drop Hammer</v>
          </cell>
        </row>
        <row r="66">
          <cell r="D66" t="str">
            <v>Percussion</v>
          </cell>
        </row>
        <row r="67">
          <cell r="D67" t="str">
            <v>Rammers</v>
          </cell>
        </row>
        <row r="69">
          <cell r="D69" t="str">
            <v>( LIGHT EQUIPMENT )</v>
          </cell>
        </row>
        <row r="71">
          <cell r="D71" t="str">
            <v>Buggy</v>
          </cell>
        </row>
        <row r="72">
          <cell r="D72" t="str">
            <v>Wheel borrow</v>
          </cell>
        </row>
        <row r="73">
          <cell r="D73" t="str">
            <v>2" Heavy Duty Pulley</v>
          </cell>
        </row>
        <row r="74">
          <cell r="D74" t="str">
            <v>Concrete Mixer (1-bagger)</v>
          </cell>
        </row>
        <row r="75">
          <cell r="D75" t="str">
            <v>Concrete Vibrator</v>
          </cell>
        </row>
        <row r="76">
          <cell r="D76" t="str">
            <v>Plate Compactor</v>
          </cell>
        </row>
        <row r="77">
          <cell r="D77" t="str">
            <v>Air Compressor</v>
          </cell>
        </row>
        <row r="78">
          <cell r="D78" t="str">
            <v>Bar Cutter</v>
          </cell>
        </row>
        <row r="79">
          <cell r="D79" t="str">
            <v>Bar Bender</v>
          </cell>
        </row>
        <row r="80">
          <cell r="D80" t="str">
            <v>Motorized Water Pump</v>
          </cell>
        </row>
        <row r="81">
          <cell r="D81" t="str">
            <v>Portable Drilling Rig</v>
          </cell>
        </row>
        <row r="82">
          <cell r="D82" t="str">
            <v>Electric Welding Machine</v>
          </cell>
        </row>
        <row r="83">
          <cell r="D83" t="str">
            <v>A/O Gas Welding Machine &amp; Outfits</v>
          </cell>
        </row>
        <row r="84">
          <cell r="D84" t="str">
            <v>Diesel Engine Generator</v>
          </cell>
        </row>
        <row r="85">
          <cell r="D85" t="str">
            <v>Electric Grinder</v>
          </cell>
        </row>
        <row r="86">
          <cell r="D86" t="str">
            <v>Electric Drill</v>
          </cell>
        </row>
        <row r="87">
          <cell r="D87" t="str">
            <v>Steel Tri-Boom</v>
          </cell>
        </row>
        <row r="88">
          <cell r="D88" t="str">
            <v>Pulley</v>
          </cell>
        </row>
        <row r="89">
          <cell r="D89" t="str">
            <v>Plumber's Tools</v>
          </cell>
        </row>
        <row r="90">
          <cell r="D90" t="str">
            <v>Truck-mounted Drilling Rig, Rotary</v>
          </cell>
        </row>
        <row r="92">
          <cell r="D92" t="str">
            <v>( HAULERS )</v>
          </cell>
        </row>
        <row r="94">
          <cell r="D94" t="str">
            <v>Water Truck</v>
          </cell>
        </row>
        <row r="95">
          <cell r="D95" t="str">
            <v>Dump Truck (6-wheeler)</v>
          </cell>
        </row>
        <row r="96">
          <cell r="D96" t="str">
            <v>2-1/2 T Dump Truck (Baby DT)</v>
          </cell>
        </row>
        <row r="98">
          <cell r="D98" t="str">
            <v>( CEMENT PRODUCTS )</v>
          </cell>
        </row>
        <row r="100">
          <cell r="D100" t="str">
            <v>100mm Conc. Hollow Block</v>
          </cell>
        </row>
        <row r="101">
          <cell r="D101" t="str">
            <v>150mm Conc. Hollow Block</v>
          </cell>
        </row>
        <row r="102">
          <cell r="D102" t="str">
            <v>Decorative Concrete Block (Louver Type)</v>
          </cell>
        </row>
        <row r="103">
          <cell r="D103" t="str">
            <v>250mm x 250mm Decorative Concrete Block</v>
          </cell>
        </row>
        <row r="104">
          <cell r="D104" t="str">
            <v>300mm RC Pipe Culvert</v>
          </cell>
        </row>
        <row r="105">
          <cell r="D105" t="str">
            <v>450mm RC Pipe Culvert</v>
          </cell>
        </row>
        <row r="106">
          <cell r="D106" t="str">
            <v>610mm RC Pipe Culvert</v>
          </cell>
        </row>
        <row r="107">
          <cell r="D107" t="str">
            <v>760mm RC Pipe Culvert</v>
          </cell>
        </row>
        <row r="108">
          <cell r="D108" t="str">
            <v>910mm RC Pipe Culvert</v>
          </cell>
        </row>
        <row r="109">
          <cell r="D109" t="str">
            <v>1220mm RC Pipe Culvert</v>
          </cell>
        </row>
        <row r="110">
          <cell r="D110" t="str">
            <v>3"dia. Conc. Baluster, 18"</v>
          </cell>
        </row>
        <row r="112">
          <cell r="D112" t="str">
            <v>( TIMBER and INDIGENOUS MATERIALS )</v>
          </cell>
        </row>
        <row r="114">
          <cell r="D114" t="str">
            <v>2" x 6" x 6' (Yakal)</v>
          </cell>
        </row>
        <row r="115">
          <cell r="D115" t="str">
            <v>2" x 6" x 8' (Yakal)</v>
          </cell>
        </row>
        <row r="116">
          <cell r="D116" t="str">
            <v>2" x 6" x 10' (Yakal)</v>
          </cell>
        </row>
        <row r="117">
          <cell r="D117" t="str">
            <v>2" x 6" x 12' (Yakal)</v>
          </cell>
        </row>
        <row r="118">
          <cell r="D118" t="str">
            <v>2" x 6" x 14' (Yakal)</v>
          </cell>
        </row>
        <row r="119">
          <cell r="D119" t="str">
            <v>3" x 4" x 8' (Yakal)</v>
          </cell>
        </row>
        <row r="120">
          <cell r="D120" t="str">
            <v>3" x 4" x 10' (Yakal)</v>
          </cell>
        </row>
        <row r="121">
          <cell r="D121" t="str">
            <v>6" x 6" x 18' (Molave)</v>
          </cell>
        </row>
        <row r="124">
          <cell r="D124" t="str">
            <v>Guijo</v>
          </cell>
        </row>
        <row r="125">
          <cell r="D125" t="str">
            <v>Apitong</v>
          </cell>
        </row>
        <row r="126">
          <cell r="D126" t="str">
            <v>Lauan</v>
          </cell>
        </row>
        <row r="127">
          <cell r="D127" t="str">
            <v>Coco Trunks</v>
          </cell>
        </row>
        <row r="128">
          <cell r="D128" t="str">
            <v>Coco Lumber</v>
          </cell>
        </row>
        <row r="129">
          <cell r="D129" t="str">
            <v>Bamboo Poles</v>
          </cell>
        </row>
        <row r="130">
          <cell r="D130" t="str">
            <v>1½"   Bamboo Slats</v>
          </cell>
        </row>
        <row r="131">
          <cell r="D131" t="str">
            <v>Bacauan</v>
          </cell>
        </row>
        <row r="132">
          <cell r="D132" t="str">
            <v>Tambulian or Equivalent</v>
          </cell>
        </row>
        <row r="134">
          <cell r="D134" t="str">
            <v>( TIMBER PRODUCTS )</v>
          </cell>
        </row>
        <row r="136">
          <cell r="D136" t="str">
            <v>Mouldings and Slats</v>
          </cell>
        </row>
        <row r="137">
          <cell r="D137" t="str">
            <v>0.70 x 1.00 fixed Louvers</v>
          </cell>
        </row>
        <row r="138">
          <cell r="D138" t="str">
            <v>Wall Boards, T&amp;G, stone-cut, etc.</v>
          </cell>
        </row>
        <row r="139">
          <cell r="D139" t="str">
            <v>¼" thk, Ordinary Plywood</v>
          </cell>
        </row>
        <row r="140">
          <cell r="D140" t="str">
            <v>3/8" thk, Ordinary Plywood</v>
          </cell>
        </row>
        <row r="141">
          <cell r="D141" t="str">
            <v>½" thk, Ordinary Plywood</v>
          </cell>
        </row>
        <row r="142">
          <cell r="D142" t="str">
            <v>3/4" thk,  Ordinary Plywood</v>
          </cell>
        </row>
        <row r="143">
          <cell r="D143" t="str">
            <v>¼" thk,  Marine Plywood</v>
          </cell>
        </row>
        <row r="144">
          <cell r="D144" t="str">
            <v>½" thk,  Marine Plywood</v>
          </cell>
        </row>
        <row r="145">
          <cell r="D145" t="str">
            <v>3/8" thk,  Form Plywood</v>
          </cell>
        </row>
        <row r="146">
          <cell r="D146" t="str">
            <v>4" x 8' Stone-Cut T&amp;G</v>
          </cell>
        </row>
        <row r="147">
          <cell r="D147" t="str">
            <v>1/4"Hardiflex</v>
          </cell>
        </row>
        <row r="149">
          <cell r="D149" t="str">
            <v>( FLAT &amp; ROUND STEEL BARS )</v>
          </cell>
        </row>
        <row r="151">
          <cell r="D151" t="str">
            <v>Deformed Bars, Grade 40</v>
          </cell>
        </row>
        <row r="152">
          <cell r="D152" t="str">
            <v>Deformed Bars, Grade 33</v>
          </cell>
        </row>
        <row r="153">
          <cell r="D153" t="str">
            <v>Deformed Bars, (276 Mpa)</v>
          </cell>
        </row>
        <row r="154">
          <cell r="D154" t="str">
            <v>Deformed Bars, (230 Mpa)</v>
          </cell>
        </row>
        <row r="155">
          <cell r="D155" t="str">
            <v>Plain Round Bars, Grade 33</v>
          </cell>
        </row>
        <row r="156">
          <cell r="D156" t="str">
            <v>12mm  Suction Rod with Threaded Coupling</v>
          </cell>
        </row>
        <row r="157">
          <cell r="D157" t="str">
            <v>Square Bar</v>
          </cell>
        </row>
        <row r="158">
          <cell r="D158" t="str">
            <v>¼" X 2½" Flat Bar</v>
          </cell>
        </row>
        <row r="160">
          <cell r="D160" t="str">
            <v>( STRUCTURAL STEEL )</v>
          </cell>
        </row>
        <row r="162">
          <cell r="D162" t="str">
            <v>3/16"x1½"x1½" Angle Bar</v>
          </cell>
        </row>
        <row r="163">
          <cell r="D163" t="str">
            <v>1/8" x 2" x 2" Angle Bar</v>
          </cell>
        </row>
        <row r="164">
          <cell r="D164" t="str">
            <v>3/16" x 2" x 2" Angle Bar</v>
          </cell>
        </row>
        <row r="165">
          <cell r="D165" t="str">
            <v>3/16" x 1" x1" Angle Bar</v>
          </cell>
        </row>
        <row r="166">
          <cell r="D166" t="str">
            <v>3/16" x 2½" x2½" Angle Bar</v>
          </cell>
        </row>
        <row r="167">
          <cell r="D167" t="str">
            <v>Structural Steel, ASTM A36</v>
          </cell>
        </row>
        <row r="168">
          <cell r="D168" t="str">
            <v>Steel Channel, 4 x 7.25</v>
          </cell>
        </row>
        <row r="169">
          <cell r="D169" t="str">
            <v>Steel Channel, 6 x 13</v>
          </cell>
        </row>
        <row r="170">
          <cell r="D170" t="str">
            <v>2" x 4" C-Purlin, Ga.16</v>
          </cell>
        </row>
        <row r="172">
          <cell r="D172" t="str">
            <v>( NAILS, BOLTS and FASTENERS )</v>
          </cell>
        </row>
        <row r="174">
          <cell r="D174" t="str">
            <v>Common Wire Nails</v>
          </cell>
        </row>
        <row r="175">
          <cell r="D175" t="str">
            <v>Finishing Nails</v>
          </cell>
        </row>
        <row r="176">
          <cell r="D176" t="str">
            <v>Roofing Nails umbrella type</v>
          </cell>
        </row>
        <row r="177">
          <cell r="D177" t="str">
            <v>Concrete Nail</v>
          </cell>
        </row>
        <row r="178">
          <cell r="D178" t="str">
            <v>13mm, High-Strength Bolt, 4"</v>
          </cell>
        </row>
        <row r="179">
          <cell r="D179" t="str">
            <v>Machine Bolt w/ nut &amp; washer</v>
          </cell>
        </row>
        <row r="180">
          <cell r="D180" t="str">
            <v>20mmØ GI Machine Bolt w/ nut &amp; washer</v>
          </cell>
        </row>
        <row r="181">
          <cell r="D181" t="str">
            <v>Boat Spike (Nail)</v>
          </cell>
        </row>
        <row r="184">
          <cell r="D184" t="str">
            <v>7/8" Anchor Bolt, 10"</v>
          </cell>
        </row>
        <row r="185">
          <cell r="D185" t="str">
            <v>20mm, Turn Buckle</v>
          </cell>
        </row>
        <row r="186">
          <cell r="D186" t="str">
            <v>16mm, Turn Buckle</v>
          </cell>
        </row>
        <row r="187">
          <cell r="D187" t="str">
            <v>12mm  Turnbuckle</v>
          </cell>
        </row>
        <row r="188">
          <cell r="D188" t="str">
            <v>13mm, U-Bolt</v>
          </cell>
        </row>
        <row r="189">
          <cell r="D189" t="str">
            <v>13mm, Cable Clip</v>
          </cell>
        </row>
        <row r="190">
          <cell r="D190" t="str">
            <v>32mm, Cable Clip</v>
          </cell>
        </row>
        <row r="191">
          <cell r="D191" t="str">
            <v>13mm,  Thimble</v>
          </cell>
        </row>
        <row r="192">
          <cell r="D192" t="str">
            <v>12mm  Stainless Screw, 1/2"</v>
          </cell>
        </row>
        <row r="193">
          <cell r="D193" t="str">
            <v>Tekscrew</v>
          </cell>
        </row>
        <row r="195">
          <cell r="D195" t="str">
            <v>( GI WIRES )</v>
          </cell>
        </row>
        <row r="197">
          <cell r="D197" t="str">
            <v>Ga.16 GI Tie Wire</v>
          </cell>
        </row>
        <row r="198">
          <cell r="D198" t="str">
            <v>G.I. Rivets</v>
          </cell>
        </row>
        <row r="200">
          <cell r="D200" t="str">
            <v>( ROOFING SHEET )</v>
          </cell>
        </row>
        <row r="202">
          <cell r="D202" t="str">
            <v>CORR. G.I.sheets, Ga.26</v>
          </cell>
        </row>
        <row r="203">
          <cell r="D203" t="str">
            <v>3' x 8' Plain G.I. Sheet, Ga.26</v>
          </cell>
        </row>
        <row r="204">
          <cell r="D204" t="str">
            <v>Pre-Painted Corr. GI Sht, Ga.26</v>
          </cell>
        </row>
        <row r="205">
          <cell r="D205" t="str">
            <v>24" Prefab GI Gutter</v>
          </cell>
        </row>
        <row r="206">
          <cell r="D206" t="str">
            <v>12" Prefab GI Ridge Roll</v>
          </cell>
        </row>
        <row r="207">
          <cell r="D207" t="str">
            <v>18" Prefab GI Flashing</v>
          </cell>
        </row>
        <row r="208">
          <cell r="D208" t="str">
            <v>3' x 8' Plain G.I. Sheet, Ga.24</v>
          </cell>
        </row>
        <row r="210">
          <cell r="D210" t="str">
            <v>( HARDWARES )</v>
          </cell>
        </row>
        <row r="212">
          <cell r="D212" t="str">
            <v>Gutter seal</v>
          </cell>
        </row>
        <row r="213">
          <cell r="D213" t="str">
            <v>4'-wide Cyclone  Wire</v>
          </cell>
        </row>
        <row r="214">
          <cell r="D214" t="str">
            <v>1¼ "dia. X 6" Double Type Pulley Level</v>
          </cell>
        </row>
        <row r="215">
          <cell r="D215" t="str">
            <v>1¼ "dia. X 6" Steel Ring Bolt Adaptor</v>
          </cell>
        </row>
        <row r="216">
          <cell r="D216" t="str">
            <v>1¼ "dia. X 1¼" Steel Ring Bolt Adaptor</v>
          </cell>
        </row>
        <row r="217">
          <cell r="D217" t="str">
            <v>1" Cylindrical Ejector Assembly, 32"</v>
          </cell>
        </row>
        <row r="218">
          <cell r="D218" t="str">
            <v>1½" " Cylindrical Ejector Assembly, 32"</v>
          </cell>
        </row>
        <row r="219">
          <cell r="D219" t="str">
            <v>Cylindrical Door Knob</v>
          </cell>
        </row>
        <row r="220">
          <cell r="D220" t="str">
            <v>4" Barrel Bolts</v>
          </cell>
        </row>
        <row r="221">
          <cell r="D221" t="str">
            <v>4" x 4" Loose Pin Butt Hinges</v>
          </cell>
        </row>
        <row r="222">
          <cell r="D222" t="str">
            <v>3" x 3" Loose Pin Butt Hinges</v>
          </cell>
        </row>
        <row r="223">
          <cell r="D223" t="str">
            <v>4" Hasp Lock Hinges</v>
          </cell>
        </row>
        <row r="224">
          <cell r="D224" t="str">
            <v>Alum. Mesh Wire, 1/8" eye x 3'</v>
          </cell>
        </row>
        <row r="225">
          <cell r="D225" t="str">
            <v>Alum. Mesh Wire, 1/2" eye x 3'</v>
          </cell>
        </row>
        <row r="226">
          <cell r="D226" t="str">
            <v>Alum. Mesh Wire, 1" eye x 3'</v>
          </cell>
        </row>
        <row r="227">
          <cell r="D227" t="str">
            <v>Aluminum Mosquito Screen, 3ft-wide</v>
          </cell>
        </row>
        <row r="228">
          <cell r="D228" t="str">
            <v>Aukom Rug</v>
          </cell>
        </row>
        <row r="229">
          <cell r="D229" t="str">
            <v>Welding Rods 1/8"ø E60</v>
          </cell>
        </row>
        <row r="230">
          <cell r="D230" t="str">
            <v>Welwood Glue</v>
          </cell>
        </row>
        <row r="231">
          <cell r="D231" t="str">
            <v>Solvent Cement</v>
          </cell>
        </row>
        <row r="232">
          <cell r="D232" t="str">
            <v xml:space="preserve">1½"   Cylindrical Ejector Assmbly, CLAYTON USA </v>
          </cell>
        </row>
        <row r="233">
          <cell r="D233" t="str">
            <v xml:space="preserve">1¼" Cylindrical Ejector Assmbly, CLAYTON USA </v>
          </cell>
        </row>
        <row r="234">
          <cell r="D234" t="str">
            <v>½" Teflon Tape</v>
          </cell>
        </row>
        <row r="235">
          <cell r="D235" t="str">
            <v>¾" Teflon Tape</v>
          </cell>
        </row>
        <row r="236">
          <cell r="D236" t="str">
            <v>1"  Teflon Tape</v>
          </cell>
        </row>
        <row r="237">
          <cell r="D237" t="str">
            <v>Cabinet Door Handle</v>
          </cell>
        </row>
        <row r="238">
          <cell r="D238" t="str">
            <v>½" dia. x 3/4"  Pillow Block</v>
          </cell>
        </row>
        <row r="239">
          <cell r="D239" t="str">
            <v>#6203  Bearing</v>
          </cell>
        </row>
        <row r="240">
          <cell r="D240" t="str">
            <v>3/4"dia. x 4"  Steel Spring</v>
          </cell>
        </row>
        <row r="241">
          <cell r="D241" t="str">
            <v>1¼" Foot Valve, Brass</v>
          </cell>
        </row>
        <row r="242">
          <cell r="D242" t="str">
            <v>1" x 2" Cabinet Hinges</v>
          </cell>
        </row>
        <row r="244">
          <cell r="D244" t="str">
            <v>( STRUCTURAL STEEL WIRES AND CABLES )</v>
          </cell>
        </row>
        <row r="246">
          <cell r="D246" t="str">
            <v>6mm,  IWRC (6 x  25)</v>
          </cell>
        </row>
        <row r="247">
          <cell r="D247" t="str">
            <v>8mm,  IWRC (6 x  25)</v>
          </cell>
        </row>
        <row r="248">
          <cell r="D248" t="str">
            <v>10mm,  IWRC (6 x  25)</v>
          </cell>
        </row>
        <row r="249">
          <cell r="D249" t="str">
            <v>11mm,  IWRC (6 x  25)</v>
          </cell>
        </row>
        <row r="250">
          <cell r="D250" t="str">
            <v>13mm,  IWRC (6 x  25)</v>
          </cell>
        </row>
        <row r="251">
          <cell r="D251" t="str">
            <v>14mm,  IWRC (6 x  25)</v>
          </cell>
        </row>
        <row r="252">
          <cell r="D252" t="str">
            <v>16mm,  IWRC (6 x  25)</v>
          </cell>
        </row>
        <row r="253">
          <cell r="D253" t="str">
            <v>20mm,  IWRC (6 x  25)</v>
          </cell>
        </row>
        <row r="254">
          <cell r="D254" t="str">
            <v>22mm,  IWRC (6 x  25)</v>
          </cell>
        </row>
        <row r="255">
          <cell r="D255" t="str">
            <v>25mm,  IWRC (6 x  25)</v>
          </cell>
        </row>
        <row r="256">
          <cell r="D256" t="str">
            <v>29mm,  IWRC (6 x  25)</v>
          </cell>
        </row>
        <row r="257">
          <cell r="D257" t="str">
            <v>32mm,  IWRC (6 x  25)</v>
          </cell>
        </row>
        <row r="258">
          <cell r="D258" t="str">
            <v>35mm, ,  IWRC (6 x  25)</v>
          </cell>
        </row>
        <row r="259">
          <cell r="D259" t="str">
            <v>38mm,  IWRC (6 x  25)</v>
          </cell>
        </row>
        <row r="260">
          <cell r="D260" t="str">
            <v>41mm,  IWRC (6 x  25)</v>
          </cell>
        </row>
        <row r="261">
          <cell r="D261" t="str">
            <v>44mm,  IWRC (6 x  25)</v>
          </cell>
        </row>
        <row r="262">
          <cell r="D262" t="str">
            <v>48mm,  IWRC (6 x  25)</v>
          </cell>
        </row>
        <row r="263">
          <cell r="D263" t="str">
            <v>51mm,  IWRC (6 x  25)</v>
          </cell>
        </row>
        <row r="264">
          <cell r="D264" t="str">
            <v>54mm,  IWRC (6 x  25)</v>
          </cell>
        </row>
        <row r="265">
          <cell r="D265" t="str">
            <v>57mm,  IWRC (6 x  25)</v>
          </cell>
        </row>
        <row r="266">
          <cell r="D266" t="str">
            <v>5mm, Wire Rope Fiber Core (6 x 25)</v>
          </cell>
        </row>
        <row r="267">
          <cell r="D267" t="str">
            <v>6mm, Wire Rope Fiber Core (6 x 25)</v>
          </cell>
        </row>
        <row r="268">
          <cell r="D268" t="str">
            <v>8mm, Wire Rope Fiber Core (6 x 25)</v>
          </cell>
        </row>
        <row r="269">
          <cell r="D269" t="str">
            <v>10mm, Wire Rope Fiber Core (6 x 25)</v>
          </cell>
        </row>
        <row r="270">
          <cell r="D270" t="str">
            <v>11mm, Wire Rope Fiber Core (6 x 25)</v>
          </cell>
        </row>
        <row r="271">
          <cell r="D271" t="str">
            <v>13mm, Wire Rope Fiber Core (6 x 25)</v>
          </cell>
        </row>
        <row r="272">
          <cell r="D272" t="str">
            <v>14mm, Wire Rope Fiber Core (6 x 25)</v>
          </cell>
        </row>
        <row r="273">
          <cell r="D273" t="str">
            <v>16mm, Wire Rope Fiber Core (6 x 25)</v>
          </cell>
        </row>
        <row r="274">
          <cell r="D274" t="str">
            <v>20mm, Wire Rope Fiber Core (6 x 25)</v>
          </cell>
        </row>
        <row r="275">
          <cell r="D275" t="str">
            <v>22mm, Wire Rope Fiber Core (6 x 25)</v>
          </cell>
        </row>
        <row r="276">
          <cell r="D276" t="str">
            <v>25mm, Wire Rope Fiber Core (6 x 25)</v>
          </cell>
        </row>
        <row r="277">
          <cell r="D277" t="str">
            <v>29mm, Wire Rope Fiber Core (6 x 25)</v>
          </cell>
        </row>
        <row r="278">
          <cell r="D278" t="str">
            <v>32mm, Wire Rope Fiber Core (6 x 25)</v>
          </cell>
        </row>
        <row r="279">
          <cell r="D279" t="str">
            <v>35mm, , Wire Rope Fiber Core (6 x 25)</v>
          </cell>
        </row>
        <row r="280">
          <cell r="D280" t="str">
            <v>38mm, Wire Rope Fiber Core (6 x 25)</v>
          </cell>
        </row>
        <row r="281">
          <cell r="D281" t="str">
            <v>41mm, Wire Rope Fiber Core (6 x 25)</v>
          </cell>
        </row>
        <row r="282">
          <cell r="D282" t="str">
            <v>44mm, Wire Rope Fiber Core (6 x 25)</v>
          </cell>
        </row>
        <row r="283">
          <cell r="D283" t="str">
            <v>48mm, Wire Rope Fiber Core (6 x 25)</v>
          </cell>
        </row>
        <row r="284">
          <cell r="D284" t="str">
            <v>51mm, Wire Rope Fiber Core (6 x 25)</v>
          </cell>
        </row>
        <row r="285">
          <cell r="D285" t="str">
            <v>54mm, Wire Rope Fiber Core (6 x 25)</v>
          </cell>
        </row>
        <row r="286">
          <cell r="D286" t="str">
            <v>57mm, Wire Rope Fiber Core (6 x 25)</v>
          </cell>
        </row>
        <row r="287">
          <cell r="D287" t="str">
            <v>10mm, High Grade Steel Cable</v>
          </cell>
        </row>
        <row r="289">
          <cell r="D289" t="str">
            <v>( STEEL PLATES )</v>
          </cell>
        </row>
        <row r="291">
          <cell r="D291" t="str">
            <v>6mm, Expanded Metal Mesh</v>
          </cell>
        </row>
        <row r="292">
          <cell r="D292" t="str">
            <v>10mm, Steel Plate</v>
          </cell>
        </row>
        <row r="293">
          <cell r="D293" t="str">
            <v>6mm, Steel Plate</v>
          </cell>
        </row>
        <row r="294">
          <cell r="D294" t="str">
            <v>Steel Plate</v>
          </cell>
        </row>
        <row r="296">
          <cell r="D296" t="str">
            <v>( STAINLESS STEEL CYLINDRICAL TANK )</v>
          </cell>
        </row>
        <row r="298">
          <cell r="D298" t="str">
            <v>600L Ga. 18 Cylindrical H2O Tank</v>
          </cell>
        </row>
        <row r="299">
          <cell r="D299" t="str">
            <v>800L Ga. 18 Cylindrical H2O Tank</v>
          </cell>
        </row>
        <row r="300">
          <cell r="D300" t="str">
            <v>1000L Ga. 18 Cylindrical H2O Tank</v>
          </cell>
        </row>
        <row r="302">
          <cell r="D302" t="str">
            <v>( ALUMINUM AND GLASS )</v>
          </cell>
        </row>
        <row r="304">
          <cell r="D304" t="str">
            <v>Jalousie Glass Blade w/ Alum. Frame</v>
          </cell>
        </row>
        <row r="305">
          <cell r="D305" t="str">
            <v>Clear Glass</v>
          </cell>
        </row>
        <row r="306">
          <cell r="D306" t="str">
            <v>Smoke Glass</v>
          </cell>
        </row>
        <row r="307">
          <cell r="D307" t="str">
            <v>16 blades 4" Alum. Jal. Frame</v>
          </cell>
        </row>
        <row r="308">
          <cell r="D308" t="str">
            <v>14 blades 4" Alum. Jal. Frame</v>
          </cell>
        </row>
        <row r="309">
          <cell r="D309" t="str">
            <v>7 blades 4" Alum. Jal. Frame</v>
          </cell>
        </row>
        <row r="311">
          <cell r="D311" t="str">
            <v>( PLASTIC PRODUCTS )</v>
          </cell>
        </row>
        <row r="313">
          <cell r="D313" t="str">
            <v>25mm  Plastic Stranded Rope</v>
          </cell>
        </row>
        <row r="315">
          <cell r="D315" t="str">
            <v>GI PIPES AND FITTINGS</v>
          </cell>
        </row>
        <row r="317">
          <cell r="D317" t="str">
            <v>½" G.I. Pipe, sch. 40</v>
          </cell>
        </row>
        <row r="318">
          <cell r="D318" t="str">
            <v>3/4" G.I. Pipe, sch. 40</v>
          </cell>
        </row>
        <row r="319">
          <cell r="D319" t="str">
            <v>1" G.I. Pipe, sch. 40</v>
          </cell>
        </row>
        <row r="320">
          <cell r="D320" t="str">
            <v>1¼" G.I. Pipe, sch. 40</v>
          </cell>
        </row>
        <row r="321">
          <cell r="D321" t="str">
            <v>1½" G.I. Pipe, sch. 40</v>
          </cell>
        </row>
        <row r="322">
          <cell r="D322" t="str">
            <v>2" G.I. Pipe, sch. 40</v>
          </cell>
        </row>
        <row r="323">
          <cell r="D323" t="str">
            <v>2¼" G.I. Pipe, sch. 40</v>
          </cell>
        </row>
        <row r="324">
          <cell r="D324" t="str">
            <v>3" G.I. Pipe, sch. 40</v>
          </cell>
        </row>
        <row r="325">
          <cell r="D325" t="str">
            <v>2½" G.I. Pipe, sch. 40</v>
          </cell>
        </row>
        <row r="326">
          <cell r="D326" t="str">
            <v>4" G.I. Pipe ,sch. 20</v>
          </cell>
        </row>
        <row r="327">
          <cell r="D327" t="str">
            <v>1½" G.I. Pipe ,sch. 20</v>
          </cell>
        </row>
        <row r="328">
          <cell r="D328" t="str">
            <v>½" G.I. Coupling, sch. 40</v>
          </cell>
        </row>
        <row r="329">
          <cell r="D329" t="str">
            <v>1" G.I. Coupling, sch. 40</v>
          </cell>
        </row>
        <row r="330">
          <cell r="D330" t="str">
            <v>1¼" G.I. Coupling, sch. 40</v>
          </cell>
        </row>
        <row r="331">
          <cell r="D331" t="str">
            <v>1½" G.I. Coupling, sch. 40</v>
          </cell>
        </row>
        <row r="332">
          <cell r="D332" t="str">
            <v>2"  G.I. Coupling, sch. 40</v>
          </cell>
        </row>
        <row r="333">
          <cell r="D333" t="str">
            <v>2¼" G.I. Coupling, sch. 40</v>
          </cell>
        </row>
        <row r="334">
          <cell r="D334" t="str">
            <v>3" G.I. Coupling, sch. 40</v>
          </cell>
        </row>
        <row r="335">
          <cell r="D335" t="str">
            <v>4"  G.I. Coupling, sch. 40</v>
          </cell>
        </row>
        <row r="336">
          <cell r="D336" t="str">
            <v>2½" G.I. Coupling, sch. 40</v>
          </cell>
        </row>
        <row r="337">
          <cell r="D337" t="str">
            <v>½" G.I. Elbow 45°, sch. 40</v>
          </cell>
        </row>
        <row r="338">
          <cell r="D338" t="str">
            <v>1"G.I. Elbow 45°, sch. 40</v>
          </cell>
        </row>
        <row r="339">
          <cell r="D339" t="str">
            <v>1¼"G.I. Elbow 45°, sch. 40</v>
          </cell>
        </row>
        <row r="340">
          <cell r="D340" t="str">
            <v>1½"G.I. Elbow 45°, sch. 40</v>
          </cell>
        </row>
        <row r="341">
          <cell r="D341" t="str">
            <v>2"G.I. Elbow 45°, sch. 40</v>
          </cell>
        </row>
        <row r="342">
          <cell r="D342" t="str">
            <v>2½" G.I. Elbow 45°, sch. 40</v>
          </cell>
        </row>
        <row r="343">
          <cell r="D343" t="str">
            <v>3" G.I. Elbow 45°, sch. 40</v>
          </cell>
        </row>
        <row r="344">
          <cell r="D344" t="str">
            <v>4" G.I. Elbow 45°, sch. 40</v>
          </cell>
        </row>
        <row r="345">
          <cell r="D345" t="str">
            <v>½" G.I. Elbow 90°, sch 40</v>
          </cell>
        </row>
        <row r="346">
          <cell r="D346" t="str">
            <v>1" G.I. Elbow 90°, sch 40</v>
          </cell>
        </row>
        <row r="347">
          <cell r="D347" t="str">
            <v>1¼" G.I. Elbow 90°, sch 40</v>
          </cell>
        </row>
        <row r="348">
          <cell r="D348" t="str">
            <v>1½"  G.I. Elbow 90°, sch 40</v>
          </cell>
        </row>
        <row r="349">
          <cell r="D349" t="str">
            <v>2" G.I. Elbow 90°, sch 40</v>
          </cell>
        </row>
        <row r="350">
          <cell r="D350" t="str">
            <v>2½" G.I. Elbow 90°, sch 40</v>
          </cell>
        </row>
        <row r="351">
          <cell r="D351" t="str">
            <v>3" G.I. Elbow 90°, sch 40</v>
          </cell>
        </row>
        <row r="352">
          <cell r="D352" t="str">
            <v>4" G.I. Elbow 90°, sch 40</v>
          </cell>
        </row>
        <row r="353">
          <cell r="D353" t="str">
            <v>2" G.I. Street Elbow, sch 40</v>
          </cell>
        </row>
        <row r="354">
          <cell r="D354" t="str">
            <v>3/4"  G.I. Elbow 90°, sch 40</v>
          </cell>
        </row>
        <row r="355">
          <cell r="D355" t="str">
            <v>½" G.I. TEE, sch 40</v>
          </cell>
        </row>
        <row r="356">
          <cell r="D356" t="str">
            <v>1" G.I. TEE, sch 40</v>
          </cell>
        </row>
        <row r="357">
          <cell r="D357" t="str">
            <v>1¼" G.I. TEE, sch 40</v>
          </cell>
        </row>
        <row r="358">
          <cell r="D358" t="str">
            <v>1½" G.I. TEE, sch 40</v>
          </cell>
        </row>
        <row r="359">
          <cell r="D359" t="str">
            <v>2"  G.I. TEE, sch 40</v>
          </cell>
        </row>
        <row r="360">
          <cell r="D360" t="str">
            <v>2½" G.I. TEE, sch 40</v>
          </cell>
        </row>
        <row r="361">
          <cell r="D361" t="str">
            <v>3" G.I. TEE, sch 40</v>
          </cell>
        </row>
        <row r="362">
          <cell r="D362" t="str">
            <v>4" G.I. TEE, sch 40</v>
          </cell>
        </row>
        <row r="363">
          <cell r="D363" t="str">
            <v>½" G.I. Nipples, 12"</v>
          </cell>
        </row>
        <row r="364">
          <cell r="D364" t="str">
            <v>1" G.I. Nipples, 12"</v>
          </cell>
        </row>
        <row r="365">
          <cell r="D365" t="str">
            <v>1" G.I. Nipple, 10"</v>
          </cell>
        </row>
        <row r="366">
          <cell r="D366" t="str">
            <v>1¼" G.I. Nipples, 4"</v>
          </cell>
        </row>
        <row r="367">
          <cell r="D367" t="str">
            <v>1¼" G.I. Nipples, 12"</v>
          </cell>
        </row>
        <row r="368">
          <cell r="D368" t="str">
            <v>½" G.I. Nipples, 4"</v>
          </cell>
        </row>
        <row r="369">
          <cell r="D369" t="str">
            <v>½" G.I. Nipples, 8"</v>
          </cell>
        </row>
        <row r="370">
          <cell r="D370" t="str">
            <v>3/4"  G.I. Nipples, 4"</v>
          </cell>
        </row>
        <row r="371">
          <cell r="D371" t="str">
            <v>½" G.I. Cap</v>
          </cell>
        </row>
        <row r="372">
          <cell r="D372" t="str">
            <v>1¼" G.I. Cap</v>
          </cell>
        </row>
        <row r="373">
          <cell r="D373" t="str">
            <v>2" G.I. Cap</v>
          </cell>
        </row>
        <row r="374">
          <cell r="D374" t="str">
            <v>2"x3/4", Saddle Clamp</v>
          </cell>
        </row>
        <row r="375">
          <cell r="D375" t="str">
            <v>½" Gate Valve</v>
          </cell>
        </row>
        <row r="376">
          <cell r="D376" t="str">
            <v>2" Gate Valve</v>
          </cell>
        </row>
        <row r="377">
          <cell r="D377" t="str">
            <v>3/4"  Gate Valve</v>
          </cell>
        </row>
        <row r="378">
          <cell r="D378" t="str">
            <v>½" Check Valve</v>
          </cell>
        </row>
        <row r="379">
          <cell r="D379" t="str">
            <v xml:space="preserve">½"  G.I. Union Patent </v>
          </cell>
        </row>
        <row r="380">
          <cell r="D380" t="str">
            <v xml:space="preserve">2" G.I. Union Patent </v>
          </cell>
        </row>
        <row r="381">
          <cell r="D381" t="str">
            <v xml:space="preserve">2½" G.I. Union Patent </v>
          </cell>
        </row>
        <row r="382">
          <cell r="D382" t="str">
            <v xml:space="preserve">1¼" x 3/4"  G.I. Bushing </v>
          </cell>
        </row>
        <row r="383">
          <cell r="D383" t="str">
            <v xml:space="preserve">1"x2", G.I. Bushing </v>
          </cell>
        </row>
        <row r="384">
          <cell r="D384" t="str">
            <v>1½" GI Male Adapter</v>
          </cell>
        </row>
        <row r="385">
          <cell r="D385" t="str">
            <v xml:space="preserve">2" x ½"  G.I. Bushing </v>
          </cell>
        </row>
        <row r="386">
          <cell r="D386" t="str">
            <v>2" x 1½" Reducer, Bell Cap</v>
          </cell>
        </row>
        <row r="387">
          <cell r="D387" t="str">
            <v>3/4" x ½" Reducer, Bell Cap</v>
          </cell>
        </row>
        <row r="389">
          <cell r="D389" t="str">
            <v>( PVC AND UPVC PIPES AND FITTINGS )</v>
          </cell>
        </row>
        <row r="391">
          <cell r="D391" t="str">
            <v>2" PVC Pipe</v>
          </cell>
        </row>
        <row r="392">
          <cell r="D392" t="str">
            <v>3" PVC Pipe</v>
          </cell>
        </row>
        <row r="393">
          <cell r="D393" t="str">
            <v>4" PVC Pipe</v>
          </cell>
        </row>
        <row r="394">
          <cell r="D394" t="str">
            <v>2" PVC TEE</v>
          </cell>
        </row>
        <row r="395">
          <cell r="D395" t="str">
            <v>3" PVC TEE</v>
          </cell>
        </row>
        <row r="396">
          <cell r="D396" t="str">
            <v>4" PVC TEE</v>
          </cell>
        </row>
        <row r="397">
          <cell r="D397" t="str">
            <v>2" PVC Elbow 45°</v>
          </cell>
        </row>
        <row r="398">
          <cell r="D398" t="str">
            <v>3" PVC Elbow 45°</v>
          </cell>
        </row>
        <row r="399">
          <cell r="D399" t="str">
            <v>4" PVC Elbow 45°</v>
          </cell>
        </row>
        <row r="400">
          <cell r="D400" t="str">
            <v>2" PVC Elbow 90°</v>
          </cell>
        </row>
        <row r="401">
          <cell r="D401" t="str">
            <v>3" PVC Elbow 90°</v>
          </cell>
        </row>
        <row r="402">
          <cell r="D402" t="str">
            <v>4" PVC Elbow 90°</v>
          </cell>
        </row>
        <row r="403">
          <cell r="D403" t="str">
            <v>2" PVC WYE</v>
          </cell>
        </row>
        <row r="404">
          <cell r="D404" t="str">
            <v>3" PVC WYE</v>
          </cell>
        </row>
        <row r="405">
          <cell r="D405" t="str">
            <v>4"  PVC WYE</v>
          </cell>
        </row>
        <row r="406">
          <cell r="D406" t="str">
            <v>2" PVC 1/8" bend</v>
          </cell>
        </row>
        <row r="407">
          <cell r="D407" t="str">
            <v>3"  PVC 1/8" bend</v>
          </cell>
        </row>
        <row r="408">
          <cell r="D408" t="str">
            <v>4"  PVC 1/8" bend</v>
          </cell>
        </row>
        <row r="409">
          <cell r="D409" t="str">
            <v>2" PVC clean-out</v>
          </cell>
        </row>
        <row r="410">
          <cell r="D410" t="str">
            <v>3" PVC clean-out</v>
          </cell>
        </row>
        <row r="411">
          <cell r="D411" t="str">
            <v>4" PVC clean-out</v>
          </cell>
        </row>
        <row r="412">
          <cell r="D412" t="str">
            <v>2" PVC P-Trap</v>
          </cell>
        </row>
        <row r="413">
          <cell r="D413" t="str">
            <v>3"  PVC P-Trap</v>
          </cell>
        </row>
        <row r="414">
          <cell r="D414" t="str">
            <v>4" PVC P-Trap</v>
          </cell>
        </row>
        <row r="415">
          <cell r="D415" t="str">
            <v>2"x3", PVC Reducer</v>
          </cell>
        </row>
        <row r="416">
          <cell r="D416" t="str">
            <v>3"x4", PVC Reducer</v>
          </cell>
        </row>
        <row r="417">
          <cell r="D417" t="str">
            <v>2"x4", PVC Reducer</v>
          </cell>
        </row>
        <row r="418">
          <cell r="D418" t="str">
            <v>4"x2", PVC TEE</v>
          </cell>
        </row>
        <row r="419">
          <cell r="D419" t="str">
            <v>4"x2", PVC  WYE</v>
          </cell>
        </row>
        <row r="420">
          <cell r="D420" t="str">
            <v>3"x4", PVC  WYE</v>
          </cell>
        </row>
        <row r="421">
          <cell r="D421" t="str">
            <v>3"x2", PVC  WYE</v>
          </cell>
        </row>
        <row r="422">
          <cell r="D422" t="str">
            <v>4" PVC Coupling</v>
          </cell>
        </row>
        <row r="423">
          <cell r="D423" t="str">
            <v>3/4" uPVC Elbow</v>
          </cell>
        </row>
        <row r="424">
          <cell r="D424" t="str">
            <v>3/4" uPVC Tee</v>
          </cell>
        </row>
        <row r="425">
          <cell r="D425" t="str">
            <v>3/4" uPVC Coupling</v>
          </cell>
        </row>
        <row r="426">
          <cell r="D426" t="str">
            <v>3" uPVC Coupling</v>
          </cell>
        </row>
        <row r="427">
          <cell r="D427" t="str">
            <v>4" uPVC Coupling</v>
          </cell>
        </row>
        <row r="428">
          <cell r="D428" t="str">
            <v>3/4" uPVC Nipple</v>
          </cell>
        </row>
        <row r="429">
          <cell r="D429" t="str">
            <v>½"x3/4", uPVC Reducer</v>
          </cell>
        </row>
        <row r="430">
          <cell r="D430" t="str">
            <v xml:space="preserve">½" uPVC Water Pipe </v>
          </cell>
        </row>
        <row r="431">
          <cell r="D431" t="str">
            <v xml:space="preserve">3/4" uPVC Water Pipe </v>
          </cell>
        </row>
        <row r="432">
          <cell r="D432" t="str">
            <v xml:space="preserve">4" uPVC Water Pipe </v>
          </cell>
        </row>
        <row r="433">
          <cell r="D433" t="str">
            <v xml:space="preserve">3" uPVC Water Pipe </v>
          </cell>
        </row>
        <row r="435">
          <cell r="D435" t="str">
            <v>( PE PIPES AND FITTINGS )</v>
          </cell>
        </row>
        <row r="437">
          <cell r="D437" t="str">
            <v>PE Pipe, SDR 9  3/8"</v>
          </cell>
        </row>
        <row r="438">
          <cell r="D438" t="str">
            <v>PE Pipe, SDR 9  1/2"</v>
          </cell>
        </row>
        <row r="439">
          <cell r="D439" t="str">
            <v>PE Pipe, SDR 9  3/4"</v>
          </cell>
        </row>
        <row r="440">
          <cell r="D440" t="str">
            <v>PE Pipe, SDR 9  1"</v>
          </cell>
        </row>
        <row r="441">
          <cell r="D441" t="str">
            <v>PE Pipe, SDR 9  1-1/4"</v>
          </cell>
        </row>
        <row r="442">
          <cell r="D442" t="str">
            <v>PE Pipe, SDR 9  1-1/2"</v>
          </cell>
        </row>
        <row r="443">
          <cell r="D443" t="str">
            <v>PE Pipe, SDR 9  2"</v>
          </cell>
        </row>
        <row r="444">
          <cell r="D444" t="str">
            <v>PE Pipe, SDR 9  2-1/2"</v>
          </cell>
        </row>
        <row r="445">
          <cell r="D445" t="str">
            <v>PE Pipe, SDR 9  3"</v>
          </cell>
        </row>
        <row r="446">
          <cell r="D446" t="str">
            <v>PE Pipe, SDR 9  4"</v>
          </cell>
        </row>
        <row r="447">
          <cell r="D447" t="str">
            <v>PE Pipe, SDR 9  6"</v>
          </cell>
        </row>
        <row r="448">
          <cell r="D448" t="str">
            <v>PE Pipe, SDR 11  3/8"</v>
          </cell>
        </row>
        <row r="449">
          <cell r="D449" t="str">
            <v>PE Pipe, SDR 11  1/2"</v>
          </cell>
        </row>
        <row r="450">
          <cell r="D450" t="str">
            <v>PE Pipe, SDR 11  3/4"</v>
          </cell>
        </row>
        <row r="451">
          <cell r="D451" t="str">
            <v>PE Pipe, SDR 11  1"</v>
          </cell>
        </row>
        <row r="452">
          <cell r="D452" t="str">
            <v>PE Pipe, SDR 11  1-1/4"</v>
          </cell>
        </row>
        <row r="453">
          <cell r="D453" t="str">
            <v>PE Pipe, SDR 11  1-1/2"</v>
          </cell>
        </row>
        <row r="454">
          <cell r="D454" t="str">
            <v>PE Pipe, SDR 11  2"</v>
          </cell>
        </row>
        <row r="455">
          <cell r="D455" t="str">
            <v>PE Pipe, SDR 11  2-1/2"</v>
          </cell>
        </row>
        <row r="456">
          <cell r="D456" t="str">
            <v>PE Pipe, SDR 11  3"</v>
          </cell>
        </row>
        <row r="457">
          <cell r="D457" t="str">
            <v>PE Pipe, SDR 11  4"</v>
          </cell>
        </row>
        <row r="458">
          <cell r="D458" t="str">
            <v>PE Pipe, SDR 11  6"</v>
          </cell>
        </row>
        <row r="459">
          <cell r="D459" t="str">
            <v>PE Pipe, SDR 13.5   3/8"</v>
          </cell>
        </row>
        <row r="460">
          <cell r="D460" t="str">
            <v>PE Pipe, SDR 13.5   1/2"</v>
          </cell>
        </row>
        <row r="461">
          <cell r="D461" t="str">
            <v>PE Pipe, SDR 13.5   3/4"</v>
          </cell>
        </row>
        <row r="462">
          <cell r="D462" t="str">
            <v>PE Pipe, SDR 13.5   1"</v>
          </cell>
        </row>
        <row r="463">
          <cell r="D463" t="str">
            <v>PE Pipe, SDR 13.5   1-1/4"</v>
          </cell>
        </row>
        <row r="464">
          <cell r="D464" t="str">
            <v>PE Pipe, SDR 13.5   1-1/2"</v>
          </cell>
        </row>
        <row r="465">
          <cell r="D465" t="str">
            <v>PE Pipe, SDR 13.5   2"</v>
          </cell>
        </row>
        <row r="466">
          <cell r="D466" t="str">
            <v>PE Pipe, SDR 13.5   2-1/2"</v>
          </cell>
        </row>
        <row r="467">
          <cell r="D467" t="str">
            <v>PE Pipe, SDR 13.5   3"</v>
          </cell>
        </row>
        <row r="468">
          <cell r="D468" t="str">
            <v>PE Pipe, SDR 13.5   4"</v>
          </cell>
        </row>
        <row r="469">
          <cell r="D469" t="str">
            <v>PE Pipe, SDR 13.5   6"</v>
          </cell>
        </row>
        <row r="470">
          <cell r="D470" t="str">
            <v>PE Pipe, SDR 17   3/8"</v>
          </cell>
        </row>
        <row r="471">
          <cell r="D471" t="str">
            <v>PE Pipe, SDR 17   1/2"</v>
          </cell>
        </row>
        <row r="472">
          <cell r="D472" t="str">
            <v>PE Pipe, SDR 17   3/4"</v>
          </cell>
        </row>
        <row r="473">
          <cell r="D473" t="str">
            <v>PE Pipe, SDR 17   1"</v>
          </cell>
        </row>
        <row r="474">
          <cell r="D474" t="str">
            <v>PE Pipe, SDR 17   1-1/4"</v>
          </cell>
        </row>
        <row r="475">
          <cell r="D475" t="str">
            <v>PE Pipe, SDR 17   1-1/2"</v>
          </cell>
        </row>
        <row r="476">
          <cell r="D476" t="str">
            <v>PE Pipe, SDR 17   2"</v>
          </cell>
        </row>
        <row r="477">
          <cell r="D477" t="str">
            <v>PE Pipe, SDR 17   2-1/2"</v>
          </cell>
        </row>
        <row r="478">
          <cell r="D478" t="str">
            <v>PE Pipe, SDR 17   3"</v>
          </cell>
        </row>
        <row r="479">
          <cell r="D479" t="str">
            <v>PE Pipe, SDR 17   4"</v>
          </cell>
        </row>
        <row r="480">
          <cell r="D480" t="str">
            <v>PE Pipe, SDR 17   6"</v>
          </cell>
        </row>
        <row r="481">
          <cell r="D481" t="str">
            <v>3/8" PE Pipe Coupling/Connector</v>
          </cell>
        </row>
        <row r="482">
          <cell r="D482" t="str">
            <v>½" PE Pipe Coupling/Connector</v>
          </cell>
        </row>
        <row r="483">
          <cell r="D483" t="str">
            <v>3/4" PE Pipe Coupling/Connector</v>
          </cell>
        </row>
        <row r="484">
          <cell r="D484" t="str">
            <v>1" PE Pipe Coupling/Connector</v>
          </cell>
        </row>
        <row r="485">
          <cell r="D485" t="str">
            <v>1¼" PE Pipe Coupling/Connector</v>
          </cell>
        </row>
        <row r="486">
          <cell r="D486" t="str">
            <v>1½" PE Pipe Coupling/Connector</v>
          </cell>
        </row>
        <row r="487">
          <cell r="D487" t="str">
            <v>2" PE Pipe Coupling/Connector</v>
          </cell>
        </row>
        <row r="488">
          <cell r="D488" t="str">
            <v>2½" PE Pipe Coupling/Connector</v>
          </cell>
        </row>
        <row r="489">
          <cell r="D489" t="str">
            <v>3" PE Pipe Coupling/Connector</v>
          </cell>
        </row>
        <row r="490">
          <cell r="D490" t="str">
            <v>63mm X 2"dia. Male Adaptor, PLASSON</v>
          </cell>
        </row>
        <row r="491">
          <cell r="D491" t="str">
            <v>75mm X 2½"dia. Male Adaptor, PLASSON</v>
          </cell>
        </row>
        <row r="493">
          <cell r="D493" t="str">
            <v>( SANITARY FIXTURES )</v>
          </cell>
        </row>
        <row r="495">
          <cell r="D495" t="str">
            <v>½" Brass Faucet, Plain Bibb</v>
          </cell>
        </row>
        <row r="496">
          <cell r="D496" t="str">
            <v>Water closet (ordinary)</v>
          </cell>
        </row>
        <row r="497">
          <cell r="D497" t="str">
            <v>Water seal bowl (Pail Flush)</v>
          </cell>
        </row>
        <row r="498">
          <cell r="D498" t="str">
            <v>Lavatory, porcelain</v>
          </cell>
        </row>
        <row r="499">
          <cell r="D499" t="str">
            <v>Kitchen sink ( Aluminum)</v>
          </cell>
        </row>
        <row r="500">
          <cell r="D500" t="str">
            <v>Soap Holder (ceramic)</v>
          </cell>
        </row>
        <row r="501">
          <cell r="D501" t="str">
            <v>Paper Holder (ceramic)</v>
          </cell>
        </row>
        <row r="502">
          <cell r="D502" t="str">
            <v>4x4 Floor drain plate</v>
          </cell>
        </row>
        <row r="503">
          <cell r="D503" t="str">
            <v>6x6 Floor drain plate</v>
          </cell>
        </row>
        <row r="504">
          <cell r="D504" t="str">
            <v>1¼" Jetmatic Pump, Heavy Duty</v>
          </cell>
        </row>
        <row r="505">
          <cell r="D505" t="str">
            <v>Sink Strainer</v>
          </cell>
        </row>
        <row r="506">
          <cell r="D506" t="str">
            <v>Dome Type Roof Drain</v>
          </cell>
        </row>
        <row r="507">
          <cell r="D507" t="str">
            <v>Kitchen sink (Stainless)</v>
          </cell>
        </row>
        <row r="509">
          <cell r="D509" t="str">
            <v>( ELECTRICAL WIRES &amp; APURTENANCES )</v>
          </cell>
        </row>
        <row r="511">
          <cell r="D511" t="str">
            <v>#10 AWG TW Wire solid</v>
          </cell>
        </row>
        <row r="512">
          <cell r="D512" t="str">
            <v>#12 AWG TW Wire solid</v>
          </cell>
        </row>
        <row r="513">
          <cell r="D513" t="str">
            <v>#14 AWG TW Wire solid</v>
          </cell>
        </row>
        <row r="514">
          <cell r="D514" t="str">
            <v>#10 AWG TW Wire stranded</v>
          </cell>
        </row>
        <row r="515">
          <cell r="D515" t="str">
            <v>#12 AWG TW Wire stranded</v>
          </cell>
        </row>
        <row r="516">
          <cell r="D516" t="str">
            <v>#14 AWG TW Wire stranded</v>
          </cell>
        </row>
        <row r="517">
          <cell r="D517" t="str">
            <v>#10  PDX Wire</v>
          </cell>
        </row>
        <row r="518">
          <cell r="D518" t="str">
            <v>#12 PDX Wire</v>
          </cell>
        </row>
        <row r="519">
          <cell r="D519" t="str">
            <v>#14 PDX Wire</v>
          </cell>
        </row>
        <row r="520">
          <cell r="D520" t="str">
            <v>3/4" PolyFlex Pipe</v>
          </cell>
        </row>
        <row r="521">
          <cell r="D521" t="str">
            <v>½" Flexible conduit</v>
          </cell>
        </row>
        <row r="522">
          <cell r="D522" t="str">
            <v>1" Flexible conduit</v>
          </cell>
        </row>
        <row r="523">
          <cell r="D523" t="str">
            <v>½" Entrance Cap</v>
          </cell>
        </row>
        <row r="524">
          <cell r="D524" t="str">
            <v>20A Circuit Breakers</v>
          </cell>
        </row>
        <row r="525">
          <cell r="D525" t="str">
            <v>30A Circuit Breakers</v>
          </cell>
        </row>
        <row r="526">
          <cell r="D526" t="str">
            <v>60ACircuit Breakers</v>
          </cell>
        </row>
        <row r="527">
          <cell r="D527" t="str">
            <v>100A Circuit Breakers</v>
          </cell>
        </row>
        <row r="528">
          <cell r="D528" t="str">
            <v>15A Fuse</v>
          </cell>
        </row>
        <row r="529">
          <cell r="D529" t="str">
            <v>20A Fuse</v>
          </cell>
        </row>
        <row r="530">
          <cell r="D530" t="str">
            <v>30A Fuse</v>
          </cell>
        </row>
        <row r="531">
          <cell r="D531" t="str">
            <v>60A Fuse</v>
          </cell>
        </row>
        <row r="532">
          <cell r="D532" t="str">
            <v>30A kWh Meter</v>
          </cell>
        </row>
        <row r="533">
          <cell r="D533" t="str">
            <v>60A kWh Meter</v>
          </cell>
        </row>
        <row r="534">
          <cell r="D534" t="str">
            <v>100A kWh Meter</v>
          </cell>
        </row>
        <row r="535">
          <cell r="D535" t="str">
            <v>2X4, Utility Box</v>
          </cell>
        </row>
        <row r="536">
          <cell r="D536" t="str">
            <v>4X4, Junction Box with cover</v>
          </cell>
        </row>
        <row r="537">
          <cell r="D537" t="str">
            <v>Porcelain Ceiling Outlet</v>
          </cell>
        </row>
        <row r="538">
          <cell r="D538" t="str">
            <v>Duplex convenience outlet (surface type)</v>
          </cell>
        </row>
        <row r="539">
          <cell r="D539" t="str">
            <v>Rubber female plug</v>
          </cell>
        </row>
        <row r="540">
          <cell r="D540" t="str">
            <v>Electrical Tape</v>
          </cell>
        </row>
        <row r="541">
          <cell r="D541" t="str">
            <v>Panel Board, 6-Breakers</v>
          </cell>
        </row>
        <row r="542">
          <cell r="D542" t="str">
            <v>One Gang Switch (flush type)</v>
          </cell>
        </row>
        <row r="543">
          <cell r="D543" t="str">
            <v>Two Gang Swicth (flush type)</v>
          </cell>
        </row>
        <row r="544">
          <cell r="D544" t="str">
            <v>Three Gang Swicth (flush type)</v>
          </cell>
        </row>
        <row r="545">
          <cell r="D545" t="str">
            <v>One Gang Outlet (flush type)</v>
          </cell>
        </row>
        <row r="546">
          <cell r="D546" t="str">
            <v>Two Gang Outlet (flush type)</v>
          </cell>
        </row>
        <row r="547">
          <cell r="D547" t="str">
            <v>Three Gang Outlet (flush type)</v>
          </cell>
        </row>
        <row r="548">
          <cell r="D548" t="str">
            <v>1/2" Metal Conduit Pipe, 3.0m</v>
          </cell>
        </row>
        <row r="549">
          <cell r="D549" t="str">
            <v>Main Switch Box, 2P, Double-Throw</v>
          </cell>
        </row>
        <row r="550">
          <cell r="D550" t="str">
            <v>Porcelain Wire Holder</v>
          </cell>
        </row>
        <row r="552">
          <cell r="D552" t="str">
            <v>( LIGHTS AND LAMPS )</v>
          </cell>
        </row>
        <row r="554">
          <cell r="D554" t="str">
            <v>20W 220 V Flourescent Lamp</v>
          </cell>
        </row>
        <row r="555">
          <cell r="D555" t="str">
            <v>40W 220 V Flourescent Lamp</v>
          </cell>
        </row>
        <row r="556">
          <cell r="D556" t="str">
            <v>10W Incandescent Bulb</v>
          </cell>
        </row>
        <row r="557">
          <cell r="D557" t="str">
            <v>20W Incandescent Bulb</v>
          </cell>
        </row>
        <row r="558">
          <cell r="D558" t="str">
            <v>50W Incandescent Bulb</v>
          </cell>
        </row>
        <row r="559">
          <cell r="D559" t="str">
            <v>100W Incandescent Bulb</v>
          </cell>
        </row>
        <row r="560">
          <cell r="D560" t="str">
            <v>18 W SL 2000 Flourescent Bulb</v>
          </cell>
        </row>
        <row r="562">
          <cell r="D562" t="str">
            <v>( PAINTS &amp; ACCESSORIES )</v>
          </cell>
        </row>
        <row r="564">
          <cell r="D564" t="str">
            <v>Acrylic Latex Paint Flat</v>
          </cell>
        </row>
        <row r="565">
          <cell r="D565" t="str">
            <v>Acrylic Semi-Gloss Paint Latex</v>
          </cell>
        </row>
        <row r="566">
          <cell r="D566" t="str">
            <v>Acrylic Gloss Latex</v>
          </cell>
        </row>
        <row r="567">
          <cell r="D567" t="str">
            <v>Acrylic Clear Gloss Emulsion</v>
          </cell>
        </row>
        <row r="568">
          <cell r="D568" t="str">
            <v>Latex High Gloss Enamel</v>
          </cell>
        </row>
        <row r="569">
          <cell r="D569" t="str">
            <v>Latex Tinting Color (Water-based)</v>
          </cell>
        </row>
        <row r="570">
          <cell r="D570" t="str">
            <v>Quick Drying Enamel</v>
          </cell>
        </row>
        <row r="571">
          <cell r="D571" t="str">
            <v>Interior Semi-Gloss Enamel</v>
          </cell>
        </row>
        <row r="572">
          <cell r="D572" t="str">
            <v>Flat Wall Enamel</v>
          </cell>
        </row>
        <row r="573">
          <cell r="D573" t="str">
            <v>Conc. Primer Sealer</v>
          </cell>
        </row>
        <row r="574">
          <cell r="D574" t="str">
            <v>Interior Primer Sealer</v>
          </cell>
        </row>
        <row r="575">
          <cell r="D575" t="str">
            <v>Exterior Wood Primer</v>
          </cell>
        </row>
        <row r="576">
          <cell r="D576" t="str">
            <v>Prepakote Red Oxide Primer</v>
          </cell>
        </row>
        <row r="577">
          <cell r="D577" t="str">
            <v>Zinc Chromate Primer.</v>
          </cell>
        </row>
        <row r="578">
          <cell r="D578" t="str">
            <v>Red Lead Primer</v>
          </cell>
        </row>
        <row r="579">
          <cell r="D579" t="str">
            <v>Blackboard Paint green</v>
          </cell>
        </row>
        <row r="580">
          <cell r="D580" t="str">
            <v>Portland Roofing Paint</v>
          </cell>
        </row>
        <row r="581">
          <cell r="D581" t="str">
            <v>Galva wash zinc remover</v>
          </cell>
        </row>
        <row r="582">
          <cell r="D582" t="str">
            <v>Sanding Sealer</v>
          </cell>
        </row>
        <row r="583">
          <cell r="D583" t="str">
            <v>Clear Gloss Lacquer</v>
          </cell>
        </row>
        <row r="584">
          <cell r="D584" t="str">
            <v>Paint Thinner</v>
          </cell>
        </row>
        <row r="585">
          <cell r="D585" t="str">
            <v>Concrete Neutralizer</v>
          </cell>
        </row>
        <row r="586">
          <cell r="D586" t="str">
            <v>Coal Tar</v>
          </cell>
        </row>
        <row r="587">
          <cell r="D587" t="str">
            <v>Wood Stain</v>
          </cell>
        </row>
        <row r="588">
          <cell r="D588" t="str">
            <v>Kalsomine powder</v>
          </cell>
        </row>
        <row r="589">
          <cell r="D589" t="str">
            <v>Sanding Paper</v>
          </cell>
        </row>
        <row r="590">
          <cell r="D590" t="str">
            <v>Epoxy Primer, Boysen</v>
          </cell>
        </row>
        <row r="592">
          <cell r="D592" t="str">
            <v>( PRESERVATIVES )</v>
          </cell>
        </row>
        <row r="594">
          <cell r="D594" t="str">
            <v>Wood preservative</v>
          </cell>
        </row>
        <row r="596">
          <cell r="D596" t="str">
            <v>( TILES )</v>
          </cell>
        </row>
        <row r="598">
          <cell r="D598" t="str">
            <v>Unglazed Tiles  4-1/4" x 4-1/4"</v>
          </cell>
        </row>
        <row r="599">
          <cell r="D599" t="str">
            <v>Glazed Tile (Plain Color)  4-1/4" x 4-1/4"</v>
          </cell>
        </row>
        <row r="600">
          <cell r="D600" t="str">
            <v>Mosaic Floor Tiles  12 x 12</v>
          </cell>
        </row>
        <row r="601">
          <cell r="D601" t="str">
            <v>Glazed Tiles  4" x 4"</v>
          </cell>
        </row>
        <row r="602">
          <cell r="D602" t="str">
            <v>Vitirified Tiles  4" x 8"</v>
          </cell>
        </row>
        <row r="603">
          <cell r="D603" t="str">
            <v>Floor Tiles (Plain Color)  8" x 8"</v>
          </cell>
        </row>
        <row r="604">
          <cell r="D604" t="str">
            <v>Glazed Tiles (Plain Color)  8" x 8"</v>
          </cell>
        </row>
        <row r="605">
          <cell r="D605" t="str">
            <v>Vinyl Tiles  8" x 8"</v>
          </cell>
        </row>
        <row r="606">
          <cell r="D606" t="str">
            <v>Capping</v>
          </cell>
        </row>
        <row r="607">
          <cell r="D607" t="str">
            <v>Internal Bead  4"</v>
          </cell>
        </row>
        <row r="608">
          <cell r="D608" t="str">
            <v xml:space="preserve">External Bead  4" </v>
          </cell>
        </row>
        <row r="609">
          <cell r="D609" t="str">
            <v>Internal Corner bead</v>
          </cell>
        </row>
        <row r="610">
          <cell r="D610" t="str">
            <v>External Corner bead</v>
          </cell>
        </row>
        <row r="611">
          <cell r="D611" t="str">
            <v>Unglazed Tiles  4" x 4"</v>
          </cell>
        </row>
        <row r="613">
          <cell r="D613" t="str">
            <v>( INSTRUMENTS )</v>
          </cell>
        </row>
        <row r="615">
          <cell r="D615" t="str">
            <v>Weighing Scale w Ht Measurement (Adult)</v>
          </cell>
        </row>
        <row r="616">
          <cell r="D616" t="str">
            <v>Weighing Scale (Newborn)</v>
          </cell>
        </row>
        <row r="617">
          <cell r="D617" t="str">
            <v>Stethoscope</v>
          </cell>
        </row>
        <row r="618">
          <cell r="D618" t="str">
            <v>Medical Trolley w/glass container</v>
          </cell>
        </row>
        <row r="619">
          <cell r="D619" t="str">
            <v>Sphygmomanometer (Mercury)</v>
          </cell>
        </row>
        <row r="620">
          <cell r="D620" t="str">
            <v>Thermometer</v>
          </cell>
        </row>
        <row r="621">
          <cell r="D621" t="str">
            <v>Scissors (Surgical)</v>
          </cell>
        </row>
        <row r="622">
          <cell r="D622" t="str">
            <v>Scissors (Bandage)</v>
          </cell>
        </row>
        <row r="623">
          <cell r="D623" t="str">
            <v>Forceps (Curve)</v>
          </cell>
        </row>
        <row r="624">
          <cell r="D624" t="str">
            <v>Forceps (Straight)</v>
          </cell>
        </row>
        <row r="625">
          <cell r="D625" t="str">
            <v>Kidney Basin (Stainless)</v>
          </cell>
        </row>
        <row r="626">
          <cell r="D626" t="str">
            <v>Bed Pan (Metal)</v>
          </cell>
        </row>
        <row r="627">
          <cell r="D627" t="str">
            <v>Male Urinal</v>
          </cell>
        </row>
        <row r="628">
          <cell r="D628" t="str">
            <v>O.B. Bed with Stirrups</v>
          </cell>
        </row>
        <row r="629">
          <cell r="D629" t="str">
            <v>Hot Water Bag</v>
          </cell>
        </row>
        <row r="631">
          <cell r="D631" t="str">
            <v>( FURNITURES )</v>
          </cell>
        </row>
        <row r="632">
          <cell r="D632" t="str">
            <v>Monoblock Student Chair</v>
          </cell>
        </row>
        <row r="633">
          <cell r="D633" t="str">
            <v>Monoblock Chair</v>
          </cell>
        </row>
        <row r="634">
          <cell r="D634" t="str">
            <v>Standard Office Table, Wood (SZOPAD Standard)</v>
          </cell>
        </row>
        <row r="635">
          <cell r="D635" t="str">
            <v>Blackboard</v>
          </cell>
        </row>
        <row r="636">
          <cell r="D636" t="str">
            <v>Kitchen Table, Wood (SZOPAD Standard)</v>
          </cell>
        </row>
        <row r="637">
          <cell r="D637" t="str">
            <v>Monoblock Bench (2-seater)</v>
          </cell>
        </row>
        <row r="639">
          <cell r="D639" t="str">
            <v>( MOORING &amp; FENDERS )</v>
          </cell>
        </row>
        <row r="640">
          <cell r="D640" t="str">
            <v>Mooring Bollard 25T</v>
          </cell>
        </row>
        <row r="641">
          <cell r="D641" t="str">
            <v>Mooring Bollard 15T</v>
          </cell>
        </row>
        <row r="642">
          <cell r="D642" t="str">
            <v>Mooring Bitt 10T</v>
          </cell>
        </row>
        <row r="643">
          <cell r="D643" t="str">
            <v>Mooring Cleat 5T</v>
          </cell>
        </row>
        <row r="644">
          <cell r="D644" t="str">
            <v>V-Type Rubber Fender (200x1500)</v>
          </cell>
        </row>
        <row r="645">
          <cell r="D645" t="str">
            <v>V-Type Rubber Fender (300x1500)</v>
          </cell>
        </row>
        <row r="646">
          <cell r="D646" t="str">
            <v>Used Tires (800mmØ)</v>
          </cell>
        </row>
        <row r="648">
          <cell r="D648" t="str">
            <v>( LUBRICANT AND OIL )</v>
          </cell>
        </row>
        <row r="649">
          <cell r="D649" t="str">
            <v>Used Oil</v>
          </cell>
        </row>
        <row r="650">
          <cell r="D650" t="str">
            <v>Oil, No. 110</v>
          </cell>
        </row>
        <row r="651">
          <cell r="D651" t="str">
            <v>Gasoline, Regular</v>
          </cell>
        </row>
        <row r="653">
          <cell r="D653" t="str">
            <v>( JUNKS &amp; JOB ORDER )</v>
          </cell>
        </row>
        <row r="654">
          <cell r="D654" t="str">
            <v>Tension Rod</v>
          </cell>
        </row>
        <row r="655">
          <cell r="D655" t="str">
            <v>Steel Plate Cover 0.65 X 0.65 m</v>
          </cell>
        </row>
        <row r="656">
          <cell r="D656" t="str">
            <v>Window Grill, Steel</v>
          </cell>
        </row>
        <row r="657">
          <cell r="D657" t="str">
            <v xml:space="preserve">Shop-made Door Lock, 5/8" Plain Bar </v>
          </cell>
        </row>
        <row r="658">
          <cell r="D658" t="str">
            <v>Fabricated Clamp, 5mm thk x 3"</v>
          </cell>
        </row>
        <row r="659">
          <cell r="D659" t="str">
            <v>Used Tires</v>
          </cell>
        </row>
        <row r="660">
          <cell r="D660" t="str">
            <v>2.0m X 2.40m  GI Vertical Roll-Up Door</v>
          </cell>
        </row>
        <row r="661">
          <cell r="D661" t="str">
            <v>30"  Spherical Roof Vent, Turbine Type</v>
          </cell>
        </row>
        <row r="663">
          <cell r="D663" t="str">
            <v>( LIQUIFIED AND PRESSURE GASES )</v>
          </cell>
        </row>
        <row r="664">
          <cell r="D664" t="str">
            <v>Oxygen</v>
          </cell>
        </row>
        <row r="665">
          <cell r="D665" t="str">
            <v>Acetylene</v>
          </cell>
        </row>
        <row r="666">
          <cell r="D666" t="str">
            <v>Acetylene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List"/>
      <sheetName val="Equipment"/>
    </sheetNames>
    <sheetDataSet>
      <sheetData sheetId="0"/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Center"/>
      <sheetName val="AutoList"/>
      <sheetName val="Project Link"/>
      <sheetName val="CALC."/>
      <sheetName val="Unit Cost"/>
    </sheetNames>
    <sheetDataSet>
      <sheetData sheetId="0"/>
      <sheetData sheetId="1"/>
      <sheetData sheetId="2" refreshError="1">
        <row r="10">
          <cell r="D10" t="str">
            <v>Sand</v>
          </cell>
        </row>
        <row r="11">
          <cell r="D11" t="str">
            <v>Gravel</v>
          </cell>
        </row>
        <row r="12">
          <cell r="D12" t="str">
            <v>Boulders (20-30 cm dia.)</v>
          </cell>
        </row>
        <row r="13">
          <cell r="D13" t="str">
            <v>Filling Materials</v>
          </cell>
        </row>
        <row r="14">
          <cell r="D14" t="str">
            <v>Sub Base Course (item 200)</v>
          </cell>
        </row>
        <row r="15">
          <cell r="D15" t="str">
            <v>Base Course (item 201)</v>
          </cell>
        </row>
        <row r="16">
          <cell r="D16" t="str">
            <v>Common Borrow</v>
          </cell>
        </row>
        <row r="17">
          <cell r="D17" t="str">
            <v>Gravelfill</v>
          </cell>
        </row>
        <row r="19">
          <cell r="D19" t="str">
            <v>( WATER )</v>
          </cell>
        </row>
        <row r="21">
          <cell r="D21" t="str">
            <v>Water</v>
          </cell>
        </row>
        <row r="23">
          <cell r="D23" t="str">
            <v>( CEMENT )</v>
          </cell>
        </row>
        <row r="25">
          <cell r="D25" t="str">
            <v>Portland Cement 40kg</v>
          </cell>
        </row>
        <row r="26">
          <cell r="D26" t="str">
            <v>Pozzoland Cement 40 kg</v>
          </cell>
        </row>
        <row r="27">
          <cell r="D27" t="str">
            <v>Red cement</v>
          </cell>
        </row>
        <row r="28">
          <cell r="D28" t="str">
            <v>White Cement</v>
          </cell>
        </row>
        <row r="29">
          <cell r="D29" t="str">
            <v>Water Sealant Cement</v>
          </cell>
        </row>
        <row r="30">
          <cell r="D30" t="str">
            <v>Bentonite</v>
          </cell>
        </row>
        <row r="32">
          <cell r="D32" t="str">
            <v>( MANPOWER )</v>
          </cell>
        </row>
        <row r="34">
          <cell r="D34" t="str">
            <v>Foreman</v>
          </cell>
        </row>
        <row r="35">
          <cell r="D35" t="str">
            <v>Carpenter</v>
          </cell>
        </row>
        <row r="36">
          <cell r="D36" t="str">
            <v>Mason</v>
          </cell>
        </row>
        <row r="37">
          <cell r="D37" t="str">
            <v>Steelman</v>
          </cell>
        </row>
        <row r="38">
          <cell r="D38" t="str">
            <v>Electrician</v>
          </cell>
        </row>
        <row r="39">
          <cell r="D39" t="str">
            <v>Tinsmith</v>
          </cell>
        </row>
        <row r="40">
          <cell r="D40" t="str">
            <v>Welder</v>
          </cell>
        </row>
        <row r="41">
          <cell r="D41" t="str">
            <v>Plumber</v>
          </cell>
        </row>
        <row r="42">
          <cell r="D42" t="str">
            <v>Painter</v>
          </cell>
        </row>
        <row r="43">
          <cell r="D43" t="str">
            <v>HE Operator</v>
          </cell>
        </row>
        <row r="44">
          <cell r="D44" t="str">
            <v>Unskilled Labor</v>
          </cell>
        </row>
        <row r="46">
          <cell r="D46" t="str">
            <v>( HEAVY EQUIPMENT )</v>
          </cell>
        </row>
        <row r="48">
          <cell r="D48" t="str">
            <v>Backhoe</v>
          </cell>
        </row>
        <row r="49">
          <cell r="D49" t="str">
            <v>Road Grader</v>
          </cell>
        </row>
        <row r="50">
          <cell r="D50" t="str">
            <v>Road Roller</v>
          </cell>
        </row>
        <row r="51">
          <cell r="D51" t="str">
            <v>Dumpt Truck</v>
          </cell>
        </row>
        <row r="52">
          <cell r="D52" t="str">
            <v>Truck Mounted Crane</v>
          </cell>
        </row>
        <row r="53">
          <cell r="D53" t="str">
            <v>Truck Mounted Crane w/ Bucket</v>
          </cell>
        </row>
        <row r="54">
          <cell r="D54" t="str">
            <v>Transit Mixer</v>
          </cell>
        </row>
        <row r="55">
          <cell r="D55" t="str">
            <v>Water Truck</v>
          </cell>
        </row>
        <row r="56">
          <cell r="D56" t="str">
            <v>D22 Delmag Diesel Hammer</v>
          </cell>
        </row>
        <row r="57">
          <cell r="D57" t="str">
            <v>Tractor-Drawn Roller (1-d)</v>
          </cell>
        </row>
        <row r="58">
          <cell r="D58" t="str">
            <v>Tandem Roller</v>
          </cell>
        </row>
        <row r="59">
          <cell r="D59" t="str">
            <v>Mini-Excavator</v>
          </cell>
        </row>
        <row r="60">
          <cell r="D60" t="str">
            <v>Skid-Steer Loader</v>
          </cell>
        </row>
        <row r="61">
          <cell r="D61" t="str">
            <v>Truck Mounted Crane</v>
          </cell>
        </row>
        <row r="62">
          <cell r="D62" t="str">
            <v>Barge Mounted Crane</v>
          </cell>
        </row>
        <row r="63">
          <cell r="D63" t="str">
            <v>Road Maintener</v>
          </cell>
        </row>
        <row r="64">
          <cell r="D64" t="str">
            <v>Diesel Hammer</v>
          </cell>
        </row>
        <row r="65">
          <cell r="D65" t="str">
            <v>Drop Hammer</v>
          </cell>
        </row>
        <row r="66">
          <cell r="D66" t="str">
            <v>Percussion</v>
          </cell>
        </row>
        <row r="67">
          <cell r="D67" t="str">
            <v>Rammers</v>
          </cell>
        </row>
        <row r="69">
          <cell r="D69" t="str">
            <v>( LIGHT EQUIPMENT )</v>
          </cell>
        </row>
        <row r="71">
          <cell r="D71" t="str">
            <v>Buggy</v>
          </cell>
        </row>
        <row r="72">
          <cell r="D72" t="str">
            <v>Wheel borrow</v>
          </cell>
        </row>
        <row r="73">
          <cell r="D73" t="str">
            <v>2" Heavy Duty Pulley</v>
          </cell>
        </row>
        <row r="74">
          <cell r="D74" t="str">
            <v>Concrete Mixer (1-bagger)</v>
          </cell>
        </row>
        <row r="75">
          <cell r="D75" t="str">
            <v>Concrete Vibrator</v>
          </cell>
        </row>
        <row r="76">
          <cell r="D76" t="str">
            <v>Plate Compactor</v>
          </cell>
        </row>
        <row r="77">
          <cell r="D77" t="str">
            <v>Air Compressor</v>
          </cell>
        </row>
        <row r="78">
          <cell r="D78" t="str">
            <v>Bar Cutter</v>
          </cell>
        </row>
        <row r="79">
          <cell r="D79" t="str">
            <v>Bar Bender</v>
          </cell>
        </row>
        <row r="80">
          <cell r="D80" t="str">
            <v>Motorized Water Pump</v>
          </cell>
        </row>
        <row r="81">
          <cell r="D81" t="str">
            <v>Portable Drilling Rig</v>
          </cell>
        </row>
        <row r="82">
          <cell r="D82" t="str">
            <v>Electric Welding Machine</v>
          </cell>
        </row>
        <row r="83">
          <cell r="D83" t="str">
            <v>A/O Gas Welding Machine &amp; Outfits</v>
          </cell>
        </row>
        <row r="84">
          <cell r="D84" t="str">
            <v>Diesel Engine Generator</v>
          </cell>
        </row>
        <row r="85">
          <cell r="D85" t="str">
            <v>Electric Grinder</v>
          </cell>
        </row>
        <row r="86">
          <cell r="D86" t="str">
            <v>Electric Drill</v>
          </cell>
        </row>
        <row r="87">
          <cell r="D87" t="str">
            <v>Steel Tri-Boom</v>
          </cell>
        </row>
        <row r="88">
          <cell r="D88" t="str">
            <v>Pulley</v>
          </cell>
        </row>
        <row r="89">
          <cell r="D89" t="str">
            <v>Plumber's Tools</v>
          </cell>
        </row>
        <row r="90">
          <cell r="D90" t="str">
            <v>Truck-mounted Drilling Rig, Rotary</v>
          </cell>
        </row>
        <row r="92">
          <cell r="D92" t="str">
            <v>( HAULERS )</v>
          </cell>
        </row>
        <row r="94">
          <cell r="D94" t="str">
            <v>Water Truck</v>
          </cell>
        </row>
        <row r="95">
          <cell r="D95" t="str">
            <v>Dump Truck (6-wheeler)</v>
          </cell>
        </row>
        <row r="96">
          <cell r="D96" t="str">
            <v>2-1/2 T Dump Truck (Baby DT)</v>
          </cell>
        </row>
        <row r="98">
          <cell r="D98" t="str">
            <v>( CEMENT PRODUCTS )</v>
          </cell>
        </row>
        <row r="100">
          <cell r="D100" t="str">
            <v>100mm Conc. Hollow Block</v>
          </cell>
        </row>
        <row r="101">
          <cell r="D101" t="str">
            <v>150mm Conc. Hollow Block</v>
          </cell>
        </row>
        <row r="102">
          <cell r="D102" t="str">
            <v>Decorative Concrete Block (Louver Type)</v>
          </cell>
        </row>
        <row r="103">
          <cell r="D103" t="str">
            <v>250mm x 250mm Decorative Concrete Block</v>
          </cell>
        </row>
        <row r="104">
          <cell r="D104" t="str">
            <v>300mm RC Pipe Culvert</v>
          </cell>
        </row>
        <row r="105">
          <cell r="D105" t="str">
            <v>450mm RC Pipe Culvert</v>
          </cell>
        </row>
        <row r="106">
          <cell r="D106" t="str">
            <v>610mm RC Pipe Culvert</v>
          </cell>
        </row>
        <row r="107">
          <cell r="D107" t="str">
            <v>760mm RC Pipe Culvert</v>
          </cell>
        </row>
        <row r="108">
          <cell r="D108" t="str">
            <v>910mm RC Pipe Culvert</v>
          </cell>
        </row>
        <row r="109">
          <cell r="D109" t="str">
            <v>1220mm RC Pipe Culvert</v>
          </cell>
        </row>
        <row r="110">
          <cell r="D110" t="str">
            <v>3"dia. Conc. Baluster, 18"</v>
          </cell>
        </row>
        <row r="112">
          <cell r="D112" t="str">
            <v>( TIMBER and INDIGENOUS MATERIALS )</v>
          </cell>
        </row>
        <row r="114">
          <cell r="D114" t="str">
            <v>2" x 6" x 6' (Yakal)</v>
          </cell>
        </row>
        <row r="115">
          <cell r="D115" t="str">
            <v>2" x 6" x 8' (Yakal)</v>
          </cell>
        </row>
        <row r="116">
          <cell r="D116" t="str">
            <v>2" x 6" x 10' (Yakal)</v>
          </cell>
        </row>
        <row r="117">
          <cell r="D117" t="str">
            <v>2" x 6" x 12' (Yakal)</v>
          </cell>
        </row>
        <row r="118">
          <cell r="D118" t="str">
            <v>2" x 6" x 14' (Yakal)</v>
          </cell>
        </row>
        <row r="119">
          <cell r="D119" t="str">
            <v>3" x 4" x 8' (Yakal)</v>
          </cell>
        </row>
        <row r="120">
          <cell r="D120" t="str">
            <v>3" x 4" x 10' (Yakal)</v>
          </cell>
        </row>
        <row r="121">
          <cell r="D121" t="str">
            <v>6" x 6" x 18' (Molave)</v>
          </cell>
        </row>
        <row r="124">
          <cell r="D124" t="str">
            <v>Guijo</v>
          </cell>
        </row>
        <row r="125">
          <cell r="D125" t="str">
            <v>Apitong</v>
          </cell>
        </row>
        <row r="126">
          <cell r="D126" t="str">
            <v>Lauan</v>
          </cell>
        </row>
        <row r="127">
          <cell r="D127" t="str">
            <v>Coco Trunks</v>
          </cell>
        </row>
        <row r="128">
          <cell r="D128" t="str">
            <v>Coco Lumber</v>
          </cell>
        </row>
        <row r="129">
          <cell r="D129" t="str">
            <v>Bamboo Poles</v>
          </cell>
        </row>
        <row r="130">
          <cell r="D130" t="str">
            <v>1½"   Bamboo Slats</v>
          </cell>
        </row>
        <row r="131">
          <cell r="D131" t="str">
            <v>Bacauan</v>
          </cell>
        </row>
        <row r="132">
          <cell r="D132" t="str">
            <v>Tambulian or Equivalent</v>
          </cell>
        </row>
        <row r="134">
          <cell r="D134" t="str">
            <v>( TIMBER PRODUCTS )</v>
          </cell>
        </row>
        <row r="136">
          <cell r="D136" t="str">
            <v>Mouldings and Slats</v>
          </cell>
        </row>
        <row r="137">
          <cell r="D137" t="str">
            <v>0.70 x 1.00 fixed Louvers</v>
          </cell>
        </row>
        <row r="138">
          <cell r="D138" t="str">
            <v>Wall Boards, T&amp;G, stone-cut, etc.</v>
          </cell>
        </row>
        <row r="139">
          <cell r="D139" t="str">
            <v>¼" thk, Ordinary Plywood</v>
          </cell>
        </row>
        <row r="140">
          <cell r="D140" t="str">
            <v>3/8" thk, Ordinary Plywood</v>
          </cell>
        </row>
        <row r="141">
          <cell r="D141" t="str">
            <v>½" thk, Ordinary Plywood</v>
          </cell>
        </row>
        <row r="142">
          <cell r="D142" t="str">
            <v>3/4" thk,  Ordinary Plywood</v>
          </cell>
        </row>
        <row r="143">
          <cell r="D143" t="str">
            <v>¼" thk,  Marine Plywood</v>
          </cell>
        </row>
        <row r="144">
          <cell r="D144" t="str">
            <v>½" thk,  Marine Plywood</v>
          </cell>
        </row>
        <row r="145">
          <cell r="D145" t="str">
            <v>3/8" thk,  Form Plywood</v>
          </cell>
        </row>
        <row r="146">
          <cell r="D146" t="str">
            <v>4" x 8' Stone-Cut T&amp;G</v>
          </cell>
        </row>
        <row r="147">
          <cell r="D147" t="str">
            <v>1/4"Hardiflex</v>
          </cell>
        </row>
        <row r="149">
          <cell r="D149" t="str">
            <v>( FLAT &amp; ROUND STEEL BARS )</v>
          </cell>
        </row>
        <row r="151">
          <cell r="D151" t="str">
            <v>Deformed Bars, Grade 40</v>
          </cell>
        </row>
        <row r="152">
          <cell r="D152" t="str">
            <v>Deformed Bars, Grade 33</v>
          </cell>
        </row>
        <row r="153">
          <cell r="D153" t="str">
            <v>Deformed Bars, (276 Mpa)</v>
          </cell>
        </row>
        <row r="154">
          <cell r="D154" t="str">
            <v>Deformed Bars, (230 Mpa)</v>
          </cell>
        </row>
        <row r="155">
          <cell r="D155" t="str">
            <v>Plain Round Bars, Grade 33</v>
          </cell>
        </row>
        <row r="156">
          <cell r="D156" t="str">
            <v>12mm  Suction Rod with Threaded Coupling</v>
          </cell>
        </row>
        <row r="157">
          <cell r="D157" t="str">
            <v>Square Bar</v>
          </cell>
        </row>
        <row r="158">
          <cell r="D158" t="str">
            <v>¼" X 2½" Flat Bar</v>
          </cell>
        </row>
        <row r="160">
          <cell r="D160" t="str">
            <v>( STRUCTURAL STEEL )</v>
          </cell>
        </row>
        <row r="162">
          <cell r="D162" t="str">
            <v>3/16"x1½"x1½" Angle Bar</v>
          </cell>
        </row>
        <row r="163">
          <cell r="D163" t="str">
            <v>1/8" x 2" x 2" Angle Bar</v>
          </cell>
        </row>
        <row r="164">
          <cell r="D164" t="str">
            <v>3/16" x 2" x 2" Angle Bar</v>
          </cell>
        </row>
        <row r="165">
          <cell r="D165" t="str">
            <v>3/16" x 1" x1" Angle Bar</v>
          </cell>
        </row>
        <row r="166">
          <cell r="D166" t="str">
            <v>3/16" x 2½" x2½" Angle Bar</v>
          </cell>
        </row>
        <row r="167">
          <cell r="D167" t="str">
            <v>Structural Steel, ASTM A36</v>
          </cell>
        </row>
        <row r="168">
          <cell r="D168" t="str">
            <v>Steel Channel, 4 x 7.25</v>
          </cell>
        </row>
        <row r="169">
          <cell r="D169" t="str">
            <v>Steel Channel, 6 x 13</v>
          </cell>
        </row>
        <row r="170">
          <cell r="D170" t="str">
            <v>2" x 4" C-Purlin, Ga.16</v>
          </cell>
        </row>
        <row r="172">
          <cell r="D172" t="str">
            <v>( NAILS, BOLTS and FASTENERS )</v>
          </cell>
        </row>
        <row r="174">
          <cell r="D174" t="str">
            <v>Common Wire Nails</v>
          </cell>
        </row>
        <row r="175">
          <cell r="D175" t="str">
            <v>Finishing Nails</v>
          </cell>
        </row>
        <row r="176">
          <cell r="D176" t="str">
            <v>Roofing Nails umbrella type</v>
          </cell>
        </row>
        <row r="177">
          <cell r="D177" t="str">
            <v>Concrete Nail</v>
          </cell>
        </row>
        <row r="178">
          <cell r="D178" t="str">
            <v>13mm, High-Strength Bolt, 4"</v>
          </cell>
        </row>
        <row r="179">
          <cell r="D179" t="str">
            <v>Machine Bolt w/ nut &amp; washer</v>
          </cell>
        </row>
        <row r="180">
          <cell r="D180" t="str">
            <v>20mmØ GI Machine Bolt w/ nut &amp; washer</v>
          </cell>
        </row>
        <row r="181">
          <cell r="D181" t="str">
            <v>Boat Spike (Nail)</v>
          </cell>
        </row>
        <row r="184">
          <cell r="D184" t="str">
            <v>7/8" Anchor Bolt, 10"</v>
          </cell>
        </row>
        <row r="185">
          <cell r="D185" t="str">
            <v>20mm, Turn Buckle</v>
          </cell>
        </row>
        <row r="186">
          <cell r="D186" t="str">
            <v>16mm, Turn Buckle</v>
          </cell>
        </row>
        <row r="187">
          <cell r="D187" t="str">
            <v>12mm  Turnbuckle</v>
          </cell>
        </row>
        <row r="188">
          <cell r="D188" t="str">
            <v>13mm, U-Bolt</v>
          </cell>
        </row>
        <row r="189">
          <cell r="D189" t="str">
            <v>13mm, Cable Clip</v>
          </cell>
        </row>
        <row r="190">
          <cell r="D190" t="str">
            <v>32mm, Cable Clip</v>
          </cell>
        </row>
        <row r="191">
          <cell r="D191" t="str">
            <v>13mm,  Thimble</v>
          </cell>
        </row>
        <row r="192">
          <cell r="D192" t="str">
            <v>12mm  Stainless Screw, 1/2"</v>
          </cell>
        </row>
        <row r="193">
          <cell r="D193" t="str">
            <v>Tekscrew</v>
          </cell>
        </row>
        <row r="195">
          <cell r="D195" t="str">
            <v>( GI WIRES )</v>
          </cell>
        </row>
        <row r="197">
          <cell r="D197" t="str">
            <v>Ga.16 GI Tie Wire</v>
          </cell>
        </row>
        <row r="198">
          <cell r="D198" t="str">
            <v>G.I. Rivets</v>
          </cell>
        </row>
        <row r="200">
          <cell r="D200" t="str">
            <v>( ROOFING SHEET )</v>
          </cell>
        </row>
        <row r="202">
          <cell r="D202" t="str">
            <v>CORR. G.I.sheets, Ga.26</v>
          </cell>
        </row>
        <row r="203">
          <cell r="D203" t="str">
            <v>3' x 8' Plain G.I. Sheet, Ga.26</v>
          </cell>
        </row>
        <row r="204">
          <cell r="D204" t="str">
            <v>Pre-Painted Corr. GI Sht, Ga.26</v>
          </cell>
        </row>
        <row r="205">
          <cell r="D205" t="str">
            <v>24" Prefab GI Gutter</v>
          </cell>
        </row>
        <row r="206">
          <cell r="D206" t="str">
            <v>12" Prefab GI Ridge Roll</v>
          </cell>
        </row>
        <row r="207">
          <cell r="D207" t="str">
            <v>18" Prefab GI Flashing</v>
          </cell>
        </row>
        <row r="208">
          <cell r="D208" t="str">
            <v>3' x 8' Plain G.I. Sheet, Ga.24</v>
          </cell>
        </row>
        <row r="210">
          <cell r="D210" t="str">
            <v>( HARDWARES )</v>
          </cell>
        </row>
        <row r="212">
          <cell r="D212" t="str">
            <v>Gutter seal</v>
          </cell>
        </row>
        <row r="213">
          <cell r="D213" t="str">
            <v>4'-wide Cyclone  Wire</v>
          </cell>
        </row>
        <row r="214">
          <cell r="D214" t="str">
            <v>1¼ "dia. X 6" Double Type Pulley Level</v>
          </cell>
        </row>
        <row r="215">
          <cell r="D215" t="str">
            <v>1¼ "dia. X 6" Steel Ring Bolt Adaptor</v>
          </cell>
        </row>
        <row r="216">
          <cell r="D216" t="str">
            <v>1¼ "dia. X 1¼" Steel Ring Bolt Adaptor</v>
          </cell>
        </row>
        <row r="217">
          <cell r="D217" t="str">
            <v>1" Cylindrical Ejector Assembly, 32"</v>
          </cell>
        </row>
        <row r="218">
          <cell r="D218" t="str">
            <v>1½" " Cylindrical Ejector Assembly, 32"</v>
          </cell>
        </row>
        <row r="219">
          <cell r="D219" t="str">
            <v>Cylindrical Door Knob</v>
          </cell>
        </row>
        <row r="220">
          <cell r="D220" t="str">
            <v>4" Barrel Bolts</v>
          </cell>
        </row>
        <row r="221">
          <cell r="D221" t="str">
            <v>4" x 4" Loose Pin Butt Hinges</v>
          </cell>
        </row>
        <row r="222">
          <cell r="D222" t="str">
            <v>3" x 3" Loose Pin Butt Hinges</v>
          </cell>
        </row>
        <row r="223">
          <cell r="D223" t="str">
            <v>4" Hasp Lock Hinges</v>
          </cell>
        </row>
        <row r="224">
          <cell r="D224" t="str">
            <v>Alum. Mesh Wire, 1/8" eye x 3'</v>
          </cell>
        </row>
        <row r="225">
          <cell r="D225" t="str">
            <v>Alum. Mesh Wire, 1/2" eye x 3'</v>
          </cell>
        </row>
        <row r="226">
          <cell r="D226" t="str">
            <v>Alum. Mesh Wire, 1" eye x 3'</v>
          </cell>
        </row>
        <row r="227">
          <cell r="D227" t="str">
            <v>Aluminum Mosquito Screen, 3ft-wide</v>
          </cell>
        </row>
        <row r="228">
          <cell r="D228" t="str">
            <v>Aukom Rug</v>
          </cell>
        </row>
        <row r="229">
          <cell r="D229" t="str">
            <v>Welding Rods 1/8"ø E60</v>
          </cell>
        </row>
        <row r="230">
          <cell r="D230" t="str">
            <v>Welwood Glue</v>
          </cell>
        </row>
        <row r="231">
          <cell r="D231" t="str">
            <v>Solvent Cement</v>
          </cell>
        </row>
        <row r="232">
          <cell r="D232" t="str">
            <v xml:space="preserve">1½"   Cylindrical Ejector Assmbly, CLAYTON USA </v>
          </cell>
        </row>
        <row r="233">
          <cell r="D233" t="str">
            <v xml:space="preserve">1¼" Cylindrical Ejector Assmbly, CLAYTON USA </v>
          </cell>
        </row>
        <row r="234">
          <cell r="D234" t="str">
            <v>½" Teflon Tape</v>
          </cell>
        </row>
        <row r="235">
          <cell r="D235" t="str">
            <v>¾" Teflon Tape</v>
          </cell>
        </row>
        <row r="236">
          <cell r="D236" t="str">
            <v>1"  Teflon Tape</v>
          </cell>
        </row>
        <row r="237">
          <cell r="D237" t="str">
            <v>Cabinet Door Handle</v>
          </cell>
        </row>
        <row r="238">
          <cell r="D238" t="str">
            <v>½" dia. x 3/4"  Pillow Block</v>
          </cell>
        </row>
        <row r="239">
          <cell r="D239" t="str">
            <v>#6203  Bearing</v>
          </cell>
        </row>
        <row r="240">
          <cell r="D240" t="str">
            <v>3/4"dia. x 4"  Steel Spring</v>
          </cell>
        </row>
        <row r="241">
          <cell r="D241" t="str">
            <v>1¼" Foot Valve, Brass</v>
          </cell>
        </row>
        <row r="242">
          <cell r="D242" t="str">
            <v>1" x 2" Cabinet Hinges</v>
          </cell>
        </row>
        <row r="244">
          <cell r="D244" t="str">
            <v>( STRUCTURAL STEEL WIRES AND CABLES )</v>
          </cell>
        </row>
        <row r="246">
          <cell r="D246" t="str">
            <v>6mm,  IWRC (6 x  25)</v>
          </cell>
        </row>
        <row r="247">
          <cell r="D247" t="str">
            <v>8mm,  IWRC (6 x  25)</v>
          </cell>
        </row>
        <row r="248">
          <cell r="D248" t="str">
            <v>10mm,  IWRC (6 x  25)</v>
          </cell>
        </row>
        <row r="249">
          <cell r="D249" t="str">
            <v>11mm,  IWRC (6 x  25)</v>
          </cell>
        </row>
        <row r="250">
          <cell r="D250" t="str">
            <v>13mm,  IWRC (6 x  25)</v>
          </cell>
        </row>
        <row r="251">
          <cell r="D251" t="str">
            <v>14mm,  IWRC (6 x  25)</v>
          </cell>
        </row>
        <row r="252">
          <cell r="D252" t="str">
            <v>16mm,  IWRC (6 x  25)</v>
          </cell>
        </row>
        <row r="253">
          <cell r="D253" t="str">
            <v>20mm,  IWRC (6 x  25)</v>
          </cell>
        </row>
        <row r="254">
          <cell r="D254" t="str">
            <v>22mm,  IWRC (6 x  25)</v>
          </cell>
        </row>
        <row r="255">
          <cell r="D255" t="str">
            <v>25mm,  IWRC (6 x  25)</v>
          </cell>
        </row>
        <row r="256">
          <cell r="D256" t="str">
            <v>29mm,  IWRC (6 x  25)</v>
          </cell>
        </row>
        <row r="257">
          <cell r="D257" t="str">
            <v>32mm,  IWRC (6 x  25)</v>
          </cell>
        </row>
        <row r="258">
          <cell r="D258" t="str">
            <v>35mm, ,  IWRC (6 x  25)</v>
          </cell>
        </row>
        <row r="259">
          <cell r="D259" t="str">
            <v>38mm,  IWRC (6 x  25)</v>
          </cell>
        </row>
        <row r="260">
          <cell r="D260" t="str">
            <v>41mm,  IWRC (6 x  25)</v>
          </cell>
        </row>
        <row r="261">
          <cell r="D261" t="str">
            <v>44mm,  IWRC (6 x  25)</v>
          </cell>
        </row>
        <row r="262">
          <cell r="D262" t="str">
            <v>48mm,  IWRC (6 x  25)</v>
          </cell>
        </row>
        <row r="263">
          <cell r="D263" t="str">
            <v>51mm,  IWRC (6 x  25)</v>
          </cell>
        </row>
        <row r="264">
          <cell r="D264" t="str">
            <v>54mm,  IWRC (6 x  25)</v>
          </cell>
        </row>
        <row r="265">
          <cell r="D265" t="str">
            <v>57mm,  IWRC (6 x  25)</v>
          </cell>
        </row>
        <row r="266">
          <cell r="D266" t="str">
            <v>5mm, Wire Rope Fiber Core (6 x 25)</v>
          </cell>
        </row>
        <row r="267">
          <cell r="D267" t="str">
            <v>6mm, Wire Rope Fiber Core (6 x 25)</v>
          </cell>
        </row>
        <row r="268">
          <cell r="D268" t="str">
            <v>8mm, Wire Rope Fiber Core (6 x 25)</v>
          </cell>
        </row>
        <row r="269">
          <cell r="D269" t="str">
            <v>10mm, Wire Rope Fiber Core (6 x 25)</v>
          </cell>
        </row>
        <row r="270">
          <cell r="D270" t="str">
            <v>11mm, Wire Rope Fiber Core (6 x 25)</v>
          </cell>
        </row>
        <row r="271">
          <cell r="D271" t="str">
            <v>13mm, Wire Rope Fiber Core (6 x 25)</v>
          </cell>
        </row>
        <row r="272">
          <cell r="D272" t="str">
            <v>14mm, Wire Rope Fiber Core (6 x 25)</v>
          </cell>
        </row>
        <row r="273">
          <cell r="D273" t="str">
            <v>16mm, Wire Rope Fiber Core (6 x 25)</v>
          </cell>
        </row>
        <row r="274">
          <cell r="D274" t="str">
            <v>20mm, Wire Rope Fiber Core (6 x 25)</v>
          </cell>
        </row>
        <row r="275">
          <cell r="D275" t="str">
            <v>22mm, Wire Rope Fiber Core (6 x 25)</v>
          </cell>
        </row>
        <row r="276">
          <cell r="D276" t="str">
            <v>25mm, Wire Rope Fiber Core (6 x 25)</v>
          </cell>
        </row>
        <row r="277">
          <cell r="D277" t="str">
            <v>29mm, Wire Rope Fiber Core (6 x 25)</v>
          </cell>
        </row>
        <row r="278">
          <cell r="D278" t="str">
            <v>32mm, Wire Rope Fiber Core (6 x 25)</v>
          </cell>
        </row>
        <row r="279">
          <cell r="D279" t="str">
            <v>35mm, , Wire Rope Fiber Core (6 x 25)</v>
          </cell>
        </row>
        <row r="280">
          <cell r="D280" t="str">
            <v>38mm, Wire Rope Fiber Core (6 x 25)</v>
          </cell>
        </row>
        <row r="281">
          <cell r="D281" t="str">
            <v>41mm, Wire Rope Fiber Core (6 x 25)</v>
          </cell>
        </row>
        <row r="282">
          <cell r="D282" t="str">
            <v>44mm, Wire Rope Fiber Core (6 x 25)</v>
          </cell>
        </row>
        <row r="283">
          <cell r="D283" t="str">
            <v>48mm, Wire Rope Fiber Core (6 x 25)</v>
          </cell>
        </row>
        <row r="284">
          <cell r="D284" t="str">
            <v>51mm, Wire Rope Fiber Core (6 x 25)</v>
          </cell>
        </row>
        <row r="285">
          <cell r="D285" t="str">
            <v>54mm, Wire Rope Fiber Core (6 x 25)</v>
          </cell>
        </row>
        <row r="286">
          <cell r="D286" t="str">
            <v>57mm, Wire Rope Fiber Core (6 x 25)</v>
          </cell>
        </row>
        <row r="287">
          <cell r="D287" t="str">
            <v>10mm, High Grade Steel Cable</v>
          </cell>
        </row>
        <row r="289">
          <cell r="D289" t="str">
            <v>( STEEL PLATES )</v>
          </cell>
        </row>
        <row r="291">
          <cell r="D291" t="str">
            <v>6mm, Expanded Metal Mesh</v>
          </cell>
        </row>
        <row r="292">
          <cell r="D292" t="str">
            <v>10mm, Steel Plate</v>
          </cell>
        </row>
        <row r="293">
          <cell r="D293" t="str">
            <v>6mm, Steel Plate</v>
          </cell>
        </row>
        <row r="294">
          <cell r="D294" t="str">
            <v>Steel Plate</v>
          </cell>
        </row>
        <row r="296">
          <cell r="D296" t="str">
            <v>( STAINLESS STEEL CYLINDRICAL TANK )</v>
          </cell>
        </row>
        <row r="298">
          <cell r="D298" t="str">
            <v>600L Ga. 18 Cylindrical H2O Tank</v>
          </cell>
        </row>
        <row r="299">
          <cell r="D299" t="str">
            <v>800L Ga. 18 Cylindrical H2O Tank</v>
          </cell>
        </row>
        <row r="300">
          <cell r="D300" t="str">
            <v>1000L Ga. 18 Cylindrical H2O Tank</v>
          </cell>
        </row>
        <row r="302">
          <cell r="D302" t="str">
            <v>( ALUMINUM AND GLASS )</v>
          </cell>
        </row>
        <row r="304">
          <cell r="D304" t="str">
            <v>Jalousie Glass Blade w/ Alum. Frame</v>
          </cell>
        </row>
        <row r="305">
          <cell r="D305" t="str">
            <v>Clear Glass</v>
          </cell>
        </row>
        <row r="306">
          <cell r="D306" t="str">
            <v>Smoke Glass</v>
          </cell>
        </row>
        <row r="307">
          <cell r="D307" t="str">
            <v>16 blades 4" Alum. Jal. Frame</v>
          </cell>
        </row>
        <row r="308">
          <cell r="D308" t="str">
            <v>14 blades 4" Alum. Jal. Frame</v>
          </cell>
        </row>
        <row r="309">
          <cell r="D309" t="str">
            <v>7 blades 4" Alum. Jal. Frame</v>
          </cell>
        </row>
        <row r="311">
          <cell r="D311" t="str">
            <v>( PLASTIC PRODUCTS )</v>
          </cell>
        </row>
        <row r="313">
          <cell r="D313" t="str">
            <v>25mm  Plastic Stranded Rope</v>
          </cell>
        </row>
        <row r="315">
          <cell r="D315" t="str">
            <v>GI PIPES AND FITTINGS</v>
          </cell>
        </row>
        <row r="317">
          <cell r="D317" t="str">
            <v>½" G.I. Pipe, sch. 40</v>
          </cell>
        </row>
        <row r="318">
          <cell r="D318" t="str">
            <v>3/4" G.I. Pipe, sch. 40</v>
          </cell>
        </row>
        <row r="319">
          <cell r="D319" t="str">
            <v>1" G.I. Pipe, sch. 40</v>
          </cell>
        </row>
        <row r="320">
          <cell r="D320" t="str">
            <v>1¼" G.I. Pipe, sch. 40</v>
          </cell>
        </row>
        <row r="321">
          <cell r="D321" t="str">
            <v>1½" G.I. Pipe, sch. 40</v>
          </cell>
        </row>
        <row r="322">
          <cell r="D322" t="str">
            <v>2" G.I. Pipe, sch. 40</v>
          </cell>
        </row>
        <row r="323">
          <cell r="D323" t="str">
            <v>2¼" G.I. Pipe, sch. 40</v>
          </cell>
        </row>
        <row r="324">
          <cell r="D324" t="str">
            <v>3" G.I. Pipe, sch. 40</v>
          </cell>
        </row>
        <row r="325">
          <cell r="D325" t="str">
            <v>2½" G.I. Pipe, sch. 40</v>
          </cell>
        </row>
        <row r="326">
          <cell r="D326" t="str">
            <v>4" G.I. Pipe ,sch. 20</v>
          </cell>
        </row>
        <row r="327">
          <cell r="D327" t="str">
            <v>1½" G.I. Pipe ,sch. 20</v>
          </cell>
        </row>
        <row r="328">
          <cell r="D328" t="str">
            <v>½" G.I. Coupling, sch. 40</v>
          </cell>
        </row>
        <row r="329">
          <cell r="D329" t="str">
            <v>1" G.I. Coupling, sch. 40</v>
          </cell>
        </row>
        <row r="330">
          <cell r="D330" t="str">
            <v>1¼" G.I. Coupling, sch. 40</v>
          </cell>
        </row>
        <row r="331">
          <cell r="D331" t="str">
            <v>1½" G.I. Coupling, sch. 40</v>
          </cell>
        </row>
        <row r="332">
          <cell r="D332" t="str">
            <v>2"  G.I. Coupling, sch. 40</v>
          </cell>
        </row>
        <row r="333">
          <cell r="D333" t="str">
            <v>2¼" G.I. Coupling, sch. 40</v>
          </cell>
        </row>
        <row r="334">
          <cell r="D334" t="str">
            <v>3" G.I. Coupling, sch. 40</v>
          </cell>
        </row>
        <row r="335">
          <cell r="D335" t="str">
            <v>4"  G.I. Coupling, sch. 40</v>
          </cell>
        </row>
        <row r="336">
          <cell r="D336" t="str">
            <v>2½" G.I. Coupling, sch. 40</v>
          </cell>
        </row>
        <row r="337">
          <cell r="D337" t="str">
            <v>½" G.I. Elbow 45°, sch. 40</v>
          </cell>
        </row>
        <row r="338">
          <cell r="D338" t="str">
            <v>1"G.I. Elbow 45°, sch. 40</v>
          </cell>
        </row>
        <row r="339">
          <cell r="D339" t="str">
            <v>1¼"G.I. Elbow 45°, sch. 40</v>
          </cell>
        </row>
        <row r="340">
          <cell r="D340" t="str">
            <v>1½"G.I. Elbow 45°, sch. 40</v>
          </cell>
        </row>
        <row r="341">
          <cell r="D341" t="str">
            <v>2"G.I. Elbow 45°, sch. 40</v>
          </cell>
        </row>
        <row r="342">
          <cell r="D342" t="str">
            <v>2½" G.I. Elbow 45°, sch. 40</v>
          </cell>
        </row>
        <row r="343">
          <cell r="D343" t="str">
            <v>3" G.I. Elbow 45°, sch. 40</v>
          </cell>
        </row>
        <row r="344">
          <cell r="D344" t="str">
            <v>4" G.I. Elbow 45°, sch. 40</v>
          </cell>
        </row>
        <row r="345">
          <cell r="D345" t="str">
            <v>½" G.I. Elbow 90°, sch 40</v>
          </cell>
        </row>
        <row r="346">
          <cell r="D346" t="str">
            <v>1" G.I. Elbow 90°, sch 40</v>
          </cell>
        </row>
        <row r="347">
          <cell r="D347" t="str">
            <v>1¼" G.I. Elbow 90°, sch 40</v>
          </cell>
        </row>
        <row r="348">
          <cell r="D348" t="str">
            <v>1½"  G.I. Elbow 90°, sch 40</v>
          </cell>
        </row>
        <row r="349">
          <cell r="D349" t="str">
            <v>2" G.I. Elbow 90°, sch 40</v>
          </cell>
        </row>
        <row r="350">
          <cell r="D350" t="str">
            <v>2½" G.I. Elbow 90°, sch 40</v>
          </cell>
        </row>
        <row r="351">
          <cell r="D351" t="str">
            <v>3" G.I. Elbow 90°, sch 40</v>
          </cell>
        </row>
        <row r="352">
          <cell r="D352" t="str">
            <v>4" G.I. Elbow 90°, sch 40</v>
          </cell>
        </row>
        <row r="353">
          <cell r="D353" t="str">
            <v>2" G.I. Street Elbow, sch 40</v>
          </cell>
        </row>
        <row r="354">
          <cell r="D354" t="str">
            <v>3/4"  G.I. Elbow 90°, sch 40</v>
          </cell>
        </row>
        <row r="355">
          <cell r="D355" t="str">
            <v>½" G.I. TEE, sch 40</v>
          </cell>
        </row>
        <row r="356">
          <cell r="D356" t="str">
            <v>1" G.I. TEE, sch 40</v>
          </cell>
        </row>
        <row r="357">
          <cell r="D357" t="str">
            <v>1¼" G.I. TEE, sch 40</v>
          </cell>
        </row>
        <row r="358">
          <cell r="D358" t="str">
            <v>1½" G.I. TEE, sch 40</v>
          </cell>
        </row>
        <row r="359">
          <cell r="D359" t="str">
            <v>2"  G.I. TEE, sch 40</v>
          </cell>
        </row>
        <row r="360">
          <cell r="D360" t="str">
            <v>2½" G.I. TEE, sch 40</v>
          </cell>
        </row>
        <row r="361">
          <cell r="D361" t="str">
            <v>3" G.I. TEE, sch 40</v>
          </cell>
        </row>
        <row r="362">
          <cell r="D362" t="str">
            <v>4" G.I. TEE, sch 40</v>
          </cell>
        </row>
        <row r="363">
          <cell r="D363" t="str">
            <v>½" G.I. Nipples, 12"</v>
          </cell>
        </row>
        <row r="364">
          <cell r="D364" t="str">
            <v>1" G.I. Nipples, 12"</v>
          </cell>
        </row>
        <row r="365">
          <cell r="D365" t="str">
            <v>1" G.I. Nipple, 10"</v>
          </cell>
        </row>
        <row r="366">
          <cell r="D366" t="str">
            <v>1¼" G.I. Nipples, 4"</v>
          </cell>
        </row>
        <row r="367">
          <cell r="D367" t="str">
            <v>1¼" G.I. Nipples, 12"</v>
          </cell>
        </row>
        <row r="368">
          <cell r="D368" t="str">
            <v>½" G.I. Nipples, 4"</v>
          </cell>
        </row>
        <row r="369">
          <cell r="D369" t="str">
            <v>½" G.I. Nipples, 8"</v>
          </cell>
        </row>
        <row r="370">
          <cell r="D370" t="str">
            <v>3/4"  G.I. Nipples, 4"</v>
          </cell>
        </row>
        <row r="371">
          <cell r="D371" t="str">
            <v>½" G.I. Cap</v>
          </cell>
        </row>
        <row r="372">
          <cell r="D372" t="str">
            <v>1¼" G.I. Cap</v>
          </cell>
        </row>
        <row r="373">
          <cell r="D373" t="str">
            <v>2" G.I. Cap</v>
          </cell>
        </row>
        <row r="374">
          <cell r="D374" t="str">
            <v>2"x3/4", Saddle Clamp</v>
          </cell>
        </row>
        <row r="375">
          <cell r="D375" t="str">
            <v>½" Gate Valve</v>
          </cell>
        </row>
        <row r="376">
          <cell r="D376" t="str">
            <v>2" Gate Valve</v>
          </cell>
        </row>
        <row r="377">
          <cell r="D377" t="str">
            <v>3/4"  Gate Valve</v>
          </cell>
        </row>
        <row r="378">
          <cell r="D378" t="str">
            <v>½" Check Valve</v>
          </cell>
        </row>
        <row r="379">
          <cell r="D379" t="str">
            <v xml:space="preserve">½"  G.I. Union Patent </v>
          </cell>
        </row>
        <row r="380">
          <cell r="D380" t="str">
            <v xml:space="preserve">2" G.I. Union Patent </v>
          </cell>
        </row>
        <row r="381">
          <cell r="D381" t="str">
            <v xml:space="preserve">2½" G.I. Union Patent </v>
          </cell>
        </row>
        <row r="382">
          <cell r="D382" t="str">
            <v xml:space="preserve">1¼" x 3/4"  G.I. Bushing </v>
          </cell>
        </row>
        <row r="383">
          <cell r="D383" t="str">
            <v xml:space="preserve">1"x2", G.I. Bushing </v>
          </cell>
        </row>
        <row r="384">
          <cell r="D384" t="str">
            <v>1½" GI Male Adapter</v>
          </cell>
        </row>
        <row r="385">
          <cell r="D385" t="str">
            <v xml:space="preserve">2" x ½"  G.I. Bushing </v>
          </cell>
        </row>
        <row r="386">
          <cell r="D386" t="str">
            <v>2" x 1½" Reducer, Bell Cap</v>
          </cell>
        </row>
        <row r="387">
          <cell r="D387" t="str">
            <v>3/4" x ½" Reducer, Bell Cap</v>
          </cell>
        </row>
        <row r="389">
          <cell r="D389" t="str">
            <v>( PVC AND UPVC PIPES AND FITTINGS )</v>
          </cell>
        </row>
        <row r="391">
          <cell r="D391" t="str">
            <v>2" PVC Pipe</v>
          </cell>
        </row>
        <row r="392">
          <cell r="D392" t="str">
            <v>3" PVC Pipe</v>
          </cell>
        </row>
        <row r="393">
          <cell r="D393" t="str">
            <v>4" PVC Pipe</v>
          </cell>
        </row>
        <row r="394">
          <cell r="D394" t="str">
            <v>2" PVC TEE</v>
          </cell>
        </row>
        <row r="395">
          <cell r="D395" t="str">
            <v>3" PVC TEE</v>
          </cell>
        </row>
        <row r="396">
          <cell r="D396" t="str">
            <v>4" PVC TEE</v>
          </cell>
        </row>
        <row r="397">
          <cell r="D397" t="str">
            <v>2" PVC Elbow 45°</v>
          </cell>
        </row>
        <row r="398">
          <cell r="D398" t="str">
            <v>3" PVC Elbow 45°</v>
          </cell>
        </row>
        <row r="399">
          <cell r="D399" t="str">
            <v>4" PVC Elbow 45°</v>
          </cell>
        </row>
        <row r="400">
          <cell r="D400" t="str">
            <v>2" PVC Elbow 90°</v>
          </cell>
        </row>
        <row r="401">
          <cell r="D401" t="str">
            <v>3" PVC Elbow 90°</v>
          </cell>
        </row>
        <row r="402">
          <cell r="D402" t="str">
            <v>4" PVC Elbow 90°</v>
          </cell>
        </row>
        <row r="403">
          <cell r="D403" t="str">
            <v>2" PVC WYE</v>
          </cell>
        </row>
        <row r="404">
          <cell r="D404" t="str">
            <v>3" PVC WYE</v>
          </cell>
        </row>
        <row r="405">
          <cell r="D405" t="str">
            <v>4"  PVC WYE</v>
          </cell>
        </row>
        <row r="406">
          <cell r="D406" t="str">
            <v>2" PVC 1/8" bend</v>
          </cell>
        </row>
        <row r="407">
          <cell r="D407" t="str">
            <v>3"  PVC 1/8" bend</v>
          </cell>
        </row>
        <row r="408">
          <cell r="D408" t="str">
            <v>4"  PVC 1/8" bend</v>
          </cell>
        </row>
        <row r="409">
          <cell r="D409" t="str">
            <v>2" PVC clean-out</v>
          </cell>
        </row>
        <row r="410">
          <cell r="D410" t="str">
            <v>3" PVC clean-out</v>
          </cell>
        </row>
        <row r="411">
          <cell r="D411" t="str">
            <v>4" PVC clean-out</v>
          </cell>
        </row>
        <row r="412">
          <cell r="D412" t="str">
            <v>2" PVC P-Trap</v>
          </cell>
        </row>
        <row r="413">
          <cell r="D413" t="str">
            <v>3"  PVC P-Trap</v>
          </cell>
        </row>
        <row r="414">
          <cell r="D414" t="str">
            <v>4" PVC P-Trap</v>
          </cell>
        </row>
        <row r="415">
          <cell r="D415" t="str">
            <v>2"x3", PVC Reducer</v>
          </cell>
        </row>
        <row r="416">
          <cell r="D416" t="str">
            <v>3"x4", PVC Reducer</v>
          </cell>
        </row>
        <row r="417">
          <cell r="D417" t="str">
            <v>2"x4", PVC Reducer</v>
          </cell>
        </row>
        <row r="418">
          <cell r="D418" t="str">
            <v>4"x2", PVC TEE</v>
          </cell>
        </row>
        <row r="419">
          <cell r="D419" t="str">
            <v>4"x2", PVC  WYE</v>
          </cell>
        </row>
        <row r="420">
          <cell r="D420" t="str">
            <v>3"x4", PVC  WYE</v>
          </cell>
        </row>
        <row r="421">
          <cell r="D421" t="str">
            <v>3"x2", PVC  WYE</v>
          </cell>
        </row>
        <row r="422">
          <cell r="D422" t="str">
            <v>4" PVC Coupling</v>
          </cell>
        </row>
        <row r="423">
          <cell r="D423" t="str">
            <v>3/4" uPVC Elbow</v>
          </cell>
        </row>
        <row r="424">
          <cell r="D424" t="str">
            <v>3/4" uPVC Tee</v>
          </cell>
        </row>
        <row r="425">
          <cell r="D425" t="str">
            <v>3/4" uPVC Coupling</v>
          </cell>
        </row>
        <row r="426">
          <cell r="D426" t="str">
            <v>3" uPVC Coupling</v>
          </cell>
        </row>
        <row r="427">
          <cell r="D427" t="str">
            <v>4" uPVC Coupling</v>
          </cell>
        </row>
        <row r="428">
          <cell r="D428" t="str">
            <v>3/4" uPVC Nipple</v>
          </cell>
        </row>
        <row r="429">
          <cell r="D429" t="str">
            <v>½"x3/4", uPVC Reducer</v>
          </cell>
        </row>
        <row r="430">
          <cell r="D430" t="str">
            <v xml:space="preserve">½" uPVC Water Pipe </v>
          </cell>
        </row>
        <row r="431">
          <cell r="D431" t="str">
            <v xml:space="preserve">3/4" uPVC Water Pipe </v>
          </cell>
        </row>
        <row r="432">
          <cell r="D432" t="str">
            <v xml:space="preserve">4" uPVC Water Pipe </v>
          </cell>
        </row>
        <row r="433">
          <cell r="D433" t="str">
            <v xml:space="preserve">3" uPVC Water Pipe </v>
          </cell>
        </row>
        <row r="435">
          <cell r="D435" t="str">
            <v>( PE PIPES AND FITTINGS )</v>
          </cell>
        </row>
        <row r="437">
          <cell r="D437" t="str">
            <v>PE Pipe, SDR 9  3/8"</v>
          </cell>
        </row>
        <row r="438">
          <cell r="D438" t="str">
            <v>PE Pipe, SDR 9  1/2"</v>
          </cell>
        </row>
        <row r="439">
          <cell r="D439" t="str">
            <v>PE Pipe, SDR 9  3/4"</v>
          </cell>
        </row>
        <row r="440">
          <cell r="D440" t="str">
            <v>PE Pipe, SDR 9  1"</v>
          </cell>
        </row>
        <row r="441">
          <cell r="D441" t="str">
            <v>PE Pipe, SDR 9  1-1/4"</v>
          </cell>
        </row>
        <row r="442">
          <cell r="D442" t="str">
            <v>PE Pipe, SDR 9  1-1/2"</v>
          </cell>
        </row>
        <row r="443">
          <cell r="D443" t="str">
            <v>PE Pipe, SDR 9  2"</v>
          </cell>
        </row>
        <row r="444">
          <cell r="D444" t="str">
            <v>PE Pipe, SDR 9  2-1/2"</v>
          </cell>
        </row>
        <row r="445">
          <cell r="D445" t="str">
            <v>PE Pipe, SDR 9  3"</v>
          </cell>
        </row>
        <row r="446">
          <cell r="D446" t="str">
            <v>PE Pipe, SDR 9  4"</v>
          </cell>
        </row>
        <row r="447">
          <cell r="D447" t="str">
            <v>PE Pipe, SDR 9  6"</v>
          </cell>
        </row>
        <row r="448">
          <cell r="D448" t="str">
            <v>PE Pipe, SDR 11  3/8"</v>
          </cell>
        </row>
        <row r="449">
          <cell r="D449" t="str">
            <v>PE Pipe, SDR 11  1/2"</v>
          </cell>
        </row>
        <row r="450">
          <cell r="D450" t="str">
            <v>PE Pipe, SDR 11  3/4"</v>
          </cell>
        </row>
        <row r="451">
          <cell r="D451" t="str">
            <v>PE Pipe, SDR 11  1"</v>
          </cell>
        </row>
        <row r="452">
          <cell r="D452" t="str">
            <v>PE Pipe, SDR 11  1-1/4"</v>
          </cell>
        </row>
        <row r="453">
          <cell r="D453" t="str">
            <v>PE Pipe, SDR 11  1-1/2"</v>
          </cell>
        </row>
        <row r="454">
          <cell r="D454" t="str">
            <v>PE Pipe, SDR 11  2"</v>
          </cell>
        </row>
        <row r="455">
          <cell r="D455" t="str">
            <v>PE Pipe, SDR 11  2-1/2"</v>
          </cell>
        </row>
        <row r="456">
          <cell r="D456" t="str">
            <v>PE Pipe, SDR 11  3"</v>
          </cell>
        </row>
        <row r="457">
          <cell r="D457" t="str">
            <v>PE Pipe, SDR 11  4"</v>
          </cell>
        </row>
        <row r="458">
          <cell r="D458" t="str">
            <v>PE Pipe, SDR 11  6"</v>
          </cell>
        </row>
        <row r="459">
          <cell r="D459" t="str">
            <v>PE Pipe, SDR 13.5   3/8"</v>
          </cell>
        </row>
        <row r="460">
          <cell r="D460" t="str">
            <v>PE Pipe, SDR 13.5   1/2"</v>
          </cell>
        </row>
        <row r="461">
          <cell r="D461" t="str">
            <v>PE Pipe, SDR 13.5   3/4"</v>
          </cell>
        </row>
        <row r="462">
          <cell r="D462" t="str">
            <v>PE Pipe, SDR 13.5   1"</v>
          </cell>
        </row>
        <row r="463">
          <cell r="D463" t="str">
            <v>PE Pipe, SDR 13.5   1-1/4"</v>
          </cell>
        </row>
        <row r="464">
          <cell r="D464" t="str">
            <v>PE Pipe, SDR 13.5   1-1/2"</v>
          </cell>
        </row>
        <row r="465">
          <cell r="D465" t="str">
            <v>PE Pipe, SDR 13.5   2"</v>
          </cell>
        </row>
        <row r="466">
          <cell r="D466" t="str">
            <v>PE Pipe, SDR 13.5   2-1/2"</v>
          </cell>
        </row>
        <row r="467">
          <cell r="D467" t="str">
            <v>PE Pipe, SDR 13.5   3"</v>
          </cell>
        </row>
        <row r="468">
          <cell r="D468" t="str">
            <v>PE Pipe, SDR 13.5   4"</v>
          </cell>
        </row>
        <row r="469">
          <cell r="D469" t="str">
            <v>PE Pipe, SDR 13.5   6"</v>
          </cell>
        </row>
        <row r="470">
          <cell r="D470" t="str">
            <v>PE Pipe, SDR 17   3/8"</v>
          </cell>
        </row>
        <row r="471">
          <cell r="D471" t="str">
            <v>PE Pipe, SDR 17   1/2"</v>
          </cell>
        </row>
        <row r="472">
          <cell r="D472" t="str">
            <v>PE Pipe, SDR 17   3/4"</v>
          </cell>
        </row>
        <row r="473">
          <cell r="D473" t="str">
            <v>PE Pipe, SDR 17   1"</v>
          </cell>
        </row>
        <row r="474">
          <cell r="D474" t="str">
            <v>PE Pipe, SDR 17   1-1/4"</v>
          </cell>
        </row>
        <row r="475">
          <cell r="D475" t="str">
            <v>PE Pipe, SDR 17   1-1/2"</v>
          </cell>
        </row>
        <row r="476">
          <cell r="D476" t="str">
            <v>PE Pipe, SDR 17   2"</v>
          </cell>
        </row>
        <row r="477">
          <cell r="D477" t="str">
            <v>PE Pipe, SDR 17   2-1/2"</v>
          </cell>
        </row>
        <row r="478">
          <cell r="D478" t="str">
            <v>PE Pipe, SDR 17   3"</v>
          </cell>
        </row>
        <row r="479">
          <cell r="D479" t="str">
            <v>PE Pipe, SDR 17   4"</v>
          </cell>
        </row>
        <row r="480">
          <cell r="D480" t="str">
            <v>PE Pipe, SDR 17   6"</v>
          </cell>
        </row>
        <row r="481">
          <cell r="D481" t="str">
            <v>3/8" PE Pipe Coupling/Connector</v>
          </cell>
        </row>
        <row r="482">
          <cell r="D482" t="str">
            <v>½" PE Pipe Coupling/Connector</v>
          </cell>
        </row>
        <row r="483">
          <cell r="D483" t="str">
            <v>3/4" PE Pipe Coupling/Connector</v>
          </cell>
        </row>
        <row r="484">
          <cell r="D484" t="str">
            <v>1" PE Pipe Coupling/Connector</v>
          </cell>
        </row>
        <row r="485">
          <cell r="D485" t="str">
            <v>1¼" PE Pipe Coupling/Connector</v>
          </cell>
        </row>
        <row r="486">
          <cell r="D486" t="str">
            <v>1½" PE Pipe Coupling/Connector</v>
          </cell>
        </row>
        <row r="487">
          <cell r="D487" t="str">
            <v>2" PE Pipe Coupling/Connector</v>
          </cell>
        </row>
        <row r="488">
          <cell r="D488" t="str">
            <v>2½" PE Pipe Coupling/Connector</v>
          </cell>
        </row>
        <row r="489">
          <cell r="D489" t="str">
            <v>3" PE Pipe Coupling/Connector</v>
          </cell>
        </row>
        <row r="490">
          <cell r="D490" t="str">
            <v>63mm X 2"dia. Male Adaptor, PLASSON</v>
          </cell>
        </row>
        <row r="491">
          <cell r="D491" t="str">
            <v>75mm X 2½"dia. Male Adaptor, PLASSON</v>
          </cell>
        </row>
        <row r="493">
          <cell r="D493" t="str">
            <v>( SANITARY FIXTURES )</v>
          </cell>
        </row>
        <row r="495">
          <cell r="D495" t="str">
            <v>½" Brass Faucet, Plain Bibb</v>
          </cell>
        </row>
        <row r="496">
          <cell r="D496" t="str">
            <v>Water closet (ordinary)</v>
          </cell>
        </row>
        <row r="497">
          <cell r="D497" t="str">
            <v>Water seal bowl (Pail Flush)</v>
          </cell>
        </row>
        <row r="498">
          <cell r="D498" t="str">
            <v>Lavatory, porcelain</v>
          </cell>
        </row>
        <row r="499">
          <cell r="D499" t="str">
            <v>Kitchen sink ( Aluminum)</v>
          </cell>
        </row>
        <row r="500">
          <cell r="D500" t="str">
            <v>Soap Holder (ceramic)</v>
          </cell>
        </row>
        <row r="501">
          <cell r="D501" t="str">
            <v>Paper Holder (ceramic)</v>
          </cell>
        </row>
        <row r="502">
          <cell r="D502" t="str">
            <v>4x4 Floor drain plate</v>
          </cell>
        </row>
        <row r="503">
          <cell r="D503" t="str">
            <v>6x6 Floor drain plate</v>
          </cell>
        </row>
        <row r="504">
          <cell r="D504" t="str">
            <v>1¼" Jetmatic Pump, Heavy Duty</v>
          </cell>
        </row>
        <row r="505">
          <cell r="D505" t="str">
            <v>Sink Strainer</v>
          </cell>
        </row>
        <row r="506">
          <cell r="D506" t="str">
            <v>Dome Type Roof Drain</v>
          </cell>
        </row>
        <row r="507">
          <cell r="D507" t="str">
            <v>Kitchen sink (Stainless)</v>
          </cell>
        </row>
        <row r="509">
          <cell r="D509" t="str">
            <v>( ELECTRICAL WIRES &amp; APURTENANCES )</v>
          </cell>
        </row>
        <row r="511">
          <cell r="D511" t="str">
            <v>#10 AWG TW Wire solid</v>
          </cell>
        </row>
        <row r="512">
          <cell r="D512" t="str">
            <v>#12 AWG TW Wire solid</v>
          </cell>
        </row>
        <row r="513">
          <cell r="D513" t="str">
            <v>#14 AWG TW Wire solid</v>
          </cell>
        </row>
        <row r="514">
          <cell r="D514" t="str">
            <v>#10 AWG TW Wire stranded</v>
          </cell>
        </row>
        <row r="515">
          <cell r="D515" t="str">
            <v>#12 AWG TW Wire stranded</v>
          </cell>
        </row>
        <row r="516">
          <cell r="D516" t="str">
            <v>#14 AWG TW Wire stranded</v>
          </cell>
        </row>
        <row r="517">
          <cell r="D517" t="str">
            <v>#10  PDX Wire</v>
          </cell>
        </row>
        <row r="518">
          <cell r="D518" t="str">
            <v>#12 PDX Wire</v>
          </cell>
        </row>
        <row r="519">
          <cell r="D519" t="str">
            <v>#14 PDX Wire</v>
          </cell>
        </row>
        <row r="520">
          <cell r="D520" t="str">
            <v>3/4" PolyFlex Pipe</v>
          </cell>
        </row>
        <row r="521">
          <cell r="D521" t="str">
            <v>½" Flexible conduit</v>
          </cell>
        </row>
        <row r="522">
          <cell r="D522" t="str">
            <v>1" Flexible conduit</v>
          </cell>
        </row>
        <row r="523">
          <cell r="D523" t="str">
            <v>½" Entrance Cap</v>
          </cell>
        </row>
        <row r="524">
          <cell r="D524" t="str">
            <v>20A Circuit Breakers</v>
          </cell>
        </row>
        <row r="525">
          <cell r="D525" t="str">
            <v>30A Circuit Breakers</v>
          </cell>
        </row>
        <row r="526">
          <cell r="D526" t="str">
            <v>60ACircuit Breakers</v>
          </cell>
        </row>
        <row r="527">
          <cell r="D527" t="str">
            <v>100A Circuit Breakers</v>
          </cell>
        </row>
        <row r="528">
          <cell r="D528" t="str">
            <v>15A Fuse</v>
          </cell>
        </row>
        <row r="529">
          <cell r="D529" t="str">
            <v>20A Fuse</v>
          </cell>
        </row>
        <row r="530">
          <cell r="D530" t="str">
            <v>30A Fuse</v>
          </cell>
        </row>
        <row r="531">
          <cell r="D531" t="str">
            <v>60A Fuse</v>
          </cell>
        </row>
        <row r="532">
          <cell r="D532" t="str">
            <v>30A kWh Meter</v>
          </cell>
        </row>
        <row r="533">
          <cell r="D533" t="str">
            <v>60A kWh Meter</v>
          </cell>
        </row>
        <row r="534">
          <cell r="D534" t="str">
            <v>100A kWh Meter</v>
          </cell>
        </row>
        <row r="535">
          <cell r="D535" t="str">
            <v>2X4, Utility Box</v>
          </cell>
        </row>
        <row r="536">
          <cell r="D536" t="str">
            <v>4X4, Junction Box with cover</v>
          </cell>
        </row>
        <row r="537">
          <cell r="D537" t="str">
            <v>Porcelain Ceiling Outlet</v>
          </cell>
        </row>
        <row r="538">
          <cell r="D538" t="str">
            <v>Duplex convenience outlet (surface type)</v>
          </cell>
        </row>
        <row r="539">
          <cell r="D539" t="str">
            <v>Rubber female plug</v>
          </cell>
        </row>
        <row r="540">
          <cell r="D540" t="str">
            <v>Electrical Tape</v>
          </cell>
        </row>
        <row r="541">
          <cell r="D541" t="str">
            <v>Panel Board, 6-Breakers</v>
          </cell>
        </row>
        <row r="542">
          <cell r="D542" t="str">
            <v>One Gang Switch (flush type)</v>
          </cell>
        </row>
        <row r="543">
          <cell r="D543" t="str">
            <v>Two Gang Swicth (flush type)</v>
          </cell>
        </row>
        <row r="544">
          <cell r="D544" t="str">
            <v>Three Gang Swicth (flush type)</v>
          </cell>
        </row>
        <row r="545">
          <cell r="D545" t="str">
            <v>One Gang Outlet (flush type)</v>
          </cell>
        </row>
        <row r="546">
          <cell r="D546" t="str">
            <v>Two Gang Outlet (flush type)</v>
          </cell>
        </row>
        <row r="547">
          <cell r="D547" t="str">
            <v>Three Gang Outlet (flush type)</v>
          </cell>
        </row>
        <row r="548">
          <cell r="D548" t="str">
            <v>1/2" Metal Conduit Pipe, 3.0m</v>
          </cell>
        </row>
        <row r="549">
          <cell r="D549" t="str">
            <v>Main Switch Box, 2P, Double-Throw</v>
          </cell>
        </row>
        <row r="550">
          <cell r="D550" t="str">
            <v>Porcelain Wire Holder</v>
          </cell>
        </row>
        <row r="552">
          <cell r="D552" t="str">
            <v>( LIGHTS AND LAMPS )</v>
          </cell>
        </row>
        <row r="554">
          <cell r="D554" t="str">
            <v>20W 220 V Flourescent Lamp</v>
          </cell>
        </row>
        <row r="555">
          <cell r="D555" t="str">
            <v>40W 220 V Flourescent Lamp</v>
          </cell>
        </row>
        <row r="556">
          <cell r="D556" t="str">
            <v>10W Incandescent Bulb</v>
          </cell>
        </row>
        <row r="557">
          <cell r="D557" t="str">
            <v>20W Incandescent Bulb</v>
          </cell>
        </row>
        <row r="558">
          <cell r="D558" t="str">
            <v>50W Incandescent Bulb</v>
          </cell>
        </row>
        <row r="559">
          <cell r="D559" t="str">
            <v>100W Incandescent Bulb</v>
          </cell>
        </row>
        <row r="560">
          <cell r="D560" t="str">
            <v>18 W SL 2000 Flourescent Bulb</v>
          </cell>
        </row>
        <row r="562">
          <cell r="D562" t="str">
            <v>( PAINTS &amp; ACCESSORIES )</v>
          </cell>
        </row>
        <row r="564">
          <cell r="D564" t="str">
            <v>Acrylic Latex Paint Flat</v>
          </cell>
        </row>
        <row r="565">
          <cell r="D565" t="str">
            <v>Acrylic Semi-Gloss Paint Latex</v>
          </cell>
        </row>
        <row r="566">
          <cell r="D566" t="str">
            <v>Acrylic Gloss Latex</v>
          </cell>
        </row>
        <row r="567">
          <cell r="D567" t="str">
            <v>Acrylic Clear Gloss Emulsion</v>
          </cell>
        </row>
        <row r="568">
          <cell r="D568" t="str">
            <v>Latex High Gloss Enamel</v>
          </cell>
        </row>
        <row r="569">
          <cell r="D569" t="str">
            <v>Latex Tinting Color (Water-based)</v>
          </cell>
        </row>
        <row r="570">
          <cell r="D570" t="str">
            <v>Quick Drying Enamel</v>
          </cell>
        </row>
        <row r="571">
          <cell r="D571" t="str">
            <v>Interior Semi-Gloss Enamel</v>
          </cell>
        </row>
        <row r="572">
          <cell r="D572" t="str">
            <v>Flat Wall Enamel</v>
          </cell>
        </row>
        <row r="573">
          <cell r="D573" t="str">
            <v>Conc. Primer Sealer</v>
          </cell>
        </row>
        <row r="574">
          <cell r="D574" t="str">
            <v>Interior Primer Sealer</v>
          </cell>
        </row>
        <row r="575">
          <cell r="D575" t="str">
            <v>Exterior Wood Primer</v>
          </cell>
        </row>
        <row r="576">
          <cell r="D576" t="str">
            <v>Prepakote Red Oxide Primer</v>
          </cell>
        </row>
        <row r="577">
          <cell r="D577" t="str">
            <v>Zinc Chromate Primer.</v>
          </cell>
        </row>
        <row r="578">
          <cell r="D578" t="str">
            <v>Red Lead Primer</v>
          </cell>
        </row>
        <row r="579">
          <cell r="D579" t="str">
            <v>Blackboard Paint green</v>
          </cell>
        </row>
        <row r="580">
          <cell r="D580" t="str">
            <v>Portland Roofing Paint</v>
          </cell>
        </row>
        <row r="581">
          <cell r="D581" t="str">
            <v>Galva wash zinc remover</v>
          </cell>
        </row>
        <row r="582">
          <cell r="D582" t="str">
            <v>Sanding Sealer</v>
          </cell>
        </row>
        <row r="583">
          <cell r="D583" t="str">
            <v>Clear Gloss Lacquer</v>
          </cell>
        </row>
        <row r="584">
          <cell r="D584" t="str">
            <v>Paint Thinner</v>
          </cell>
        </row>
        <row r="585">
          <cell r="D585" t="str">
            <v>Concrete Neutralizer</v>
          </cell>
        </row>
        <row r="586">
          <cell r="D586" t="str">
            <v>Coal Tar</v>
          </cell>
        </row>
        <row r="587">
          <cell r="D587" t="str">
            <v>Wood Stain</v>
          </cell>
        </row>
        <row r="588">
          <cell r="D588" t="str">
            <v>Kalsomine powder</v>
          </cell>
        </row>
        <row r="589">
          <cell r="D589" t="str">
            <v>Sanding Paper</v>
          </cell>
        </row>
        <row r="590">
          <cell r="D590" t="str">
            <v>Epoxy Primer, Boysen</v>
          </cell>
        </row>
        <row r="592">
          <cell r="D592" t="str">
            <v>( PRESERVATIVES )</v>
          </cell>
        </row>
        <row r="594">
          <cell r="D594" t="str">
            <v>Wood preservative</v>
          </cell>
        </row>
        <row r="596">
          <cell r="D596" t="str">
            <v>( TILES )</v>
          </cell>
        </row>
        <row r="598">
          <cell r="D598" t="str">
            <v>Unglazed Tiles  4-1/4" x 4-1/4"</v>
          </cell>
        </row>
        <row r="599">
          <cell r="D599" t="str">
            <v>Glazed Tile (Plain Color)  4-1/4" x 4-1/4"</v>
          </cell>
        </row>
        <row r="600">
          <cell r="D600" t="str">
            <v>Mosaic Floor Tiles  12 x 12</v>
          </cell>
        </row>
        <row r="601">
          <cell r="D601" t="str">
            <v>Glazed Tiles  4" x 4"</v>
          </cell>
        </row>
        <row r="602">
          <cell r="D602" t="str">
            <v>Vitirified Tiles  4" x 8"</v>
          </cell>
        </row>
        <row r="603">
          <cell r="D603" t="str">
            <v>Floor Tiles (Plain Color)  8" x 8"</v>
          </cell>
        </row>
        <row r="604">
          <cell r="D604" t="str">
            <v>Glazed Tiles (Plain Color)  8" x 8"</v>
          </cell>
        </row>
        <row r="605">
          <cell r="D605" t="str">
            <v>Vinyl Tiles  8" x 8"</v>
          </cell>
        </row>
        <row r="606">
          <cell r="D606" t="str">
            <v>Capping</v>
          </cell>
        </row>
        <row r="607">
          <cell r="D607" t="str">
            <v>Internal Bead  4"</v>
          </cell>
        </row>
        <row r="608">
          <cell r="D608" t="str">
            <v xml:space="preserve">External Bead  4" </v>
          </cell>
        </row>
        <row r="609">
          <cell r="D609" t="str">
            <v>Internal Corner bead</v>
          </cell>
        </row>
        <row r="610">
          <cell r="D610" t="str">
            <v>External Corner bead</v>
          </cell>
        </row>
        <row r="611">
          <cell r="D611" t="str">
            <v>Unglazed Tiles  4" x 4"</v>
          </cell>
        </row>
        <row r="613">
          <cell r="D613" t="str">
            <v>( INSTRUMENTS )</v>
          </cell>
        </row>
        <row r="615">
          <cell r="D615" t="str">
            <v>Weighing Scale w Ht Measurement (Adult)</v>
          </cell>
        </row>
        <row r="616">
          <cell r="D616" t="str">
            <v>Weighing Scale (Newborn)</v>
          </cell>
        </row>
        <row r="617">
          <cell r="D617" t="str">
            <v>Stethoscope</v>
          </cell>
        </row>
        <row r="618">
          <cell r="D618" t="str">
            <v>Medical Trolley w/glass container</v>
          </cell>
        </row>
        <row r="619">
          <cell r="D619" t="str">
            <v>Sphygmomanometer (Mercury)</v>
          </cell>
        </row>
        <row r="620">
          <cell r="D620" t="str">
            <v>Thermometer</v>
          </cell>
        </row>
        <row r="621">
          <cell r="D621" t="str">
            <v>Scissors (Surgical)</v>
          </cell>
        </row>
        <row r="622">
          <cell r="D622" t="str">
            <v>Scissors (Bandage)</v>
          </cell>
        </row>
        <row r="623">
          <cell r="D623" t="str">
            <v>Forceps (Curve)</v>
          </cell>
        </row>
        <row r="624">
          <cell r="D624" t="str">
            <v>Forceps (Straight)</v>
          </cell>
        </row>
        <row r="625">
          <cell r="D625" t="str">
            <v>Kidney Basin (Stainless)</v>
          </cell>
        </row>
        <row r="626">
          <cell r="D626" t="str">
            <v>Bed Pan (Metal)</v>
          </cell>
        </row>
        <row r="627">
          <cell r="D627" t="str">
            <v>Male Urinal</v>
          </cell>
        </row>
        <row r="628">
          <cell r="D628" t="str">
            <v>O.B. Bed with Stirrups</v>
          </cell>
        </row>
        <row r="629">
          <cell r="D629" t="str">
            <v>Hot Water Bag</v>
          </cell>
        </row>
        <row r="631">
          <cell r="D631" t="str">
            <v>( FURNITURES )</v>
          </cell>
        </row>
        <row r="632">
          <cell r="D632" t="str">
            <v>Monoblock Student Chair</v>
          </cell>
        </row>
        <row r="633">
          <cell r="D633" t="str">
            <v>Monoblock Chair</v>
          </cell>
        </row>
        <row r="634">
          <cell r="D634" t="str">
            <v>Standard Office Table, Wood (SZOPAD Standard)</v>
          </cell>
        </row>
        <row r="635">
          <cell r="D635" t="str">
            <v>Blackboard</v>
          </cell>
        </row>
        <row r="636">
          <cell r="D636" t="str">
            <v>Kitchen Table, Wood (SZOPAD Standard)</v>
          </cell>
        </row>
        <row r="637">
          <cell r="D637" t="str">
            <v>Monoblock Bench (2-seater)</v>
          </cell>
        </row>
        <row r="639">
          <cell r="D639" t="str">
            <v>( MOORING &amp; FENDERS )</v>
          </cell>
        </row>
        <row r="640">
          <cell r="D640" t="str">
            <v>Mooring Bollard 25T</v>
          </cell>
        </row>
        <row r="641">
          <cell r="D641" t="str">
            <v>Mooring Bollard 15T</v>
          </cell>
        </row>
        <row r="642">
          <cell r="D642" t="str">
            <v>Mooring Bitt 10T</v>
          </cell>
        </row>
        <row r="643">
          <cell r="D643" t="str">
            <v>Mooring Cleat 5T</v>
          </cell>
        </row>
        <row r="644">
          <cell r="D644" t="str">
            <v>V-Type Rubber Fender (200x1500)</v>
          </cell>
        </row>
        <row r="645">
          <cell r="D645" t="str">
            <v>V-Type Rubber Fender (300x1500)</v>
          </cell>
        </row>
        <row r="646">
          <cell r="D646" t="str">
            <v>Used Tires (800mmØ)</v>
          </cell>
        </row>
        <row r="648">
          <cell r="D648" t="str">
            <v>( LUBRICANT AND OIL )</v>
          </cell>
        </row>
        <row r="649">
          <cell r="D649" t="str">
            <v>Used Oil</v>
          </cell>
        </row>
        <row r="650">
          <cell r="D650" t="str">
            <v>Oil, No. 110</v>
          </cell>
        </row>
        <row r="651">
          <cell r="D651" t="str">
            <v>Gasoline, Regular</v>
          </cell>
        </row>
        <row r="653">
          <cell r="D653" t="str">
            <v>( JUNKS &amp; JOB ORDER )</v>
          </cell>
        </row>
        <row r="654">
          <cell r="D654" t="str">
            <v>Tension Rod</v>
          </cell>
        </row>
        <row r="655">
          <cell r="D655" t="str">
            <v>Steel Plate Cover 0.65 X 0.65 m</v>
          </cell>
        </row>
        <row r="656">
          <cell r="D656" t="str">
            <v>Window Grill, Steel</v>
          </cell>
        </row>
        <row r="657">
          <cell r="D657" t="str">
            <v xml:space="preserve">Shop-made Door Lock, 5/8" Plain Bar </v>
          </cell>
        </row>
        <row r="658">
          <cell r="D658" t="str">
            <v>Fabricated Clamp, 5mm thk x 3"</v>
          </cell>
        </row>
        <row r="659">
          <cell r="D659" t="str">
            <v>Used Tires</v>
          </cell>
        </row>
        <row r="660">
          <cell r="D660" t="str">
            <v>2.0m X 2.40m  GI Vertical Roll-Up Door</v>
          </cell>
        </row>
        <row r="661">
          <cell r="D661" t="str">
            <v>30"  Spherical Roof Vent, Turbine Type</v>
          </cell>
        </row>
        <row r="663">
          <cell r="D663" t="str">
            <v>( LIQUIFIED AND PRESSURE GASES )</v>
          </cell>
        </row>
        <row r="664">
          <cell r="D664" t="str">
            <v>Oxygen</v>
          </cell>
        </row>
        <row r="665">
          <cell r="D665" t="str">
            <v>Acetylene</v>
          </cell>
        </row>
        <row r="666">
          <cell r="D666" t="str">
            <v>Acetylene</v>
          </cell>
        </row>
      </sheetData>
      <sheetData sheetId="3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List"/>
    </sheetNames>
    <sheetDataSet>
      <sheetData sheetId="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A"/>
      <sheetName val="list B"/>
      <sheetName val="Source"/>
      <sheetName val="summary"/>
      <sheetName val="FRONT PAGE"/>
      <sheetName val="ABC"/>
      <sheetName val="tma ups"/>
      <sheetName val="2ND PAGE"/>
      <sheetName val="104(1)"/>
      <sheetName val="104(2)"/>
      <sheetName val="404 ups"/>
      <sheetName val="405 ups"/>
      <sheetName val="505(5)"/>
      <sheetName val="506"/>
      <sheetName val="102(2) ups"/>
      <sheetName val="tma cement"/>
      <sheetName val="507 ups"/>
      <sheetName val="509 ups"/>
      <sheetName val="boulders ups"/>
      <sheetName val="desilting"/>
      <sheetName val="tma desilting"/>
      <sheetName val="mob.&amp; dem."/>
      <sheetName val="traffic control"/>
      <sheetName val="safety 2"/>
      <sheetName val="BILLBOARD2"/>
      <sheetName val="TEMFACIL"/>
      <sheetName val="CAMPHOUSE 6 X6"/>
      <sheetName val="BAC"/>
      <sheetName val="tma FC"/>
      <sheetName val="TMA 1"/>
      <sheetName val="bare month equip"/>
      <sheetName val="bar chart"/>
      <sheetName val="working days"/>
      <sheetName val="Sheet3"/>
      <sheetName val="Sheet1"/>
      <sheetName val="AutoList"/>
    </sheetNames>
    <sheetDataSet>
      <sheetData sheetId="0" refreshError="1"/>
      <sheetData sheetId="1" refreshError="1"/>
      <sheetData sheetId="2" refreshError="1">
        <row r="6">
          <cell r="G6">
            <v>675</v>
          </cell>
        </row>
        <row r="14">
          <cell r="G14">
            <v>3985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Transport"/>
      <sheetName val="CCenter"/>
      <sheetName val="Project List"/>
      <sheetName val="Extracted Information"/>
      <sheetName val="Data"/>
      <sheetName val="Numbers"/>
      <sheetName val="Materials"/>
      <sheetName val="Manpower"/>
      <sheetName val="Equipment"/>
      <sheetName val="Scope of Works"/>
      <sheetName val="Others"/>
      <sheetName val="Auto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D10" t="str">
            <v>1.1.6 )</v>
          </cell>
        </row>
        <row r="11">
          <cell r="D11" t="str">
            <v>1.1.7 )</v>
          </cell>
        </row>
        <row r="12">
          <cell r="D12" t="str">
            <v>1.1.8 )</v>
          </cell>
        </row>
        <row r="13">
          <cell r="D13" t="str">
            <v>1.1.9 )</v>
          </cell>
        </row>
        <row r="14">
          <cell r="D14" t="str">
            <v>1.1.10 )</v>
          </cell>
        </row>
        <row r="15">
          <cell r="D15" t="str">
            <v>1.1.11 )</v>
          </cell>
        </row>
        <row r="16">
          <cell r="D16" t="str">
            <v>1.1.12 )</v>
          </cell>
        </row>
        <row r="17">
          <cell r="D17" t="str">
            <v>1.1.13 )</v>
          </cell>
        </row>
        <row r="18">
          <cell r="D18" t="str">
            <v>1.1.14 )</v>
          </cell>
        </row>
        <row r="19">
          <cell r="D19" t="str">
            <v>1.1.15 )</v>
          </cell>
        </row>
        <row r="20">
          <cell r="D20" t="str">
            <v>1.1.16 )</v>
          </cell>
        </row>
        <row r="21">
          <cell r="D21" t="str">
            <v>1.1.17 )</v>
          </cell>
        </row>
        <row r="22">
          <cell r="D22" t="str">
            <v>1.1.18 )</v>
          </cell>
        </row>
        <row r="23">
          <cell r="D23" t="str">
            <v>1.1.19 )</v>
          </cell>
        </row>
        <row r="24">
          <cell r="D24" t="str">
            <v>1.1.20 )</v>
          </cell>
        </row>
        <row r="25">
          <cell r="D25" t="str">
            <v>1.2.0 )</v>
          </cell>
        </row>
        <row r="26">
          <cell r="D26" t="str">
            <v>1.2.1 )</v>
          </cell>
        </row>
        <row r="27">
          <cell r="D27" t="str">
            <v>1.2.2 )</v>
          </cell>
        </row>
        <row r="28">
          <cell r="D28" t="str">
            <v>1.2.3 )</v>
          </cell>
        </row>
        <row r="29">
          <cell r="D29" t="str">
            <v>1.2.4 )</v>
          </cell>
        </row>
        <row r="30">
          <cell r="D30" t="str">
            <v>1.2.5 )</v>
          </cell>
        </row>
        <row r="31">
          <cell r="D31" t="str">
            <v>1.2.6 )</v>
          </cell>
        </row>
        <row r="32">
          <cell r="D32" t="str">
            <v>1.2.7 )</v>
          </cell>
        </row>
        <row r="33">
          <cell r="D33" t="str">
            <v>1.2.8 )</v>
          </cell>
        </row>
        <row r="34">
          <cell r="D34" t="str">
            <v>1.2.9 )</v>
          </cell>
        </row>
        <row r="35">
          <cell r="D35" t="str">
            <v>1.2.10 )</v>
          </cell>
        </row>
        <row r="36">
          <cell r="D36" t="str">
            <v>1.2.11 )</v>
          </cell>
        </row>
        <row r="37">
          <cell r="D37" t="str">
            <v>1.2.12 )</v>
          </cell>
        </row>
        <row r="38">
          <cell r="D38" t="str">
            <v>1.2.13 )</v>
          </cell>
        </row>
        <row r="39">
          <cell r="D39" t="str">
            <v>1.2.14 )</v>
          </cell>
        </row>
        <row r="40">
          <cell r="D40" t="str">
            <v>1.2.15 )</v>
          </cell>
        </row>
        <row r="41">
          <cell r="D41" t="str">
            <v>1.2.16 )</v>
          </cell>
        </row>
        <row r="42">
          <cell r="D42" t="str">
            <v>1.2.17 )</v>
          </cell>
        </row>
        <row r="43">
          <cell r="D43" t="str">
            <v>1.2.18 )</v>
          </cell>
        </row>
        <row r="44">
          <cell r="D44" t="str">
            <v>1.2.19 )</v>
          </cell>
        </row>
        <row r="45">
          <cell r="D45" t="str">
            <v>1.2.20 )</v>
          </cell>
        </row>
        <row r="46">
          <cell r="D46" t="str">
            <v>1.3.0 )</v>
          </cell>
        </row>
        <row r="47">
          <cell r="D47" t="str">
            <v>1.3.1 )</v>
          </cell>
        </row>
        <row r="48">
          <cell r="D48" t="str">
            <v>1.3.2 )</v>
          </cell>
        </row>
        <row r="49">
          <cell r="D49" t="str">
            <v>1.3.3 )</v>
          </cell>
        </row>
        <row r="50">
          <cell r="D50" t="str">
            <v>1.3.4 )</v>
          </cell>
        </row>
        <row r="51">
          <cell r="D51" t="str">
            <v>1.3.5 )</v>
          </cell>
        </row>
        <row r="52">
          <cell r="D52" t="str">
            <v>1.3.6 )</v>
          </cell>
        </row>
        <row r="53">
          <cell r="D53" t="str">
            <v>1.3.7 )</v>
          </cell>
        </row>
        <row r="54">
          <cell r="D54" t="str">
            <v>1.3.8 )</v>
          </cell>
        </row>
        <row r="55">
          <cell r="D55" t="str">
            <v>1.3.9 )</v>
          </cell>
        </row>
        <row r="56">
          <cell r="D56" t="str">
            <v>1.3.10 )</v>
          </cell>
        </row>
        <row r="57">
          <cell r="D57" t="str">
            <v>1.3.11 )</v>
          </cell>
        </row>
        <row r="58">
          <cell r="D58" t="str">
            <v>1.3.12 )</v>
          </cell>
        </row>
        <row r="59">
          <cell r="D59" t="str">
            <v>1.3.13 )</v>
          </cell>
        </row>
        <row r="60">
          <cell r="D60" t="str">
            <v>1.3.14 )</v>
          </cell>
        </row>
        <row r="61">
          <cell r="D61" t="str">
            <v>1.3.15 )</v>
          </cell>
        </row>
        <row r="62">
          <cell r="D62" t="str">
            <v>1.3.16 )</v>
          </cell>
        </row>
        <row r="63">
          <cell r="D63" t="str">
            <v>1.3.17 )</v>
          </cell>
        </row>
        <row r="64">
          <cell r="D64" t="str">
            <v>1.3.18 )</v>
          </cell>
        </row>
        <row r="65">
          <cell r="D65" t="str">
            <v>1.3.19 )</v>
          </cell>
        </row>
        <row r="66">
          <cell r="D66" t="str">
            <v>1.3.20 )</v>
          </cell>
        </row>
        <row r="67">
          <cell r="D67" t="str">
            <v>1.4.0 )</v>
          </cell>
        </row>
        <row r="68">
          <cell r="D68" t="str">
            <v>1.4.1 )</v>
          </cell>
        </row>
        <row r="69">
          <cell r="D69" t="str">
            <v>1.4.2 )</v>
          </cell>
        </row>
        <row r="70">
          <cell r="D70" t="str">
            <v>1.4.3 )</v>
          </cell>
        </row>
        <row r="71">
          <cell r="D71" t="str">
            <v>1.4.4 )</v>
          </cell>
        </row>
        <row r="72">
          <cell r="D72" t="str">
            <v>1.4.5 )</v>
          </cell>
        </row>
        <row r="73">
          <cell r="D73" t="str">
            <v>1.4.6 )</v>
          </cell>
        </row>
        <row r="74">
          <cell r="D74" t="str">
            <v>1.4.7 )</v>
          </cell>
        </row>
        <row r="75">
          <cell r="D75" t="str">
            <v>1.4.8 )</v>
          </cell>
        </row>
        <row r="76">
          <cell r="D76" t="str">
            <v>1.4.9 )</v>
          </cell>
        </row>
        <row r="77">
          <cell r="D77" t="str">
            <v>1.4.10 )</v>
          </cell>
        </row>
        <row r="78">
          <cell r="D78" t="str">
            <v>1.4.11 )</v>
          </cell>
        </row>
        <row r="79">
          <cell r="D79" t="str">
            <v>1.4.12 )</v>
          </cell>
        </row>
        <row r="80">
          <cell r="D80" t="str">
            <v>1.4.13 )</v>
          </cell>
        </row>
        <row r="81">
          <cell r="D81" t="str">
            <v>1.4.14 )</v>
          </cell>
        </row>
        <row r="82">
          <cell r="D82" t="str">
            <v>1.4.15 )</v>
          </cell>
        </row>
        <row r="83">
          <cell r="D83" t="str">
            <v>1.4.16 )</v>
          </cell>
        </row>
        <row r="84">
          <cell r="D84" t="str">
            <v>1.4.17 )</v>
          </cell>
        </row>
        <row r="85">
          <cell r="D85" t="str">
            <v>1.4.18 )</v>
          </cell>
        </row>
        <row r="86">
          <cell r="D86" t="str">
            <v>1.4.19 )</v>
          </cell>
        </row>
        <row r="87">
          <cell r="D87" t="str">
            <v>1.4.20 )</v>
          </cell>
        </row>
        <row r="88">
          <cell r="D88" t="str">
            <v>1.5.0 )</v>
          </cell>
        </row>
        <row r="89">
          <cell r="D89" t="str">
            <v>1.5.1 )</v>
          </cell>
        </row>
        <row r="90">
          <cell r="D90" t="str">
            <v>1.5.2 )</v>
          </cell>
        </row>
        <row r="91">
          <cell r="D91" t="str">
            <v>1.5.3 )</v>
          </cell>
        </row>
        <row r="92">
          <cell r="D92" t="str">
            <v>1.5.4 )</v>
          </cell>
        </row>
        <row r="93">
          <cell r="D93" t="str">
            <v>1.5.5 )</v>
          </cell>
        </row>
        <row r="94">
          <cell r="D94" t="str">
            <v>1.5.6 )</v>
          </cell>
        </row>
        <row r="95">
          <cell r="D95" t="str">
            <v>1.5.7 )</v>
          </cell>
        </row>
        <row r="96">
          <cell r="D96" t="str">
            <v>1.5.8 )</v>
          </cell>
        </row>
        <row r="97">
          <cell r="D97" t="str">
            <v>1.5.9 )</v>
          </cell>
        </row>
        <row r="98">
          <cell r="D98" t="str">
            <v>1.5.10 )</v>
          </cell>
        </row>
        <row r="99">
          <cell r="D99" t="str">
            <v>1.5.11 )</v>
          </cell>
        </row>
        <row r="100">
          <cell r="D100" t="str">
            <v>1.5.12 )</v>
          </cell>
        </row>
        <row r="101">
          <cell r="D101" t="str">
            <v>1.5.13 )</v>
          </cell>
        </row>
        <row r="102">
          <cell r="D102" t="str">
            <v>1.5.14 )</v>
          </cell>
        </row>
        <row r="103">
          <cell r="D103" t="str">
            <v>1.5.15 )</v>
          </cell>
        </row>
        <row r="104">
          <cell r="D104" t="str">
            <v>1.5.16 )</v>
          </cell>
        </row>
        <row r="105">
          <cell r="D105" t="str">
            <v>1.5.17 )</v>
          </cell>
        </row>
        <row r="106">
          <cell r="D106" t="str">
            <v>1.5.18 )</v>
          </cell>
        </row>
        <row r="107">
          <cell r="D107" t="str">
            <v>1.5.19 )</v>
          </cell>
        </row>
        <row r="108">
          <cell r="D108" t="str">
            <v>1.5.20 )</v>
          </cell>
        </row>
        <row r="109">
          <cell r="D109" t="str">
            <v>1.6.0 )</v>
          </cell>
        </row>
        <row r="110">
          <cell r="D110" t="str">
            <v>1.6.1 )</v>
          </cell>
        </row>
        <row r="111">
          <cell r="D111" t="str">
            <v>1.6.2 )</v>
          </cell>
        </row>
        <row r="112">
          <cell r="D112" t="str">
            <v>1.6.3 )</v>
          </cell>
        </row>
        <row r="113">
          <cell r="D113" t="str">
            <v>1.6.4 )</v>
          </cell>
        </row>
        <row r="114">
          <cell r="D114" t="str">
            <v>1.6.5 )</v>
          </cell>
        </row>
        <row r="115">
          <cell r="D115" t="str">
            <v>1.6.6 )</v>
          </cell>
        </row>
        <row r="116">
          <cell r="D116" t="str">
            <v>1.6.7 )</v>
          </cell>
        </row>
        <row r="117">
          <cell r="D117" t="str">
            <v>1.6.8 )</v>
          </cell>
        </row>
        <row r="118">
          <cell r="D118" t="str">
            <v>1.6.9 )</v>
          </cell>
        </row>
        <row r="119">
          <cell r="D119" t="str">
            <v>1.6.10 )</v>
          </cell>
        </row>
        <row r="120">
          <cell r="D120" t="str">
            <v>1.6.11 )</v>
          </cell>
        </row>
        <row r="121">
          <cell r="D121" t="str">
            <v>1.6.12 )</v>
          </cell>
        </row>
        <row r="122">
          <cell r="D122" t="str">
            <v>1.6.13 )</v>
          </cell>
        </row>
        <row r="123">
          <cell r="D123" t="str">
            <v>1.6.14 )</v>
          </cell>
        </row>
        <row r="124">
          <cell r="D124" t="str">
            <v>1.6.15 )</v>
          </cell>
        </row>
        <row r="125">
          <cell r="D125" t="str">
            <v>1.6.16 )</v>
          </cell>
        </row>
        <row r="126">
          <cell r="D126" t="str">
            <v>1.6.17 )</v>
          </cell>
        </row>
        <row r="127">
          <cell r="D127" t="str">
            <v>1.6.18 )</v>
          </cell>
        </row>
        <row r="128">
          <cell r="D128" t="str">
            <v>1.6.19 )</v>
          </cell>
        </row>
        <row r="129">
          <cell r="D129" t="str">
            <v>1.6.20 )</v>
          </cell>
        </row>
        <row r="130">
          <cell r="D130" t="str">
            <v>1.7.0 )</v>
          </cell>
        </row>
        <row r="131">
          <cell r="D131" t="str">
            <v>1.7.1 )</v>
          </cell>
        </row>
        <row r="132">
          <cell r="D132" t="str">
            <v>1.7.2 )</v>
          </cell>
        </row>
        <row r="133">
          <cell r="D133" t="str">
            <v>1.7.3 )</v>
          </cell>
        </row>
        <row r="134">
          <cell r="D134" t="str">
            <v>1.7.4 )</v>
          </cell>
        </row>
        <row r="135">
          <cell r="D135" t="str">
            <v>1.7.5 )</v>
          </cell>
        </row>
        <row r="136">
          <cell r="D136" t="str">
            <v>1.7.6 )</v>
          </cell>
        </row>
        <row r="137">
          <cell r="D137" t="str">
            <v>1.7.7 )</v>
          </cell>
        </row>
        <row r="138">
          <cell r="D138" t="str">
            <v>1.7.8 )</v>
          </cell>
        </row>
        <row r="139">
          <cell r="D139" t="str">
            <v>1.7.9 )</v>
          </cell>
        </row>
        <row r="140">
          <cell r="D140" t="str">
            <v>1.7.10 )</v>
          </cell>
        </row>
        <row r="141">
          <cell r="D141" t="str">
            <v>1.7.11 )</v>
          </cell>
        </row>
        <row r="142">
          <cell r="D142" t="str">
            <v>1.7.12 )</v>
          </cell>
        </row>
        <row r="143">
          <cell r="D143" t="str">
            <v>1.7.13 )</v>
          </cell>
        </row>
        <row r="144">
          <cell r="D144" t="str">
            <v>1.7.14 )</v>
          </cell>
        </row>
        <row r="145">
          <cell r="D145" t="str">
            <v>1.7.15 )</v>
          </cell>
        </row>
        <row r="146">
          <cell r="D146" t="str">
            <v>1.7.16 )</v>
          </cell>
        </row>
        <row r="147">
          <cell r="D147" t="str">
            <v>1.7.17 )</v>
          </cell>
        </row>
        <row r="148">
          <cell r="D148" t="str">
            <v>1.7.18 )</v>
          </cell>
        </row>
        <row r="149">
          <cell r="D149" t="str">
            <v>1.7.19 )</v>
          </cell>
        </row>
        <row r="150">
          <cell r="D150" t="str">
            <v>1.7.20 )</v>
          </cell>
        </row>
        <row r="151">
          <cell r="D151" t="str">
            <v>1.8.0 )</v>
          </cell>
        </row>
        <row r="152">
          <cell r="D152" t="str">
            <v>1.8.1 )</v>
          </cell>
        </row>
        <row r="153">
          <cell r="D153" t="str">
            <v>1.8.2 )</v>
          </cell>
        </row>
        <row r="154">
          <cell r="D154" t="str">
            <v>1.8.3 )</v>
          </cell>
        </row>
        <row r="155">
          <cell r="D155" t="str">
            <v>1.8.4 )</v>
          </cell>
        </row>
        <row r="156">
          <cell r="D156" t="str">
            <v>1.8.5 )</v>
          </cell>
        </row>
        <row r="157">
          <cell r="D157" t="str">
            <v>1.8.6 )</v>
          </cell>
        </row>
        <row r="158">
          <cell r="D158" t="str">
            <v>1.8.7 )</v>
          </cell>
        </row>
        <row r="159">
          <cell r="D159" t="str">
            <v>1.8.8 )</v>
          </cell>
        </row>
        <row r="160">
          <cell r="D160" t="str">
            <v>1.8.9 )</v>
          </cell>
        </row>
        <row r="161">
          <cell r="D161" t="str">
            <v>1.8.10 )</v>
          </cell>
        </row>
        <row r="162">
          <cell r="D162" t="str">
            <v>1.8.11 )</v>
          </cell>
        </row>
        <row r="163">
          <cell r="D163" t="str">
            <v>1.8.12 )</v>
          </cell>
        </row>
        <row r="164">
          <cell r="D164" t="str">
            <v>1.8.13 )</v>
          </cell>
        </row>
        <row r="165">
          <cell r="D165" t="str">
            <v>1.8.14 )</v>
          </cell>
        </row>
        <row r="166">
          <cell r="D166" t="str">
            <v>1.8.15 )</v>
          </cell>
        </row>
        <row r="167">
          <cell r="D167" t="str">
            <v>1.8.16 )</v>
          </cell>
        </row>
        <row r="168">
          <cell r="D168" t="str">
            <v>1.8.17 )</v>
          </cell>
        </row>
        <row r="169">
          <cell r="D169" t="str">
            <v>1.8.18 )</v>
          </cell>
        </row>
        <row r="170">
          <cell r="D170" t="str">
            <v>1.8.19 )</v>
          </cell>
        </row>
        <row r="171">
          <cell r="D171" t="str">
            <v>1.8.20 )</v>
          </cell>
        </row>
        <row r="172">
          <cell r="D172" t="str">
            <v>1.9.0 )</v>
          </cell>
        </row>
        <row r="173">
          <cell r="D173" t="str">
            <v>1.9.1 )</v>
          </cell>
        </row>
        <row r="174">
          <cell r="D174" t="str">
            <v>1.9.2 )</v>
          </cell>
        </row>
        <row r="175">
          <cell r="D175" t="str">
            <v>1.9.3 )</v>
          </cell>
        </row>
        <row r="176">
          <cell r="D176" t="str">
            <v>1.9.4 )</v>
          </cell>
        </row>
        <row r="177">
          <cell r="D177" t="str">
            <v>1.9.5 )</v>
          </cell>
        </row>
        <row r="178">
          <cell r="D178" t="str">
            <v>1.9.6 )</v>
          </cell>
        </row>
        <row r="179">
          <cell r="D179" t="str">
            <v>1.9.7 )</v>
          </cell>
        </row>
        <row r="180">
          <cell r="D180" t="str">
            <v>1.9.8 )</v>
          </cell>
        </row>
        <row r="181">
          <cell r="D181" t="str">
            <v>1.9.9 )</v>
          </cell>
        </row>
        <row r="182">
          <cell r="D182" t="str">
            <v>1.9.10 )</v>
          </cell>
        </row>
        <row r="183">
          <cell r="D183" t="str">
            <v>1.9.11 )</v>
          </cell>
        </row>
        <row r="184">
          <cell r="D184" t="str">
            <v>1.9.12 )</v>
          </cell>
        </row>
        <row r="185">
          <cell r="D185" t="str">
            <v>1.9.13 )</v>
          </cell>
        </row>
        <row r="186">
          <cell r="D186" t="str">
            <v>1.9.14 )</v>
          </cell>
        </row>
        <row r="187">
          <cell r="D187" t="str">
            <v>1.9.15 )</v>
          </cell>
        </row>
        <row r="188">
          <cell r="D188" t="str">
            <v>1.9.16 )</v>
          </cell>
        </row>
        <row r="189">
          <cell r="D189" t="str">
            <v>1.9.17 )</v>
          </cell>
        </row>
        <row r="190">
          <cell r="D190" t="str">
            <v>1.9.18 )</v>
          </cell>
        </row>
        <row r="191">
          <cell r="D191" t="str">
            <v>1.9.19 )</v>
          </cell>
        </row>
        <row r="192">
          <cell r="D192" t="str">
            <v>1.9.20 )</v>
          </cell>
        </row>
        <row r="193">
          <cell r="D193" t="str">
            <v>1.10.0 )</v>
          </cell>
        </row>
        <row r="194">
          <cell r="D194" t="str">
            <v>1.10.1 )</v>
          </cell>
        </row>
        <row r="195">
          <cell r="D195" t="str">
            <v>1.10.2 )</v>
          </cell>
        </row>
        <row r="196">
          <cell r="D196" t="str">
            <v>1.10.3 )</v>
          </cell>
        </row>
        <row r="197">
          <cell r="D197" t="str">
            <v>1.10.4 )</v>
          </cell>
        </row>
        <row r="198">
          <cell r="D198" t="str">
            <v>1.10.5 )</v>
          </cell>
        </row>
        <row r="199">
          <cell r="D199" t="str">
            <v>1.10.6 )</v>
          </cell>
        </row>
        <row r="200">
          <cell r="D200" t="str">
            <v>1.10.7 )</v>
          </cell>
        </row>
        <row r="201">
          <cell r="D201" t="str">
            <v>1.10.8 )</v>
          </cell>
        </row>
        <row r="202">
          <cell r="D202" t="str">
            <v>1.10.9 )</v>
          </cell>
        </row>
        <row r="203">
          <cell r="D203" t="str">
            <v>1.10.10 )</v>
          </cell>
        </row>
        <row r="204">
          <cell r="D204" t="str">
            <v>1.10.11 )</v>
          </cell>
        </row>
        <row r="205">
          <cell r="D205" t="str">
            <v>1.10.12 )</v>
          </cell>
        </row>
        <row r="206">
          <cell r="D206" t="str">
            <v>1.10.13 )</v>
          </cell>
        </row>
        <row r="207">
          <cell r="D207" t="str">
            <v>1.10.14 )</v>
          </cell>
        </row>
        <row r="208">
          <cell r="D208" t="str">
            <v>1.10.15 )</v>
          </cell>
        </row>
        <row r="209">
          <cell r="D209" t="str">
            <v>1.10.16 )</v>
          </cell>
        </row>
        <row r="210">
          <cell r="D210" t="str">
            <v>1.10.17 )</v>
          </cell>
        </row>
        <row r="211">
          <cell r="D211" t="str">
            <v>1.10.18 )</v>
          </cell>
        </row>
        <row r="212">
          <cell r="D212" t="str">
            <v>1.10.19 )</v>
          </cell>
        </row>
        <row r="213">
          <cell r="D213" t="str">
            <v>1.10.20 )</v>
          </cell>
        </row>
        <row r="214">
          <cell r="D214" t="str">
            <v>1.11.0 )</v>
          </cell>
        </row>
        <row r="215">
          <cell r="D215" t="str">
            <v>1.11.1 )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BA_UsageExample"/>
      <sheetName val="VBA_Wrapper"/>
      <sheetName val="VBA_32bit"/>
      <sheetName val="VBA_16bit"/>
      <sheetName val="Menu"/>
      <sheetName val="CCenter"/>
      <sheetName val="Update"/>
      <sheetName val="Materials"/>
      <sheetName val="Manpower"/>
      <sheetName val="Transport"/>
      <sheetName val="Equipment"/>
      <sheetName val="Transport Result"/>
      <sheetName val="Aggregates"/>
      <sheetName val="Scope of Works"/>
      <sheetName val="Project List"/>
      <sheetName val="Rod"/>
      <sheetName val="Andrew"/>
      <sheetName val="Bebot"/>
      <sheetName val="Anna"/>
      <sheetName val="Elmer"/>
      <sheetName val="Ruben"/>
      <sheetName val="Rod (7)"/>
      <sheetName val="Rod (8)"/>
      <sheetName val="Sheet1"/>
      <sheetName val="Auto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8">
          <cell r="D8" t="str">
            <v>Cotabato City - January 06, 2006</v>
          </cell>
        </row>
        <row r="9">
          <cell r="D9" t="str">
            <v>Cotabato City</v>
          </cell>
        </row>
        <row r="12">
          <cell r="D12" t="str">
            <v>Brgy. Poblacion, Paglat, Maguindanao</v>
          </cell>
        </row>
        <row r="15">
          <cell r="D15" t="str">
            <v>Civil Engineer</v>
          </cell>
        </row>
        <row r="16">
          <cell r="D16" t="str">
            <v>Materials Engineer</v>
          </cell>
        </row>
        <row r="17">
          <cell r="D17" t="str">
            <v>Surveyor</v>
          </cell>
        </row>
        <row r="18">
          <cell r="D18" t="str">
            <v>Foreman</v>
          </cell>
        </row>
        <row r="19">
          <cell r="D19" t="str">
            <v>Skilled Laborer</v>
          </cell>
        </row>
        <row r="20">
          <cell r="D20" t="str">
            <v>Carpenter</v>
          </cell>
        </row>
        <row r="21">
          <cell r="D21" t="str">
            <v>Mason</v>
          </cell>
        </row>
        <row r="22">
          <cell r="D22" t="str">
            <v>Mason (CHB Laying)</v>
          </cell>
        </row>
        <row r="23">
          <cell r="D23" t="str">
            <v>Steelman</v>
          </cell>
        </row>
        <row r="24">
          <cell r="D24" t="str">
            <v>Electrician</v>
          </cell>
        </row>
        <row r="25">
          <cell r="D25" t="str">
            <v>Tinsmith</v>
          </cell>
        </row>
        <row r="26">
          <cell r="D26" t="str">
            <v>Welder</v>
          </cell>
        </row>
        <row r="27">
          <cell r="D27" t="str">
            <v>Plumber</v>
          </cell>
        </row>
        <row r="28">
          <cell r="D28" t="str">
            <v>Painter</v>
          </cell>
        </row>
        <row r="29">
          <cell r="D29" t="str">
            <v>Tile Setter</v>
          </cell>
        </row>
        <row r="30">
          <cell r="D30" t="str">
            <v>Instrument Man</v>
          </cell>
        </row>
        <row r="31">
          <cell r="D31" t="str">
            <v>Survey Aide</v>
          </cell>
        </row>
        <row r="32">
          <cell r="D32" t="str">
            <v>Safety Man</v>
          </cell>
        </row>
        <row r="33">
          <cell r="D33" t="str">
            <v>Materials Technician</v>
          </cell>
        </row>
        <row r="34">
          <cell r="D34" t="str">
            <v>Heavy Eqpt. Operator</v>
          </cell>
        </row>
        <row r="35">
          <cell r="D35" t="str">
            <v>HE Operator</v>
          </cell>
        </row>
        <row r="36">
          <cell r="D36" t="str">
            <v>Backhoe Operator</v>
          </cell>
        </row>
        <row r="37">
          <cell r="D37" t="str">
            <v>Road Grader Operator</v>
          </cell>
        </row>
        <row r="38">
          <cell r="D38" t="str">
            <v>Water Truck Operator</v>
          </cell>
        </row>
        <row r="39">
          <cell r="D39" t="str">
            <v>Dump Truck Operator</v>
          </cell>
        </row>
        <row r="40">
          <cell r="D40" t="str">
            <v>Road Roller Operator</v>
          </cell>
        </row>
        <row r="41">
          <cell r="D41" t="str">
            <v>Pay Loader Operator</v>
          </cell>
        </row>
        <row r="42">
          <cell r="D42" t="str">
            <v>Wheel Loader Operator</v>
          </cell>
        </row>
        <row r="43">
          <cell r="D43" t="str">
            <v>Bulldozer Operator</v>
          </cell>
        </row>
        <row r="44">
          <cell r="D44" t="str">
            <v>Transit Mixer Operator</v>
          </cell>
        </row>
        <row r="45">
          <cell r="D45" t="str">
            <v>Lowbed Trailer Operator</v>
          </cell>
        </row>
        <row r="46">
          <cell r="D46" t="str">
            <v>Asphalt Distributor Operator</v>
          </cell>
        </row>
        <row r="47">
          <cell r="D47" t="str">
            <v>Power Broom Operator</v>
          </cell>
        </row>
        <row r="48">
          <cell r="D48" t="str">
            <v>Asphalt Paver Operator</v>
          </cell>
        </row>
        <row r="49">
          <cell r="D49" t="str">
            <v>Rubber Tired Roller Operator</v>
          </cell>
        </row>
        <row r="50">
          <cell r="D50" t="str">
            <v>Barge Mounted Crane Operator</v>
          </cell>
        </row>
        <row r="51">
          <cell r="D51" t="str">
            <v>Truck Mounted Crane Operator</v>
          </cell>
        </row>
        <row r="52">
          <cell r="D52" t="str">
            <v>Mini-Excavator Operator</v>
          </cell>
        </row>
        <row r="53">
          <cell r="D53" t="str">
            <v>Light Eqpt. Operator</v>
          </cell>
        </row>
        <row r="54">
          <cell r="D54" t="str">
            <v>Concrete Vibrator Operator</v>
          </cell>
        </row>
        <row r="55">
          <cell r="D55" t="str">
            <v>Jack Hammer Operator</v>
          </cell>
        </row>
        <row r="56">
          <cell r="D56" t="str">
            <v>Screed  Operator</v>
          </cell>
        </row>
        <row r="57">
          <cell r="D57" t="str">
            <v>Concrete Saws  Operator</v>
          </cell>
        </row>
        <row r="58">
          <cell r="D58" t="str">
            <v>Concrete Trowels Operator</v>
          </cell>
        </row>
        <row r="59">
          <cell r="D59" t="str">
            <v>Semi-Skilled Laborer</v>
          </cell>
        </row>
        <row r="60">
          <cell r="D60" t="str">
            <v>Laborer (Bagger Mixer Crew)</v>
          </cell>
        </row>
        <row r="61">
          <cell r="D61" t="str">
            <v>Laborer (Spreading/Grading)</v>
          </cell>
        </row>
        <row r="62">
          <cell r="D62" t="str">
            <v>Laborer (Tampering/Compacting)</v>
          </cell>
        </row>
        <row r="63">
          <cell r="D63" t="str">
            <v>Laborer (Rock laying/filing)</v>
          </cell>
        </row>
        <row r="64">
          <cell r="D64" t="str">
            <v>Cement Batching Plant Crew</v>
          </cell>
        </row>
        <row r="65">
          <cell r="D65" t="str">
            <v>Unskilled Laborer</v>
          </cell>
        </row>
        <row r="66">
          <cell r="D66" t="str">
            <v>Transit Mixer Helper</v>
          </cell>
        </row>
        <row r="67">
          <cell r="D67" t="str">
            <v>Laborer (Hauling)</v>
          </cell>
        </row>
        <row r="68">
          <cell r="D68" t="str">
            <v>Laborer</v>
          </cell>
        </row>
        <row r="69">
          <cell r="D69" t="str">
            <v>Laborer ( Excavation and Concreting )</v>
          </cell>
        </row>
        <row r="70">
          <cell r="D70" t="str">
            <v>Laborer</v>
          </cell>
        </row>
        <row r="71">
          <cell r="D71" t="str">
            <v>Laborer ( Excavation and Concreting )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BA_UsageExample"/>
      <sheetName val="VBA_Wrapper"/>
      <sheetName val="VBA_32bit"/>
      <sheetName val="VBA_16bit"/>
      <sheetName val="Menu"/>
      <sheetName val="CCenter"/>
      <sheetName val="Update"/>
      <sheetName val="Materials"/>
      <sheetName val="Manpower"/>
      <sheetName val="Transport"/>
      <sheetName val="Equipment"/>
      <sheetName val="Transport Result"/>
      <sheetName val="Aggregates"/>
      <sheetName val="Scope of Works"/>
      <sheetName val="Project List"/>
      <sheetName val="Rod"/>
      <sheetName val="Andrew"/>
      <sheetName val="Bebot"/>
      <sheetName val="Anna"/>
      <sheetName val="Elmer"/>
      <sheetName val="Ruben"/>
      <sheetName val="Rod (7)"/>
      <sheetName val="Rod (8)"/>
      <sheetName val="Sheet1"/>
      <sheetName val="Auto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7" t="str">
            <v>Scope of Works</v>
          </cell>
        </row>
        <row r="8">
          <cell r="B8" t="str">
            <v>Mobilization &amp; Demobilization</v>
          </cell>
        </row>
        <row r="9">
          <cell r="B9" t="str">
            <v>MOBILIZATION &amp; DEMOBILIZATION</v>
          </cell>
        </row>
        <row r="10">
          <cell r="B10" t="str">
            <v>Mobilization and Demobilization</v>
          </cell>
        </row>
        <row r="11">
          <cell r="B11" t="str">
            <v>FACILITIES FOR ENGINEER</v>
          </cell>
        </row>
        <row r="12">
          <cell r="B12" t="str">
            <v>Facilities for Engineers</v>
          </cell>
        </row>
        <row r="14">
          <cell r="B14" t="str">
            <v>TEMPORARY FACILITIES</v>
          </cell>
        </row>
        <row r="15">
          <cell r="B15" t="str">
            <v>TEMPORARY FACILITY FOR ENGINEERS</v>
          </cell>
        </row>
        <row r="16">
          <cell r="B16" t="str">
            <v>TEMPORARY FACILITY, SIGNAGE &amp; PERMITS</v>
          </cell>
        </row>
        <row r="17">
          <cell r="B17" t="str">
            <v>Temporary Facility for Engineer</v>
          </cell>
        </row>
        <row r="18">
          <cell r="B18" t="str">
            <v>Temporary Facilities.</v>
          </cell>
        </row>
        <row r="19">
          <cell r="B19" t="str">
            <v>Temporary Facilities &amp; Signages</v>
          </cell>
        </row>
        <row r="20">
          <cell r="B20" t="str">
            <v>PERMITS &amp; LICENSES</v>
          </cell>
        </row>
        <row r="21">
          <cell r="B21" t="str">
            <v>BUILDING PERMITS</v>
          </cell>
        </row>
        <row r="24">
          <cell r="B24" t="str">
            <v>SITE WORKS</v>
          </cell>
        </row>
        <row r="26">
          <cell r="B26" t="str">
            <v>Site Clearing</v>
          </cell>
        </row>
        <row r="27">
          <cell r="B27" t="str">
            <v>Layout of Lines &amp; Grades</v>
          </cell>
        </row>
        <row r="29">
          <cell r="B29" t="str">
            <v xml:space="preserve"> EARTHWORKS</v>
          </cell>
        </row>
        <row r="30">
          <cell r="B30" t="str">
            <v>Earthworks</v>
          </cell>
        </row>
        <row r="31">
          <cell r="B31" t="str">
            <v>Structural Excavation</v>
          </cell>
        </row>
        <row r="32">
          <cell r="B32" t="str">
            <v>Structural Excavation (Mech'l)</v>
          </cell>
        </row>
        <row r="33">
          <cell r="B33" t="str">
            <v>Structural Excavation (Soft Wet Sand)</v>
          </cell>
        </row>
        <row r="34">
          <cell r="B34" t="str">
            <v>Structural Embankment</v>
          </cell>
        </row>
        <row r="35">
          <cell r="B35" t="str">
            <v>Structural Backfill</v>
          </cell>
        </row>
        <row r="36">
          <cell r="B36" t="str">
            <v>Common Embankment Fill</v>
          </cell>
        </row>
        <row r="37">
          <cell r="B37" t="str">
            <v>Core Rock Fill (30 kg/pc)</v>
          </cell>
        </row>
        <row r="38">
          <cell r="B38" t="str">
            <v>Core Rock Fill (2 - 4 kg/pc)</v>
          </cell>
        </row>
        <row r="39">
          <cell r="B39" t="str">
            <v>Core Rock Fill (0.04 - 0.3 kg/pc)</v>
          </cell>
        </row>
        <row r="40">
          <cell r="B40" t="str">
            <v>Boulders Fill</v>
          </cell>
        </row>
        <row r="42">
          <cell r="B42" t="str">
            <v>Item 101 (1) - Removal of Structures and Obstruction</v>
          </cell>
        </row>
        <row r="43">
          <cell r="B43" t="str">
            <v>Item 102 (1) - Excavation</v>
          </cell>
        </row>
        <row r="44">
          <cell r="B44" t="str">
            <v>Item 103 (6) - Pipe Culverts and Drain Excavation</v>
          </cell>
        </row>
        <row r="45">
          <cell r="B45" t="str">
            <v>Item 103 (3) - Foundation Fill</v>
          </cell>
        </row>
        <row r="46">
          <cell r="B46" t="str">
            <v>Item 104 (1)a - Embankment</v>
          </cell>
        </row>
        <row r="47">
          <cell r="B47" t="str">
            <v>Item 405 (1)c - Structural Concrete</v>
          </cell>
        </row>
        <row r="48">
          <cell r="B48" t="str">
            <v>Item 404 (1)c - Reinforcing Steel</v>
          </cell>
        </row>
        <row r="49">
          <cell r="B49" t="str">
            <v>Item 500 - Pipe Culverts and Storm Drains</v>
          </cell>
        </row>
        <row r="50">
          <cell r="B50" t="str">
            <v>Item 505 - Stone Masonry</v>
          </cell>
        </row>
        <row r="59">
          <cell r="B59" t="str">
            <v>Gravel Fill</v>
          </cell>
        </row>
        <row r="61">
          <cell r="B61" t="str">
            <v>Pipe Trench Excavation (25mmØ Pipe)</v>
          </cell>
        </row>
        <row r="62">
          <cell r="B62" t="str">
            <v>Pipe Trench Excavation (32mmØ Pipe)</v>
          </cell>
        </row>
        <row r="63">
          <cell r="B63" t="str">
            <v>Pipe Trench Excavation (40mmØ Pipe)</v>
          </cell>
        </row>
        <row r="64">
          <cell r="B64" t="str">
            <v>Pipe Trench Excavation (50mmØ Pipe)</v>
          </cell>
        </row>
        <row r="65">
          <cell r="B65" t="str">
            <v>Pipe Trench Excavation (63mmØ Pipe)</v>
          </cell>
        </row>
        <row r="66">
          <cell r="B66" t="str">
            <v>Pipe Trench Excavation (75mmØ Pipe)</v>
          </cell>
        </row>
        <row r="67">
          <cell r="B67" t="str">
            <v>Pipe Trench Excavation (90mmØ Pipe)</v>
          </cell>
        </row>
        <row r="75">
          <cell r="B75" t="str">
            <v>CONCRETE PAVEMENT BASE PREPARATION</v>
          </cell>
        </row>
        <row r="78">
          <cell r="B78" t="str">
            <v>BUILDING  EARTHWORKS</v>
          </cell>
        </row>
        <row r="81">
          <cell r="B81" t="str">
            <v>Gravel Bedding</v>
          </cell>
        </row>
        <row r="82">
          <cell r="B82" t="str">
            <v>Backfilling with Compaction</v>
          </cell>
        </row>
        <row r="84">
          <cell r="B84" t="str">
            <v>CONCRETE WORKS</v>
          </cell>
        </row>
        <row r="86">
          <cell r="B86" t="str">
            <v>Concrete Class "A"</v>
          </cell>
        </row>
        <row r="87">
          <cell r="B87" t="str">
            <v>Concrete Class "B"</v>
          </cell>
        </row>
        <row r="88">
          <cell r="B88" t="str">
            <v>Concrete Class "C"</v>
          </cell>
        </row>
        <row r="89">
          <cell r="B89" t="str">
            <v>Lean Concrete</v>
          </cell>
        </row>
        <row r="90">
          <cell r="B90" t="str">
            <v>Supply &amp; Place 21 MPa Concrete</v>
          </cell>
        </row>
        <row r="91">
          <cell r="B91" t="str">
            <v>Supply &amp; Place 25 MPa Concrete</v>
          </cell>
        </row>
        <row r="92">
          <cell r="B92" t="str">
            <v>Supply &amp; Place 30 MPa Concrete</v>
          </cell>
        </row>
        <row r="93">
          <cell r="B93" t="str">
            <v>Supply &amp; Place 35 MPa Concrete</v>
          </cell>
        </row>
        <row r="94">
          <cell r="B94" t="str">
            <v>Supply &amp; Place 30 MPa Concrete incl. Formworks</v>
          </cell>
        </row>
        <row r="95">
          <cell r="B95" t="str">
            <v>Supply &amp; Place 35 MPa Concrete incl. Formworks</v>
          </cell>
        </row>
        <row r="96">
          <cell r="B96" t="str">
            <v>Supply &amp; Place 30 MPa Concrete (Pile Coping)</v>
          </cell>
        </row>
        <row r="97">
          <cell r="B97" t="str">
            <v>Supply &amp; Place 25 MPa Concrete Stair</v>
          </cell>
        </row>
        <row r="98">
          <cell r="B98" t="str">
            <v>Supply &amp; Place 17 MPa Lean Concrete</v>
          </cell>
        </row>
        <row r="99">
          <cell r="B99" t="str">
            <v>CONSTRUCTION OF RETAINING WALL</v>
          </cell>
        </row>
        <row r="101">
          <cell r="B101" t="str">
            <v>Precast Concrete Slab (25 Mpa)</v>
          </cell>
        </row>
        <row r="102">
          <cell r="B102" t="str">
            <v>CONCRETE ANCHOR BLOCK</v>
          </cell>
        </row>
        <row r="105">
          <cell r="B105" t="str">
            <v>STAIR LANDING WORKS</v>
          </cell>
        </row>
        <row r="106">
          <cell r="B106" t="str">
            <v>Concrete Stair</v>
          </cell>
        </row>
        <row r="107">
          <cell r="B107" t="str">
            <v>Precast Concrete Stair Landing</v>
          </cell>
        </row>
        <row r="108">
          <cell r="B108" t="str">
            <v>R.C. BOX CULVERT "A"</v>
          </cell>
        </row>
        <row r="109">
          <cell r="B109" t="str">
            <v>R.C. BOX CULVERT "B"</v>
          </cell>
        </row>
        <row r="110">
          <cell r="B110" t="str">
            <v>R.C. COVERED DITCH</v>
          </cell>
        </row>
        <row r="111">
          <cell r="B111" t="str">
            <v>Supply &amp; Place 30 MPa Concrete</v>
          </cell>
        </row>
        <row r="120">
          <cell r="B120" t="str">
            <v xml:space="preserve"> MASONRY WORKS</v>
          </cell>
        </row>
        <row r="122">
          <cell r="B122" t="str">
            <v>4" CHB</v>
          </cell>
        </row>
        <row r="123">
          <cell r="B123" t="str">
            <v>6" CHB</v>
          </cell>
        </row>
        <row r="124">
          <cell r="B124" t="str">
            <v>Construct 150mm CHB Wall</v>
          </cell>
        </row>
        <row r="125">
          <cell r="B125" t="str">
            <v>Cement Plastering</v>
          </cell>
        </row>
        <row r="126">
          <cell r="B126" t="str">
            <v>Grouted Riprap</v>
          </cell>
        </row>
        <row r="128">
          <cell r="B128" t="str">
            <v>FINISHING WORKS</v>
          </cell>
        </row>
        <row r="130">
          <cell r="B130" t="str">
            <v>Provide Plain Cement Plaster Finish</v>
          </cell>
        </row>
        <row r="131">
          <cell r="B131" t="str">
            <v>Apply Painted Finish on Concrete</v>
          </cell>
        </row>
        <row r="132">
          <cell r="B132" t="str">
            <v>Supply &amp; Install Roof Waterproofing</v>
          </cell>
        </row>
        <row r="134">
          <cell r="B134" t="str">
            <v>FENESTRATION</v>
          </cell>
        </row>
        <row r="136">
          <cell r="B136" t="str">
            <v>Supply and Install Door Type D-1 (0.80 x 2.10m.) Complete with Door and all Accessories</v>
          </cell>
        </row>
        <row r="137">
          <cell r="B137" t="str">
            <v>Supply and Install Window Type W-1 (1.8 x 1.3m.) Complete with Window Jamb, Steel Grilles, etc.</v>
          </cell>
        </row>
        <row r="138">
          <cell r="B138" t="str">
            <v>Supply and Install Window Type W-2 (0.6 x 1.3m.) Complete with Window Jamb, Steel Grilles, etc.</v>
          </cell>
        </row>
        <row r="139">
          <cell r="B139" t="str">
            <v>Supply and Install Window Type W-1 (0.90 x 1.3m.) Complete with Window Jamb, Steel Grilles, etc.</v>
          </cell>
        </row>
        <row r="141">
          <cell r="B141" t="str">
            <v>Supply and Install Door Type D-1 (0.70 x 2.10m.) Complete with Door and all Accessories</v>
          </cell>
        </row>
        <row r="142">
          <cell r="B142" t="str">
            <v>Supply and Install Door Type D-2 (0.70 x 2.0m.) Complete with Door and all Accessories</v>
          </cell>
        </row>
        <row r="143">
          <cell r="B143" t="str">
            <v>Supply and Install Door Type D-3 (0.70 x 1.40m.) Complete with Door and all Accessories</v>
          </cell>
        </row>
        <row r="144">
          <cell r="B144" t="str">
            <v>Supply and Install Window Type W-1 (0.60 x 0.5m.) Complete with Window Jamb, etc.</v>
          </cell>
        </row>
        <row r="150">
          <cell r="B150" t="str">
            <v>Door 1 - Community Center 1</v>
          </cell>
        </row>
        <row r="151">
          <cell r="B151" t="str">
            <v>Door 2 - Community Center 1</v>
          </cell>
        </row>
        <row r="152">
          <cell r="B152" t="str">
            <v>Window 1 - Community Center 1</v>
          </cell>
        </row>
        <row r="153">
          <cell r="B153" t="str">
            <v>Window 2 - Community Center 1</v>
          </cell>
        </row>
        <row r="154">
          <cell r="B154" t="str">
            <v>Window 3 - Community Center 1</v>
          </cell>
        </row>
        <row r="156">
          <cell r="B156" t="str">
            <v>Door 1 - Community Center 2</v>
          </cell>
        </row>
        <row r="157">
          <cell r="B157" t="str">
            <v>Door 2 - Community Center 2</v>
          </cell>
        </row>
        <row r="158">
          <cell r="B158" t="str">
            <v>Window 1 - Community Center 2</v>
          </cell>
        </row>
        <row r="159">
          <cell r="B159" t="str">
            <v>Window 2 - Community Center 2</v>
          </cell>
        </row>
        <row r="160">
          <cell r="B160" t="str">
            <v>Window 3 - Community Center 2</v>
          </cell>
        </row>
        <row r="162">
          <cell r="B162" t="str">
            <v>Door 1 - Trading Center 1</v>
          </cell>
        </row>
        <row r="163">
          <cell r="B163" t="str">
            <v>Door 2 - Trading Center 1</v>
          </cell>
        </row>
        <row r="164">
          <cell r="B164" t="str">
            <v>Window 1 - Trading Center 1</v>
          </cell>
        </row>
        <row r="165">
          <cell r="B165" t="str">
            <v>Window 2 - Trading Center 1</v>
          </cell>
        </row>
        <row r="166">
          <cell r="B166" t="str">
            <v>Window 3 - Trading Center 1</v>
          </cell>
        </row>
        <row r="175">
          <cell r="B175" t="str">
            <v>DRAINAGE WORKS</v>
          </cell>
        </row>
        <row r="177">
          <cell r="B177" t="str">
            <v>CONSTRUCT CROSS-DRAIN</v>
          </cell>
        </row>
        <row r="178">
          <cell r="B178" t="str">
            <v>Supply and Install RCP, 610mmØ</v>
          </cell>
        </row>
        <row r="179">
          <cell r="B179" t="str">
            <v>Supply &amp; Install Concrete Headwall &amp; Outfall</v>
          </cell>
        </row>
        <row r="181">
          <cell r="B181" t="str">
            <v>PORT CONSTRUCTION</v>
          </cell>
        </row>
        <row r="183">
          <cell r="B183" t="str">
            <v>CONSTRUCTION OF R.C. PIER EXTENTION-1, 9m x 27m.</v>
          </cell>
        </row>
        <row r="184">
          <cell r="B184" t="str">
            <v>CONSTRUCTION OF R.C. PIER EXTENTION-2, 9m x 12m.</v>
          </cell>
        </row>
        <row r="185">
          <cell r="B185" t="str">
            <v>CONSTRUCTION OF R.C. PIER EXTENTION</v>
          </cell>
        </row>
        <row r="186">
          <cell r="B186" t="str">
            <v>CONSTRUCTION OF BOAT LANDING</v>
          </cell>
        </row>
        <row r="187">
          <cell r="B187" t="str">
            <v>CONSTRUCTION OF BULKHEAD TYPE WHARF &amp; RORO RAMP</v>
          </cell>
        </row>
        <row r="188">
          <cell r="B188" t="str">
            <v>CONSTRUCTION OF WHARF EXTENSION &amp; RORO RAMP</v>
          </cell>
        </row>
        <row r="191">
          <cell r="B191" t="str">
            <v>PRECAST CONCRETE WORKS</v>
          </cell>
        </row>
        <row r="192">
          <cell r="B192" t="str">
            <v/>
          </cell>
        </row>
        <row r="193">
          <cell r="B193" t="str">
            <v>Supply &amp; Place 35 MPa Precast Concrete Slab</v>
          </cell>
        </row>
        <row r="194">
          <cell r="B194" t="str">
            <v>Supply &amp; Place 35 MPa Precast Concrete Beam</v>
          </cell>
        </row>
        <row r="195">
          <cell r="B195" t="str">
            <v>Supply &amp; Place Non-Shrink Grout on Precast Concrete Beam</v>
          </cell>
        </row>
        <row r="197">
          <cell r="B197" t="str">
            <v>Supply &amp; Place Non-Shrink Grout on Precast Concrete Beam &amp; Slab</v>
          </cell>
        </row>
        <row r="208">
          <cell r="B208" t="str">
            <v>CAST IN-PLACE CONCRETE WORKS</v>
          </cell>
        </row>
        <row r="209">
          <cell r="B209" t="str">
            <v>Supply &amp; Place 30 MPa Cast in-place Concrete Slab incl. Formworks</v>
          </cell>
        </row>
        <row r="210">
          <cell r="B210" t="str">
            <v>Supply &amp; Place 30 MPa Cast in-place Concrete Beam incl. Formworks</v>
          </cell>
        </row>
        <row r="211">
          <cell r="B211" t="str">
            <v>Supply &amp; Place 30 MPa Cast in-place Concrete Deck Slab</v>
          </cell>
        </row>
        <row r="212">
          <cell r="B212" t="str">
            <v>Supply &amp; Place 30 MPa Cast in-place Concrete</v>
          </cell>
        </row>
        <row r="213">
          <cell r="B213" t="str">
            <v>Supply &amp; Place 30 MPa Cast in-place Concrete incl. Formworks</v>
          </cell>
        </row>
        <row r="215">
          <cell r="B215" t="str">
            <v>PILE SPLICING WORKS</v>
          </cell>
        </row>
        <row r="216">
          <cell r="B216" t="str">
            <v>Pile Splicing and its appurtenances</v>
          </cell>
        </row>
        <row r="218">
          <cell r="B218" t="str">
            <v>PILING WORKS</v>
          </cell>
        </row>
        <row r="220">
          <cell r="B220" t="str">
            <v>Supply and Drive Steel Pipe Test Piles, 450mmØ x 18m.</v>
          </cell>
        </row>
        <row r="221">
          <cell r="B221" t="str">
            <v>Supply Steel Pipe Pile, 450mmØ x 18m.</v>
          </cell>
        </row>
        <row r="222">
          <cell r="B222" t="str">
            <v>Handle Pitch and Drive Vertical Steel Pipe Pile</v>
          </cell>
        </row>
        <row r="223">
          <cell r="B223" t="str">
            <v>Handle Pitch and Drive Batter Steel Pipe Pile</v>
          </cell>
        </row>
        <row r="224">
          <cell r="B224" t="str">
            <v>Steel Pipe Pile Shoe (for 450mmØ Pile)</v>
          </cell>
        </row>
        <row r="225">
          <cell r="B225" t="str">
            <v>Steel Pipe Pile Tip Cladding (for 450mmØ Pile)</v>
          </cell>
        </row>
        <row r="227">
          <cell r="B227" t="str">
            <v>Fender Pile (Molave)</v>
          </cell>
        </row>
        <row r="228">
          <cell r="B228" t="str">
            <v>Timber Post (Molave)</v>
          </cell>
        </row>
        <row r="229">
          <cell r="B229" t="str">
            <v>Supply and Drive PSC Test Piles, 400mm x 400mm x 12m.</v>
          </cell>
        </row>
        <row r="230">
          <cell r="B230" t="str">
            <v>PSC Test Piles, 400mm x 400mm x 12m.</v>
          </cell>
        </row>
        <row r="231">
          <cell r="B231" t="str">
            <v>Supply and Drive PSC Test Piles, 400mm x 400mm x 14m.</v>
          </cell>
        </row>
        <row r="232">
          <cell r="B232" t="str">
            <v>PSC Test Piles, 400mm x 400mm x 14m.</v>
          </cell>
        </row>
        <row r="233">
          <cell r="B233" t="str">
            <v>Supply and Drive PSC Test Piles, 400mm x 400mm x 21m.</v>
          </cell>
        </row>
        <row r="234">
          <cell r="B234" t="str">
            <v>PSC Test Piles, 400mm x 400mm x 21m.</v>
          </cell>
        </row>
        <row r="235">
          <cell r="B235" t="str">
            <v>Supply and Drive PSC Test Piles, 400mm x 400mm x 24m.</v>
          </cell>
        </row>
        <row r="236">
          <cell r="B236" t="str">
            <v>PSC Test Piles, 400mm x 400mm x 24m.</v>
          </cell>
        </row>
        <row r="237">
          <cell r="B237" t="str">
            <v>Supply 400mm x 400mm PSC Pile, L=10m.</v>
          </cell>
        </row>
        <row r="238">
          <cell r="B238" t="str">
            <v>Supply 400mm x 400mm PSC Pile, L=12m.</v>
          </cell>
        </row>
        <row r="239">
          <cell r="B239" t="str">
            <v>Supply 400mm x 400mm PSC Pile, L=22m.</v>
          </cell>
        </row>
        <row r="240">
          <cell r="B240" t="str">
            <v>Supply 450mm x 450mm PSC Pile</v>
          </cell>
        </row>
        <row r="241">
          <cell r="B241" t="str">
            <v>Supply &amp; Drive PSC Test Piles, 450mm x 450mm Incl. Splicing</v>
          </cell>
        </row>
        <row r="242">
          <cell r="B242" t="str">
            <v>Handle Pitch and Drive PSC Vertical Pile, 450mm x 450mm</v>
          </cell>
        </row>
        <row r="243">
          <cell r="B243" t="str">
            <v>Handle Pitch and Drive PSC Batter  Piles, 450mm x 450mm</v>
          </cell>
        </row>
        <row r="245">
          <cell r="B245" t="str">
            <v>Handle Pitch and Drive PSC Vertical Pile, 400mm x 400mm</v>
          </cell>
        </row>
        <row r="246">
          <cell r="B246" t="str">
            <v>Handle Pitch and Drive PSC Batter  Piles, 400mm x 400mm</v>
          </cell>
        </row>
        <row r="248">
          <cell r="B248" t="str">
            <v>Handle Pitch and Drive Vertical PSC Pile including cutting</v>
          </cell>
        </row>
        <row r="249">
          <cell r="B249" t="str">
            <v>Handle Pitch Drive Batter PSC Pile including cutting</v>
          </cell>
        </row>
        <row r="251">
          <cell r="B251" t="str">
            <v>MOORING AND FENDERING SYSTEM</v>
          </cell>
        </row>
        <row r="252">
          <cell r="B252" t="str">
            <v>SEISMIC GAP PLATE &amp; RORO STEEL RAMP PROTECTION</v>
          </cell>
        </row>
        <row r="254">
          <cell r="B254" t="str">
            <v>MOORING SYSTEM</v>
          </cell>
        </row>
        <row r="256">
          <cell r="B256" t="str">
            <v>Supply &amp; Install V-Type Rubber Fender (200 x 1500mm)</v>
          </cell>
        </row>
        <row r="257">
          <cell r="B257" t="str">
            <v>Supply &amp; Install V-Type Rubber Fender (300 x 1500mm)</v>
          </cell>
        </row>
        <row r="258">
          <cell r="B258" t="str">
            <v>Supply &amp; Install V-Type Rubber Fender (400H x 1000mm)</v>
          </cell>
        </row>
        <row r="259">
          <cell r="B259" t="str">
            <v>Supply &amp; Install L Corner Type Rubber Fender (250H x 1000L x 1000L)</v>
          </cell>
        </row>
        <row r="260">
          <cell r="B260" t="str">
            <v>Supply &amp; Install Mooring Bollard (25T)</v>
          </cell>
        </row>
        <row r="261">
          <cell r="B261" t="str">
            <v>Supply &amp; Install Mooring Bollard (15T)</v>
          </cell>
        </row>
        <row r="262">
          <cell r="B262" t="str">
            <v>Supply &amp; Install Mooring Cleats (5T)</v>
          </cell>
        </row>
        <row r="263">
          <cell r="B263" t="str">
            <v>Supply &amp; Install Mooring Cleats (10T)</v>
          </cell>
        </row>
        <row r="264">
          <cell r="B264" t="str">
            <v>Supply &amp; Install Mooring Bitt (10T)</v>
          </cell>
        </row>
        <row r="265">
          <cell r="B265" t="str">
            <v>Supply &amp; Install Mooring Bitt (15T)</v>
          </cell>
        </row>
        <row r="266">
          <cell r="B266" t="str">
            <v>Supply &amp; Install 7-Pile Timber Dolphin (L=15m.)</v>
          </cell>
        </row>
        <row r="267">
          <cell r="B267" t="str">
            <v>Supply &amp; Install Wooden Mooring</v>
          </cell>
        </row>
        <row r="268">
          <cell r="B268" t="str">
            <v>Supply &amp; Install Rubber Tire Fender and its appurtenances</v>
          </cell>
        </row>
        <row r="270">
          <cell r="B270" t="str">
            <v>CONSTRUCTION OF R.C. PIER EXTENTION, 9m x 21m. (Fast Craft)</v>
          </cell>
        </row>
        <row r="271">
          <cell r="B271" t="str">
            <v>CONSTRUCTION OF RORO, 9m x 24m.</v>
          </cell>
        </row>
        <row r="272">
          <cell r="B272" t="str">
            <v>CONSTRUCTION OF TRANSITION PLATFORM 5m. X 11m.</v>
          </cell>
        </row>
        <row r="274">
          <cell r="B274" t="str">
            <v>SUPPLY AND INSTALL GATE, 8.5 meter width</v>
          </cell>
        </row>
        <row r="275">
          <cell r="B275" t="str">
            <v>CONSTRUCTION OF GUARD HOUSE, (2.00m. X 2.00m.)</v>
          </cell>
        </row>
        <row r="277">
          <cell r="B277" t="str">
            <v xml:space="preserve">TINSMITHRY </v>
          </cell>
        </row>
        <row r="279">
          <cell r="B279" t="str">
            <v>G.I. Sheet Roofing</v>
          </cell>
        </row>
        <row r="280">
          <cell r="B280" t="str">
            <v>Ga. #26 Corr. G.I. Sheet Roofing</v>
          </cell>
        </row>
        <row r="281">
          <cell r="B281" t="str">
            <v>Ga. #26 Plain G.I. Sheet Ridge Roll</v>
          </cell>
        </row>
        <row r="282">
          <cell r="B282" t="str">
            <v>Ga. #26 Plain G.I. Gutter</v>
          </cell>
        </row>
        <row r="283">
          <cell r="B283" t="str">
            <v>Ga. #26 Plain G.I. Flashing</v>
          </cell>
        </row>
        <row r="287">
          <cell r="B287" t="str">
            <v>CARPENTRY  WORKS</v>
          </cell>
        </row>
        <row r="289">
          <cell r="B289" t="str">
            <v>Timber Port - Beam (Yakal)</v>
          </cell>
        </row>
        <row r="290">
          <cell r="B290" t="str">
            <v>Timber Port - Beam (Yakal or equivalent)</v>
          </cell>
        </row>
        <row r="291">
          <cell r="B291" t="str">
            <v>Timber Port - Floor Joist (Yakal)</v>
          </cell>
        </row>
        <row r="292">
          <cell r="B292" t="str">
            <v>Timber Port - Floor Joist (Yakal or equivalent)</v>
          </cell>
        </row>
        <row r="293">
          <cell r="B293" t="str">
            <v>Timber Port - Floor Planks (Yakal)</v>
          </cell>
        </row>
        <row r="294">
          <cell r="B294" t="str">
            <v>Timber Port - Floor Planks (Yakal or equivalent)</v>
          </cell>
        </row>
        <row r="295">
          <cell r="B295" t="str">
            <v>Timber Port - Cross Bracing (Yakal)</v>
          </cell>
        </row>
        <row r="296">
          <cell r="B296" t="str">
            <v>Timber Port - Cross Bracing (Yakal or equivalent)</v>
          </cell>
        </row>
        <row r="297">
          <cell r="B297" t="str">
            <v>Timber Port - Bridging (Yakal)</v>
          </cell>
        </row>
        <row r="298">
          <cell r="B298" t="str">
            <v>Timber Port - Bridging (Yakal or equivalent)</v>
          </cell>
        </row>
        <row r="299">
          <cell r="B299" t="str">
            <v>Timber Port - Curb (Yakal)</v>
          </cell>
        </row>
        <row r="300">
          <cell r="B300" t="str">
            <v>Timber Port - Curb (Yakal or equivalent)</v>
          </cell>
        </row>
        <row r="301">
          <cell r="B301" t="str">
            <v>Timber Port Pier Head - Beam (Yakal)</v>
          </cell>
        </row>
        <row r="302">
          <cell r="B302" t="str">
            <v>Timber Port Pier Head - Beam (Yakal or equivalent)</v>
          </cell>
        </row>
        <row r="303">
          <cell r="B303" t="str">
            <v>Timber Port Pier Head - Floor Joist (Yakal)</v>
          </cell>
        </row>
        <row r="304">
          <cell r="B304" t="str">
            <v>Timber Port Pier Head - Floor Joist (Yakal or equivalent)</v>
          </cell>
        </row>
        <row r="305">
          <cell r="B305" t="str">
            <v>Timber Port Pier Head - Floor Planks (Yakal)</v>
          </cell>
        </row>
        <row r="306">
          <cell r="B306" t="str">
            <v>Timber Port Pier Head - Cross Bracing (Yakal or equivalent)</v>
          </cell>
        </row>
        <row r="307">
          <cell r="B307" t="str">
            <v>Timber Port Pier Head - Cross Bracing (Yakal)</v>
          </cell>
        </row>
        <row r="308">
          <cell r="B308" t="str">
            <v>Timber Port Pier Head - Cross Bracing (Yakal or equivalent)</v>
          </cell>
        </row>
        <row r="309">
          <cell r="B309" t="str">
            <v>Timber Port Pier Head - Bridging (Yakal)</v>
          </cell>
        </row>
        <row r="310">
          <cell r="B310" t="str">
            <v>Timber Port Pier Head - Bridging (Yakal or equivalent)</v>
          </cell>
        </row>
        <row r="311">
          <cell r="B311" t="str">
            <v>Timber Port Pier Head - Curb (Yakal)</v>
          </cell>
        </row>
        <row r="312">
          <cell r="B312" t="str">
            <v>Timber Port Pier Head - Curb (Yakal or equivalent)</v>
          </cell>
        </row>
        <row r="313">
          <cell r="B313" t="str">
            <v>Ceiling Board on wood runner (s.m.)</v>
          </cell>
        </row>
        <row r="314">
          <cell r="B314" t="str">
            <v>Frame Installation</v>
          </cell>
        </row>
        <row r="315">
          <cell r="B315" t="str">
            <v>Board Installation</v>
          </cell>
        </row>
        <row r="316">
          <cell r="B316" t="str">
            <v>Flush Door (3'x7') + 21 s.f.</v>
          </cell>
        </row>
        <row r="317">
          <cell r="B317" t="str">
            <v>Fabrication</v>
          </cell>
        </row>
        <row r="319">
          <cell r="B319" t="str">
            <v>6mm thk. Ordinary Plywood Ceiling &amp; 6mm thk Marine Plywood Sidings</v>
          </cell>
        </row>
        <row r="320">
          <cell r="B320" t="str">
            <v>6mm thk. Marine Plywood Ceiling</v>
          </cell>
        </row>
        <row r="321">
          <cell r="B321" t="str">
            <v>6mm thk. Ordinary Plywood Ceiling</v>
          </cell>
        </row>
        <row r="324">
          <cell r="B324" t="str">
            <v>WIRE AND CABLE WORKS</v>
          </cell>
        </row>
        <row r="325">
          <cell r="B325" t="str">
            <v>Wire and Cable for Suspension</v>
          </cell>
        </row>
        <row r="337">
          <cell r="B337" t="str">
            <v xml:space="preserve">REINFORCING BARS </v>
          </cell>
        </row>
        <row r="339">
          <cell r="B339" t="str">
            <v>Deformed Bar</v>
          </cell>
        </row>
        <row r="340">
          <cell r="B340" t="str">
            <v>Supply &amp; Install Reinforcing Steel Bars for Pile Jacket</v>
          </cell>
        </row>
        <row r="341">
          <cell r="B341" t="str">
            <v>Supply &amp; Install Reinforcing Steel Bars for Precast Slab</v>
          </cell>
        </row>
        <row r="342">
          <cell r="B342" t="str">
            <v>Supply &amp; Install Reinforcing Steel Bars for Precast Beam</v>
          </cell>
        </row>
        <row r="343">
          <cell r="B343" t="str">
            <v>Supply &amp; Install Reinforcing Steel Bars</v>
          </cell>
        </row>
        <row r="344">
          <cell r="B344" t="str">
            <v>fy = 276 Mpa</v>
          </cell>
        </row>
        <row r="345">
          <cell r="B345" t="str">
            <v>fy = 230 Mpa</v>
          </cell>
        </row>
        <row r="349">
          <cell r="B349" t="str">
            <v>STEEL WORKS</v>
          </cell>
        </row>
        <row r="351">
          <cell r="B351" t="str">
            <v>Supply and Install Ramp Steel Rail</v>
          </cell>
        </row>
        <row r="354">
          <cell r="B354" t="str">
            <v>Steel Truss - Community Center 1</v>
          </cell>
        </row>
        <row r="355">
          <cell r="B355" t="str">
            <v>Steel Purlins - Community Center 1</v>
          </cell>
        </row>
        <row r="357">
          <cell r="B357" t="str">
            <v>Steel Truss - Community Center 2</v>
          </cell>
        </row>
        <row r="358">
          <cell r="B358" t="str">
            <v>Steel Purlins - Community Center 2</v>
          </cell>
        </row>
        <row r="360">
          <cell r="B360" t="str">
            <v>Steel Truss - Trading Center 1</v>
          </cell>
        </row>
        <row r="361">
          <cell r="B361" t="str">
            <v>Steel Purlins - Trading Center 1</v>
          </cell>
        </row>
        <row r="364">
          <cell r="B364" t="str">
            <v>Supply and Install Seismic Gap Plate</v>
          </cell>
        </row>
        <row r="365">
          <cell r="B365" t="str">
            <v>STEEL GATE WORKS</v>
          </cell>
        </row>
        <row r="367">
          <cell r="B367" t="str">
            <v>STEEL SHEET PILING WORKS</v>
          </cell>
        </row>
        <row r="368">
          <cell r="B368" t="str">
            <v>Supply Steel Sheet Pile (ASTM 690 / 690M)</v>
          </cell>
        </row>
        <row r="369">
          <cell r="B369" t="str">
            <v>Handle Pitch and Drive Steel Sheet Pile</v>
          </cell>
        </row>
        <row r="370">
          <cell r="B370" t="str">
            <v>Supply &amp; Install Channel Wale Support</v>
          </cell>
        </row>
        <row r="371">
          <cell r="B371" t="str">
            <v>Supply &amp; Install Tie Rod Support</v>
          </cell>
        </row>
        <row r="380">
          <cell r="B380" t="str">
            <v>PLUMBING WORKS</v>
          </cell>
        </row>
        <row r="381">
          <cell r="B381" t="str">
            <v>MOTOR PUMP WORKS</v>
          </cell>
        </row>
        <row r="383">
          <cell r="B383" t="str">
            <v>Submersible Pump w/ complete accessories (1HP 136S10412))</v>
          </cell>
        </row>
        <row r="384">
          <cell r="B384" t="str">
            <v>Submersible Pump w/ complete accessories (3HP 186S30412)</v>
          </cell>
        </row>
        <row r="385">
          <cell r="B385" t="str">
            <v>100mmØ PVC Weepholes</v>
          </cell>
        </row>
        <row r="386">
          <cell r="B386" t="str">
            <v>Supply and Install downspout, 100mmØ</v>
          </cell>
        </row>
        <row r="388">
          <cell r="B388" t="str">
            <v>Plumbing &amp; Fixtures - Community Center 1</v>
          </cell>
        </row>
        <row r="389">
          <cell r="B389" t="str">
            <v>Plumbing &amp; Fixtures - Community Center 2</v>
          </cell>
        </row>
        <row r="391">
          <cell r="B391" t="str">
            <v>Plumbing &amp; Fixtures - Trading Center 1</v>
          </cell>
        </row>
        <row r="393">
          <cell r="B393" t="str">
            <v>Plumbing &amp; Fixtures</v>
          </cell>
        </row>
        <row r="395">
          <cell r="B395" t="str">
            <v>Pipes &amp; Fittings for Intake Box "Type A"</v>
          </cell>
        </row>
        <row r="396">
          <cell r="B396" t="str">
            <v>Pipes &amp; Fittings for Intake Box "Type C"</v>
          </cell>
        </row>
        <row r="397">
          <cell r="B397" t="str">
            <v>Pipes &amp; Fittings for Intake Box "Type E"</v>
          </cell>
        </row>
        <row r="398">
          <cell r="B398" t="str">
            <v>Pipes &amp; Fittings for Collection Box</v>
          </cell>
        </row>
        <row r="399">
          <cell r="B399" t="str">
            <v>Pipes &amp; Fittings for 20T Lit Concrete Reservoir on Grade</v>
          </cell>
        </row>
        <row r="400">
          <cell r="B400" t="str">
            <v>Pipes &amp; Fittings for 25T Lit Concrete Reservoir on Grade</v>
          </cell>
        </row>
        <row r="401">
          <cell r="B401" t="str">
            <v>Pipes &amp; Fittings for Collection Box</v>
          </cell>
        </row>
        <row r="402">
          <cell r="B402" t="str">
            <v>Pipes &amp; Fittings for Tapstand</v>
          </cell>
        </row>
        <row r="403">
          <cell r="B403" t="str">
            <v>Pipes &amp; Fittings for Communal Faucet</v>
          </cell>
        </row>
        <row r="404">
          <cell r="B404" t="str">
            <v>Pipes &amp; Fittings for Pipe River Crossing</v>
          </cell>
        </row>
        <row r="405">
          <cell r="B405" t="str">
            <v>Ga#18 Stainless Steel Tank</v>
          </cell>
        </row>
        <row r="409">
          <cell r="B409" t="str">
            <v>TILEWORKS</v>
          </cell>
        </row>
        <row r="410">
          <cell r="B410" t="str">
            <v>200 x 200 Wall Tiles - Community Center 1</v>
          </cell>
        </row>
        <row r="411">
          <cell r="B411" t="str">
            <v>200 x 200 Floor Tiles - Community Center 1</v>
          </cell>
        </row>
        <row r="413">
          <cell r="B413" t="str">
            <v>200 x 200 Wall Tiles - Community Center 2</v>
          </cell>
        </row>
        <row r="414">
          <cell r="B414" t="str">
            <v>200 x 200 Floor Tiles - Community Center 2</v>
          </cell>
        </row>
        <row r="416">
          <cell r="B416" t="str">
            <v>200 x 200 Wall Tiles - Trading Center 1</v>
          </cell>
        </row>
        <row r="417">
          <cell r="B417" t="str">
            <v>200 x 200 Floor Tiles - Trading Center 1</v>
          </cell>
        </row>
        <row r="419">
          <cell r="B419" t="str">
            <v>200 x 200 Wall Tiles</v>
          </cell>
        </row>
        <row r="420">
          <cell r="B420" t="str">
            <v>200 x 200 Floor Tiles</v>
          </cell>
        </row>
        <row r="422">
          <cell r="B422" t="str">
            <v>100 x 100 Wall Tiles</v>
          </cell>
        </row>
        <row r="423">
          <cell r="B423" t="str">
            <v>100 x 100 Floor Tiles</v>
          </cell>
        </row>
        <row r="427">
          <cell r="B427" t="str">
            <v>SANITARY WORK</v>
          </cell>
        </row>
        <row r="428">
          <cell r="B428" t="str">
            <v>Septic Vault &amp; Accessories</v>
          </cell>
        </row>
        <row r="431">
          <cell r="B431" t="str">
            <v>ELECTRICAL WORK</v>
          </cell>
        </row>
        <row r="432">
          <cell r="B432" t="str">
            <v>Supply &amp; Install Electrical - Community Center 1</v>
          </cell>
        </row>
        <row r="433">
          <cell r="B433" t="str">
            <v>Supply &amp; Install Electrical - Community Center 2</v>
          </cell>
        </row>
        <row r="434">
          <cell r="B434" t="str">
            <v>Supply &amp; Install Electrical - Trading Center 1</v>
          </cell>
        </row>
        <row r="438">
          <cell r="B438" t="str">
            <v>ROAD WORKS</v>
          </cell>
        </row>
        <row r="440">
          <cell r="B440" t="str">
            <v>Removal of Existing PCCP</v>
          </cell>
        </row>
        <row r="441">
          <cell r="B441" t="str">
            <v>Embankment</v>
          </cell>
        </row>
        <row r="442">
          <cell r="B442" t="str">
            <v>Common Excavation</v>
          </cell>
        </row>
        <row r="443">
          <cell r="B443" t="str">
            <v>PCCP</v>
          </cell>
        </row>
        <row r="444">
          <cell r="B444" t="str">
            <v>Aggregate Sub Base Course (Item 200)</v>
          </cell>
        </row>
        <row r="445">
          <cell r="B445" t="str">
            <v>Aggregate Base Course (Item 2001)</v>
          </cell>
        </row>
        <row r="446">
          <cell r="B446" t="str">
            <v>Concrete Pavement</v>
          </cell>
        </row>
        <row r="447">
          <cell r="B447" t="str">
            <v>Sand Bedding</v>
          </cell>
        </row>
        <row r="448">
          <cell r="B448" t="str">
            <v>Rockfill Bedding</v>
          </cell>
        </row>
        <row r="449">
          <cell r="B449" t="str">
            <v>Grouted Riprap Class "A"</v>
          </cell>
        </row>
        <row r="450">
          <cell r="B450" t="str">
            <v>Concrete Class "B" Line Canal "U" type</v>
          </cell>
        </row>
        <row r="451">
          <cell r="B451" t="str">
            <v>Lined Canal</v>
          </cell>
        </row>
        <row r="454">
          <cell r="B454" t="str">
            <v>Road Embankment</v>
          </cell>
        </row>
        <row r="455">
          <cell r="B455" t="str">
            <v>Aggregate Base Course (Item 201)</v>
          </cell>
        </row>
        <row r="458">
          <cell r="B458" t="str">
            <v>MISCELLANEOUS</v>
          </cell>
        </row>
        <row r="459">
          <cell r="B459" t="str">
            <v>Guard Rail</v>
          </cell>
        </row>
        <row r="460">
          <cell r="B460" t="str">
            <v>Reflective Pavement Marking</v>
          </cell>
        </row>
        <row r="461">
          <cell r="B461" t="str">
            <v>Regulatory Sign</v>
          </cell>
        </row>
        <row r="462">
          <cell r="B462" t="str">
            <v>GEOTEXTILE WORKS</v>
          </cell>
        </row>
        <row r="463">
          <cell r="B463" t="str">
            <v>Filter Fabric</v>
          </cell>
        </row>
        <row r="466">
          <cell r="B466" t="str">
            <v>IMPROVEMENT OF ACCESS ROAD</v>
          </cell>
        </row>
        <row r="468">
          <cell r="B468" t="str">
            <v>Excavation for Riprap Foundation</v>
          </cell>
        </row>
        <row r="469">
          <cell r="B469" t="str">
            <v>Earthfll, Common Borrow</v>
          </cell>
        </row>
        <row r="471">
          <cell r="B471" t="str">
            <v>ROCK WORKS</v>
          </cell>
        </row>
        <row r="473">
          <cell r="B473" t="str">
            <v>Supply &amp; Install Grouted Riprap</v>
          </cell>
        </row>
        <row r="474">
          <cell r="B474" t="str">
            <v>Rockfill for retaining wall foundation</v>
          </cell>
        </row>
        <row r="475">
          <cell r="B475" t="str">
            <v>Core Rockfill</v>
          </cell>
        </row>
        <row r="477">
          <cell r="B477" t="str">
            <v>PAVEMENT WORKS</v>
          </cell>
        </row>
        <row r="479">
          <cell r="B479" t="str">
            <v>Supply, Place and Compact Subbase Course</v>
          </cell>
        </row>
        <row r="480">
          <cell r="B480" t="str">
            <v>Supply, Place and Compact Base Course</v>
          </cell>
        </row>
        <row r="481">
          <cell r="B481" t="str">
            <v>Construct PCC Pavement</v>
          </cell>
        </row>
        <row r="482">
          <cell r="B482" t="str">
            <v>Construct Concrete Curb</v>
          </cell>
        </row>
        <row r="483">
          <cell r="B483" t="str">
            <v xml:space="preserve">Construct Concrete Curb -1 </v>
          </cell>
        </row>
        <row r="484">
          <cell r="B484" t="str">
            <v>Construct RC Curb @ Bulkhead</v>
          </cell>
        </row>
        <row r="485">
          <cell r="B485" t="str">
            <v>Construct Concrete Passenger Safety Wall</v>
          </cell>
        </row>
        <row r="488">
          <cell r="B488" t="str">
            <v>CONSTRUCTION OF RETAINING WALL</v>
          </cell>
        </row>
        <row r="490">
          <cell r="B490" t="str">
            <v>REHABILITATION OF EXISTING PIER</v>
          </cell>
        </row>
        <row r="492">
          <cell r="B492" t="str">
            <v>Concrete Curb</v>
          </cell>
        </row>
        <row r="493">
          <cell r="B493" t="str">
            <v>Supply, Place and Compact Base Course</v>
          </cell>
        </row>
        <row r="497">
          <cell r="B497" t="str">
            <v xml:space="preserve">OPERATIONS &amp; MAINTENANCE </v>
          </cell>
        </row>
        <row r="499">
          <cell r="B499" t="str">
            <v>Operations &amp; Maintenance</v>
          </cell>
        </row>
        <row r="501">
          <cell r="B501" t="str">
            <v>FALSEWORKS</v>
          </cell>
        </row>
        <row r="503">
          <cell r="B503" t="str">
            <v>Formworks (10mm thk. Ordinary Plywood)</v>
          </cell>
        </row>
        <row r="504">
          <cell r="B504" t="str">
            <v>Formworks (1/4" thk. Ordinary Plywood)</v>
          </cell>
        </row>
        <row r="505">
          <cell r="B505" t="str">
            <v>Formworks (Coco Lumber)</v>
          </cell>
        </row>
        <row r="506">
          <cell r="B506" t="str">
            <v>Scaffolds (Coco Lumber)</v>
          </cell>
        </row>
        <row r="508">
          <cell r="B508" t="str">
            <v>PAINTING WORKS</v>
          </cell>
        </row>
        <row r="509">
          <cell r="B509" t="str">
            <v>Painting on Masonry Surfaces</v>
          </cell>
        </row>
        <row r="510">
          <cell r="B510" t="str">
            <v>Painting on Steel Surfaces</v>
          </cell>
        </row>
        <row r="511">
          <cell r="B511" t="str">
            <v>Painting on Wooden Surfaces</v>
          </cell>
        </row>
        <row r="512">
          <cell r="B512" t="str">
            <v>Protective Coating</v>
          </cell>
        </row>
        <row r="515">
          <cell r="B515" t="str">
            <v>Wood Surface (Coal Tar)</v>
          </cell>
        </row>
        <row r="517">
          <cell r="B517" t="str">
            <v>FINISHING WORKS</v>
          </cell>
        </row>
        <row r="518">
          <cell r="B518" t="str">
            <v>Provide Plain Cement Plaster Finish</v>
          </cell>
        </row>
        <row r="519">
          <cell r="B519" t="str">
            <v>Apply Painted Finish on Concrete</v>
          </cell>
        </row>
        <row r="520">
          <cell r="B520" t="str">
            <v>Supply and Install Rooof Waterproofing</v>
          </cell>
        </row>
        <row r="521">
          <cell r="B521" t="str">
            <v>Supply and Install downspout, 100mm dia.</v>
          </cell>
        </row>
        <row r="522">
          <cell r="B522" t="str">
            <v>SUPPLY AND INSTALL COMPLETE BLDG., ELEC., SYSTEM</v>
          </cell>
        </row>
        <row r="523">
          <cell r="B523" t="str">
            <v>SUPPLY AND INSTALL PORTABLE FIRE EXTINGUISHER</v>
          </cell>
        </row>
        <row r="525">
          <cell r="B525" t="str">
            <v>BRIDGE CONSTRUCTION</v>
          </cell>
        </row>
        <row r="526">
          <cell r="B526" t="str">
            <v>Removal of Existing Bailey Bridge L=15.65m.</v>
          </cell>
        </row>
        <row r="527">
          <cell r="B527" t="str">
            <v>Bridge Excavation Above O.W.L.</v>
          </cell>
        </row>
        <row r="528">
          <cell r="B528" t="str">
            <v>Precast 400 x 4000 R.C. Piles (Furnished)</v>
          </cell>
        </row>
        <row r="529">
          <cell r="B529" t="str">
            <v>Precast 400 x 4000 R.C. Piles (Driven)</v>
          </cell>
        </row>
        <row r="530">
          <cell r="B530" t="str">
            <v>Precast 400 x 4000 R.C. Piles, Test Piles (D/F)</v>
          </cell>
        </row>
        <row r="531">
          <cell r="B531" t="str">
            <v>Concrete Railings</v>
          </cell>
        </row>
        <row r="532">
          <cell r="B532" t="str">
            <v>Reinforcing Steel Grade 40</v>
          </cell>
        </row>
        <row r="533">
          <cell r="B533" t="str">
            <v>Structural Concrete Class A-2 Superstructure</v>
          </cell>
        </row>
        <row r="534">
          <cell r="B534" t="str">
            <v>Structural Concrete Class A-1 Substructure</v>
          </cell>
        </row>
        <row r="535">
          <cell r="B535" t="str">
            <v>Lean Concrete, 100mm thk.</v>
          </cell>
        </row>
        <row r="536">
          <cell r="B536" t="str">
            <v>Bridge Painting</v>
          </cell>
        </row>
        <row r="537">
          <cell r="B537" t="str">
            <v>Grouted Riprap Class "A"</v>
          </cell>
        </row>
        <row r="538">
          <cell r="B538" t="str">
            <v>Grouted Riprap Class "B"</v>
          </cell>
        </row>
        <row r="539">
          <cell r="B539" t="str">
            <v>Filter Layer, Granular Materials</v>
          </cell>
        </row>
        <row r="540">
          <cell r="B540" t="str">
            <v>River Bed Trimming &amp; Excavation</v>
          </cell>
        </row>
        <row r="544">
          <cell r="B544" t="str">
            <v>STEEL FENCING WORKS</v>
          </cell>
        </row>
        <row r="545">
          <cell r="B545" t="str">
            <v>Ga #10 G.I. Cyclone Wire Fence</v>
          </cell>
        </row>
        <row r="547">
          <cell r="B547" t="str">
            <v>REPAIR WORKS</v>
          </cell>
        </row>
        <row r="548">
          <cell r="B548" t="str">
            <v>Reinforced Concrete Repair Works</v>
          </cell>
        </row>
        <row r="553">
          <cell r="B553" t="str">
            <v>DEMOLITION WORKS</v>
          </cell>
        </row>
        <row r="556">
          <cell r="B556" t="str">
            <v>Demolition of Existing Structure affected by the construction</v>
          </cell>
        </row>
        <row r="558">
          <cell r="B558" t="str">
            <v>REMOVAL  WORKS</v>
          </cell>
        </row>
        <row r="560">
          <cell r="B560" t="str">
            <v>Removal of Existing Structure (Pipe Culverts)</v>
          </cell>
        </row>
        <row r="561">
          <cell r="B561" t="str">
            <v>Removal of Existing Structure (Stone masonry)</v>
          </cell>
        </row>
        <row r="563">
          <cell r="B563" t="str">
            <v>ELECTRICAL WORKS</v>
          </cell>
        </row>
        <row r="565">
          <cell r="B565" t="str">
            <v>SUPPLY AND INSTALL COMPLETE BLDG. ELEC. SYSTEM</v>
          </cell>
        </row>
        <row r="566">
          <cell r="B566" t="str">
            <v>SUPPLY AND INSTALL COMPLETE BLDG. ELEC'L SYSTEM</v>
          </cell>
        </row>
        <row r="568">
          <cell r="B568" t="str">
            <v>TRANSMISSION PIPE LINES</v>
          </cell>
        </row>
        <row r="569">
          <cell r="B569" t="str">
            <v>Supply and Install PE Pipes and Fittings (25mmØ)</v>
          </cell>
        </row>
        <row r="570">
          <cell r="B570" t="str">
            <v>Supply and Install PE Pipes and Fittings (32mmØ)</v>
          </cell>
        </row>
        <row r="571">
          <cell r="B571" t="str">
            <v>Supply and Install PE Pipes and Fittings (40mmØ)</v>
          </cell>
        </row>
        <row r="572">
          <cell r="B572" t="str">
            <v>Supply and Install PE Pipes and Fittings (50mmØ)</v>
          </cell>
        </row>
        <row r="573">
          <cell r="B573" t="str">
            <v>Supply and Install PE Pipes and Fittings (63mmØ)</v>
          </cell>
        </row>
        <row r="574">
          <cell r="B574" t="str">
            <v>Supply and Install PE Pipes and Fittings (75mmØ)</v>
          </cell>
        </row>
        <row r="575">
          <cell r="B575" t="str">
            <v>Supply and Install PE Pipes and Fittings (90mmØ)</v>
          </cell>
        </row>
        <row r="577">
          <cell r="B577" t="str">
            <v>Supply and Install GI Pipes and Fittings (63mmØ)</v>
          </cell>
        </row>
        <row r="578">
          <cell r="B578" t="str">
            <v>Supply and Install GI Pipes and Fittings (75mmØ)</v>
          </cell>
        </row>
        <row r="579">
          <cell r="B579" t="str">
            <v>Supply and Install GI Pipes and Fittings (90mmØ)</v>
          </cell>
        </row>
        <row r="580">
          <cell r="B580" t="str">
            <v>Supply and Install uPVC Pipes and Fittings (50mmØ)</v>
          </cell>
        </row>
        <row r="581">
          <cell r="B581" t="str">
            <v>Supply and Install uPVC Pipes and Fittings (63mmØ)</v>
          </cell>
        </row>
        <row r="582">
          <cell r="B582" t="str">
            <v>Supply and Install uPVC Pipes and Fittings (90mmØ)</v>
          </cell>
        </row>
        <row r="592">
          <cell r="B592" t="str">
            <v>FIRE PROTECTION WORKS</v>
          </cell>
        </row>
        <row r="594">
          <cell r="B594" t="str">
            <v>Supply and Install Portable Fire Extinguisher</v>
          </cell>
        </row>
        <row r="596">
          <cell r="B596" t="str">
            <v>SIGNAGES</v>
          </cell>
        </row>
        <row r="597">
          <cell r="B597" t="str">
            <v>PLATE MARKER &amp; SIGNAGES.</v>
          </cell>
        </row>
        <row r="598">
          <cell r="B598" t="str">
            <v>Plate Marker &amp; Signages</v>
          </cell>
        </row>
        <row r="599">
          <cell r="B599" t="str">
            <v>Plate Marker W/ Pedestal</v>
          </cell>
        </row>
        <row r="600">
          <cell r="B600" t="str">
            <v>Project Billboard</v>
          </cell>
        </row>
        <row r="601">
          <cell r="B601" t="str">
            <v>Plate Marker Pedestal</v>
          </cell>
        </row>
        <row r="603">
          <cell r="B603" t="str">
            <v>PROJECT COMPONENTS</v>
          </cell>
        </row>
        <row r="604">
          <cell r="B604" t="str">
            <v>INTAKE BOX TYPE "A"</v>
          </cell>
        </row>
        <row r="605">
          <cell r="B605" t="str">
            <v>INTAKE BOX TYPE "C"</v>
          </cell>
        </row>
        <row r="606">
          <cell r="B606" t="str">
            <v>CONCRETE RESERVOIR ON GRADE (20T LITERS)</v>
          </cell>
        </row>
        <row r="607">
          <cell r="B607" t="str">
            <v>COLLECTION BOX</v>
          </cell>
        </row>
        <row r="608">
          <cell r="B608" t="str">
            <v>TAPSTAND</v>
          </cell>
        </row>
        <row r="609">
          <cell r="B609" t="str">
            <v>RIVER CROSSING</v>
          </cell>
        </row>
        <row r="610">
          <cell r="B610" t="str">
            <v>PIPES &amp; CONVEYORS</v>
          </cell>
        </row>
        <row r="611">
          <cell r="B611" t="str">
            <v>OTHERS</v>
          </cell>
        </row>
        <row r="613">
          <cell r="B613" t="str">
            <v>PORTS CONSTRUCTION</v>
          </cell>
        </row>
        <row r="614">
          <cell r="B614" t="str">
            <v>PASSENGER TERMINAL SHED</v>
          </cell>
        </row>
        <row r="615">
          <cell r="B615" t="str">
            <v>TOILET</v>
          </cell>
        </row>
        <row r="616">
          <cell r="B616" t="str">
            <v>GEOTECHNICAL WORKS</v>
          </cell>
        </row>
        <row r="617">
          <cell r="B617" t="str">
            <v>Geotechnical Investigation</v>
          </cell>
        </row>
        <row r="620">
          <cell r="B620" t="str">
            <v>General Technical Requirements</v>
          </cell>
        </row>
        <row r="621">
          <cell r="B621" t="str">
            <v>SAFETY</v>
          </cell>
        </row>
        <row r="622">
          <cell r="B622" t="str">
            <v>DAYWORK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A"/>
      <sheetName val="list B"/>
      <sheetName val="Source"/>
      <sheetName val="FRONT PAGE"/>
      <sheetName val="2ND PAGE"/>
      <sheetName val="Sheet2"/>
      <sheetName val="Sheet1"/>
      <sheetName val="101(3)A"/>
      <sheetName val="101(3b)"/>
      <sheetName val="102(1)A"/>
      <sheetName val="102(2)A"/>
      <sheetName val="103(1)A"/>
      <sheetName val="104(1)"/>
      <sheetName val="105(1)"/>
      <sheetName val="200 A"/>
      <sheetName val="311 A"/>
      <sheetName val="505(5)A"/>
      <sheetName val="612(1)"/>
      <sheetName val="101(2)"/>
      <sheetName val="101(2)b"/>
      <sheetName val="101(3)"/>
      <sheetName val="101(4)"/>
      <sheetName val="FC 103(1)"/>
      <sheetName val="FC 103(3)"/>
      <sheetName val="103(6)"/>
      <sheetName val="404(a)"/>
      <sheetName val="404(b)"/>
      <sheetName val="405"/>
      <sheetName val="500(1)"/>
      <sheetName val="500(1)b A"/>
      <sheetName val="502(1)"/>
      <sheetName val="502(3)"/>
      <sheetName val="504(1)"/>
      <sheetName val="504(2)"/>
      <sheetName val="505(5)"/>
      <sheetName val="506"/>
      <sheetName val="519(1)"/>
      <sheetName val="519(2)A"/>
      <sheetName val="102(2)B"/>
      <sheetName val="103(1)B"/>
      <sheetName val="104(1) B"/>
      <sheetName val="105(1)B"/>
      <sheetName val="200 B"/>
      <sheetName val="311 B"/>
      <sheetName val="505(5)B"/>
      <sheetName val="612(1)B"/>
      <sheetName val="101(3)B"/>
      <sheetName val="103(1)"/>
      <sheetName val="103(3) B"/>
      <sheetName val="103(6) B"/>
      <sheetName val="404B"/>
      <sheetName val="404(b)B"/>
      <sheetName val="405B"/>
      <sheetName val="500(1)B"/>
      <sheetName val="502(3)B"/>
      <sheetName val="506 B"/>
      <sheetName val="FC 505(5) b"/>
      <sheetName val="519(2)B"/>
      <sheetName val="LINE DITCH"/>
      <sheetName val="102(2) C"/>
      <sheetName val="105(1)C"/>
      <sheetName val="200 C"/>
      <sheetName val="311(1) C"/>
      <sheetName val="605(3)"/>
      <sheetName val="612(1)C"/>
      <sheetName val="spl-1"/>
      <sheetName val="spl-2"/>
      <sheetName val="Spl-3"/>
      <sheetName val="bollard"/>
      <sheetName val="TMA MAA-BANGKAL"/>
      <sheetName val="Sheet7"/>
      <sheetName val="tma rd"/>
      <sheetName val="tma FC"/>
      <sheetName val="TMA 1"/>
      <sheetName val="TMA"/>
      <sheetName val="bare month equip"/>
      <sheetName val="Numbers"/>
    </sheetNames>
    <sheetDataSet>
      <sheetData sheetId="0" refreshError="1"/>
      <sheetData sheetId="1" refreshError="1"/>
      <sheetData sheetId="2" refreshError="1">
        <row r="4">
          <cell r="B4">
            <v>1541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A"/>
      <sheetName val="list B"/>
      <sheetName val="Source"/>
      <sheetName val="FRONT PAGE"/>
      <sheetName val="2ND PAGE"/>
      <sheetName val="Sheet2"/>
      <sheetName val="Sheet1"/>
      <sheetName val="101(3)A"/>
      <sheetName val="101(3b)"/>
      <sheetName val="102(1)A"/>
      <sheetName val="102(2)A"/>
      <sheetName val="103(1)A"/>
      <sheetName val="104(1)"/>
      <sheetName val="105(1)"/>
      <sheetName val="200 A"/>
      <sheetName val="311 A"/>
      <sheetName val="505(5)A"/>
      <sheetName val="612(1)"/>
      <sheetName val="101(2)"/>
      <sheetName val="101(2)b"/>
      <sheetName val="101(3)"/>
      <sheetName val="101(4)"/>
      <sheetName val="FC 103(1)"/>
      <sheetName val="FC 103(3)"/>
      <sheetName val="103(6)"/>
      <sheetName val="404(a)"/>
      <sheetName val="404(b)"/>
      <sheetName val="405"/>
      <sheetName val="500(1)"/>
      <sheetName val="500(1)b A"/>
      <sheetName val="502(1)"/>
      <sheetName val="502(3)"/>
      <sheetName val="504(1)"/>
      <sheetName val="504(2)"/>
      <sheetName val="505(5)"/>
      <sheetName val="506"/>
      <sheetName val="519(1)"/>
      <sheetName val="519(2)A"/>
      <sheetName val="102(2)B"/>
      <sheetName val="103(1)B"/>
      <sheetName val="104(1) B"/>
      <sheetName val="105(1)B"/>
      <sheetName val="200 B"/>
      <sheetName val="311 B"/>
      <sheetName val="505(5)B"/>
      <sheetName val="612(1)B"/>
      <sheetName val="101(3)B"/>
      <sheetName val="103(1)"/>
      <sheetName val="103(3) B"/>
      <sheetName val="103(6) B"/>
      <sheetName val="404B"/>
      <sheetName val="404(b)B"/>
      <sheetName val="405B"/>
      <sheetName val="500(1)B"/>
      <sheetName val="502(3)B"/>
      <sheetName val="506 B"/>
      <sheetName val="FC 505(5) b"/>
      <sheetName val="519(2)B"/>
      <sheetName val="LINE DITCH"/>
      <sheetName val="102(2) C"/>
      <sheetName val="105(1)C"/>
      <sheetName val="200 C"/>
      <sheetName val="311(1) C"/>
      <sheetName val="605(3)"/>
      <sheetName val="612(1)C"/>
      <sheetName val="spl-1"/>
      <sheetName val="spl-2"/>
      <sheetName val="Spl-3"/>
      <sheetName val="bollard"/>
      <sheetName val="TMA MAA-BANGKAL"/>
      <sheetName val="Sheet7"/>
      <sheetName val="tma rd"/>
      <sheetName val="tma FC"/>
      <sheetName val="TMA 1"/>
      <sheetName val="TMA"/>
      <sheetName val="bare month equip"/>
    </sheetNames>
    <sheetDataSet>
      <sheetData sheetId="0" refreshError="1"/>
      <sheetData sheetId="1" refreshError="1"/>
      <sheetData sheetId="2" refreshError="1">
        <row r="4">
          <cell r="B4">
            <v>1541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Center"/>
      <sheetName val="Project List"/>
      <sheetName val="Extracted Information"/>
      <sheetName val="Data"/>
      <sheetName val="Numbers"/>
      <sheetName val="Materials"/>
      <sheetName val="Manpower"/>
      <sheetName val="Transport"/>
      <sheetName val="Equipment"/>
      <sheetName val="Scope of Works"/>
      <sheetName val="Oth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D10" t="str">
            <v>Sand</v>
          </cell>
        </row>
        <row r="11">
          <cell r="D11" t="str">
            <v>Gravel</v>
          </cell>
        </row>
        <row r="12">
          <cell r="D12" t="str">
            <v>Gravel Bedding</v>
          </cell>
        </row>
        <row r="13">
          <cell r="D13" t="str">
            <v>Stone</v>
          </cell>
        </row>
        <row r="14">
          <cell r="D14" t="str">
            <v>Boulders / Stone</v>
          </cell>
        </row>
        <row r="15">
          <cell r="D15" t="str">
            <v>Boulders (20-30 cm dia.)</v>
          </cell>
        </row>
        <row r="16">
          <cell r="D16" t="str">
            <v>Filling Materials</v>
          </cell>
        </row>
        <row r="17">
          <cell r="D17" t="str">
            <v>Aggregate Sub Base Course (Item 200)</v>
          </cell>
        </row>
        <row r="18">
          <cell r="D18" t="str">
            <v>Aggregate Base Course (Item 201)</v>
          </cell>
        </row>
        <row r="19">
          <cell r="D19" t="str">
            <v>Common Borrow</v>
          </cell>
        </row>
        <row r="20">
          <cell r="D20" t="str">
            <v>Gravelfill</v>
          </cell>
        </row>
        <row r="21">
          <cell r="D21" t="str">
            <v>Sand Fill</v>
          </cell>
        </row>
        <row r="22">
          <cell r="D22" t="str">
            <v>Granular Fill</v>
          </cell>
        </row>
        <row r="23">
          <cell r="D23" t="str">
            <v>Rock / Boulder (50-200 kg)</v>
          </cell>
        </row>
        <row r="24">
          <cell r="D24" t="str">
            <v>Rock / Boulder (100-200 kg)</v>
          </cell>
        </row>
        <row r="29">
          <cell r="D29" t="str">
            <v>( WATER )</v>
          </cell>
        </row>
        <row r="30">
          <cell r="D30" t="str">
            <v>Water</v>
          </cell>
        </row>
        <row r="32">
          <cell r="D32" t="str">
            <v>( CEMENT )</v>
          </cell>
        </row>
        <row r="33">
          <cell r="D33" t="str">
            <v>Portland Cement 40kg</v>
          </cell>
        </row>
        <row r="34">
          <cell r="D34" t="str">
            <v>Portland Cement</v>
          </cell>
        </row>
        <row r="35">
          <cell r="D35" t="str">
            <v>Pozzoland Cement 40 kg</v>
          </cell>
        </row>
        <row r="36">
          <cell r="D36" t="str">
            <v>Red cement</v>
          </cell>
        </row>
        <row r="37">
          <cell r="D37" t="str">
            <v>White Cement</v>
          </cell>
        </row>
        <row r="38">
          <cell r="D38" t="str">
            <v>Water Sealant Cement</v>
          </cell>
        </row>
        <row r="39">
          <cell r="D39" t="str">
            <v>Bentonite</v>
          </cell>
        </row>
        <row r="40">
          <cell r="D40" t="str">
            <v>Epoxy Grout</v>
          </cell>
        </row>
        <row r="41">
          <cell r="D41" t="str">
            <v>Epoxy Resin</v>
          </cell>
        </row>
        <row r="42">
          <cell r="D42" t="str">
            <v>Non-Shrink Grout</v>
          </cell>
        </row>
        <row r="44">
          <cell r="D44" t="str">
            <v>( CEMENT PRODUCTS )</v>
          </cell>
        </row>
        <row r="45">
          <cell r="D45" t="str">
            <v>100mm Conc. Hollow Block</v>
          </cell>
        </row>
        <row r="46">
          <cell r="D46" t="str">
            <v>150mm Conc. Hollow Block</v>
          </cell>
        </row>
        <row r="47">
          <cell r="D47" t="str">
            <v>Decorative Concrete Block (Louver Type)</v>
          </cell>
        </row>
        <row r="48">
          <cell r="D48" t="str">
            <v>250mm x 250mm Decorative Concrete Block</v>
          </cell>
        </row>
        <row r="49">
          <cell r="D49" t="str">
            <v>300mm RC Pipe Culvert</v>
          </cell>
        </row>
        <row r="50">
          <cell r="D50" t="str">
            <v>450mm RC Pipe Culvert</v>
          </cell>
        </row>
        <row r="51">
          <cell r="D51" t="str">
            <v>610mm RC Pipe Culvert</v>
          </cell>
        </row>
        <row r="52">
          <cell r="D52" t="str">
            <v>760mm RC Pipe Culvert</v>
          </cell>
        </row>
        <row r="53">
          <cell r="D53" t="str">
            <v>910mm RC Pipe Culvert</v>
          </cell>
        </row>
        <row r="54">
          <cell r="D54" t="str">
            <v>1220mm RC Pipe Culvert</v>
          </cell>
        </row>
        <row r="55">
          <cell r="D55" t="str">
            <v>3"dia. Conc. Baluster, 18"</v>
          </cell>
        </row>
        <row r="57">
          <cell r="D57" t="str">
            <v>PRESTRESSED PILES</v>
          </cell>
        </row>
        <row r="59">
          <cell r="D59" t="str">
            <v>PSC Piles, 400mm x 400mm x 10m.</v>
          </cell>
        </row>
        <row r="60">
          <cell r="D60" t="str">
            <v>PSC Piles, 400mm x 400mm x 12m.</v>
          </cell>
        </row>
        <row r="61">
          <cell r="D61" t="str">
            <v>PSC Piles, 400mm x 400mm x 14m.</v>
          </cell>
        </row>
        <row r="62">
          <cell r="D62" t="str">
            <v>PSC Piles, 400mm x 400mm x 21m.</v>
          </cell>
        </row>
        <row r="63">
          <cell r="D63" t="str">
            <v>PSC Piles, 400mm x 400mm x 22m.</v>
          </cell>
        </row>
        <row r="64">
          <cell r="D64" t="str">
            <v>PSC Piles, 400mm x 400mm x 24m.</v>
          </cell>
        </row>
        <row r="65">
          <cell r="D65" t="str">
            <v>PSC Test Piles, 400mm x 400mm x 10m.</v>
          </cell>
        </row>
        <row r="66">
          <cell r="D66" t="str">
            <v>PSC Test Piles, 400mm x 400mm x 12m.</v>
          </cell>
        </row>
        <row r="67">
          <cell r="D67" t="str">
            <v>PSC Test Piles, 400mm x 400mm x 14m.</v>
          </cell>
        </row>
        <row r="68">
          <cell r="D68" t="str">
            <v>PSC Test Piles, 400mm x 400mm x 21m.</v>
          </cell>
        </row>
        <row r="69">
          <cell r="D69" t="str">
            <v>PSC Test Piles, 400mm x 400mm x 22m.</v>
          </cell>
        </row>
        <row r="70">
          <cell r="D70" t="str">
            <v xml:space="preserve">PSC Test Piles, 400mm x 400mm x 24m. </v>
          </cell>
        </row>
        <row r="72">
          <cell r="D72" t="str">
            <v xml:space="preserve">PSC Test Piles, 450mm x 450mm x 35m. </v>
          </cell>
        </row>
        <row r="73">
          <cell r="D73" t="str">
            <v>PSC Piles, 450mm x 450mm x 35m.</v>
          </cell>
        </row>
        <row r="74">
          <cell r="D74" t="str">
            <v xml:space="preserve">PSC Test Piles, 450mm x 450mm x 25m. </v>
          </cell>
        </row>
        <row r="75">
          <cell r="D75" t="str">
            <v>PSC Piles, 450mm x 450mm x 25m.</v>
          </cell>
        </row>
        <row r="78">
          <cell r="D78" t="str">
            <v xml:space="preserve">PSC Test Piles, 400mm x 400mm x 40m. </v>
          </cell>
        </row>
        <row r="79">
          <cell r="D79" t="str">
            <v>PSC Piles, 400mm x 400mm x 40m.</v>
          </cell>
        </row>
        <row r="81">
          <cell r="D81" t="str">
            <v xml:space="preserve">PSC Test Piles - 400mm x 400mm x 24m. </v>
          </cell>
        </row>
        <row r="82">
          <cell r="D82" t="str">
            <v>PSC Piles - 400mm x 400mm x 24m.</v>
          </cell>
        </row>
        <row r="86">
          <cell r="D86" t="str">
            <v>Steel Piles</v>
          </cell>
        </row>
        <row r="87">
          <cell r="D87" t="str">
            <v>Steel Sheet Pile (PZ27)</v>
          </cell>
        </row>
        <row r="88">
          <cell r="D88" t="str">
            <v>Steel Pipe Pile (Ø 450 x 12t x 18m. - SKK400)</v>
          </cell>
        </row>
        <row r="89">
          <cell r="D89" t="str">
            <v>Steel Pipe Pile (Ø 150 x 12t x 6m. - SKK400)</v>
          </cell>
        </row>
        <row r="96">
          <cell r="D96" t="str">
            <v>( TIMBER and INDIGENOUS MATERIALS )</v>
          </cell>
        </row>
        <row r="97">
          <cell r="D97" t="str">
            <v>1" x 6" (Yakal)</v>
          </cell>
        </row>
        <row r="98">
          <cell r="D98" t="str">
            <v>2" x 2" (Yakal)</v>
          </cell>
        </row>
        <row r="99">
          <cell r="D99" t="str">
            <v>2" x 6" (Yakal)</v>
          </cell>
        </row>
        <row r="100">
          <cell r="D100" t="str">
            <v>2" x 4" (Yakal or equivalent)</v>
          </cell>
        </row>
        <row r="101">
          <cell r="D101" t="str">
            <v>2" x 4" (Yakal)</v>
          </cell>
        </row>
        <row r="102">
          <cell r="D102" t="str">
            <v>2" x 3" (Yakal)</v>
          </cell>
        </row>
        <row r="103">
          <cell r="D103" t="str">
            <v>2" x 6" (Yakal or equivalent)</v>
          </cell>
        </row>
        <row r="104">
          <cell r="D104" t="str">
            <v>2" x 6" x 6' (Yakal)</v>
          </cell>
        </row>
        <row r="105">
          <cell r="D105" t="str">
            <v>2" x 6" x 6' (Yakal or equivalent)</v>
          </cell>
        </row>
        <row r="106">
          <cell r="D106" t="str">
            <v>2" x 6" x 8' (Yakal)</v>
          </cell>
        </row>
        <row r="107">
          <cell r="D107" t="str">
            <v>2" x 6" x 10' (Yakal)</v>
          </cell>
        </row>
        <row r="108">
          <cell r="D108" t="str">
            <v>2" x 6" x 12' (Yakal)</v>
          </cell>
        </row>
        <row r="109">
          <cell r="D109" t="str">
            <v>2" x 6" x 14' (Yakal)</v>
          </cell>
        </row>
        <row r="110">
          <cell r="D110" t="str">
            <v>3" x 4" (Yakal)</v>
          </cell>
        </row>
        <row r="111">
          <cell r="D111" t="str">
            <v>4" x 4" (Yakal)</v>
          </cell>
        </row>
        <row r="112">
          <cell r="D112" t="str">
            <v>3" x 4" (Yakal or equivalent)</v>
          </cell>
        </row>
        <row r="113">
          <cell r="D113" t="str">
            <v>3" x 4" x 8' (Yakal)</v>
          </cell>
        </row>
        <row r="114">
          <cell r="D114" t="str">
            <v>3" x 4" x 10' (Yakal)</v>
          </cell>
        </row>
        <row r="115">
          <cell r="D115" t="str">
            <v>6" x 6" (Yakal)</v>
          </cell>
        </row>
        <row r="116">
          <cell r="D116" t="str">
            <v>6" x 6" (Yakal or equivalent)</v>
          </cell>
        </row>
        <row r="117">
          <cell r="D117" t="str">
            <v>6" x 6" (Molave)</v>
          </cell>
        </row>
        <row r="118">
          <cell r="D118" t="str">
            <v>6" x 6" (Molave or equivalent)</v>
          </cell>
        </row>
        <row r="119">
          <cell r="D119" t="str">
            <v>6" x 6" x 10' (Yakal)</v>
          </cell>
        </row>
        <row r="120">
          <cell r="D120" t="str">
            <v>6" x 6" x 8' (Molave)</v>
          </cell>
        </row>
        <row r="121">
          <cell r="D121" t="str">
            <v>6" x 6" x 10' (Molave)</v>
          </cell>
        </row>
        <row r="122">
          <cell r="D122" t="str">
            <v>6" x 6" x 14' (Molave)</v>
          </cell>
        </row>
        <row r="123">
          <cell r="D123" t="str">
            <v>6" x 6" x 16' (Molave)</v>
          </cell>
        </row>
        <row r="124">
          <cell r="D124" t="str">
            <v>6" x 6" x 18' (Molave)</v>
          </cell>
        </row>
        <row r="125">
          <cell r="D125" t="str">
            <v>6" x 6" x 20' (Molave)</v>
          </cell>
        </row>
        <row r="126">
          <cell r="D126" t="str">
            <v>6" x 6" x 22' (Molave)</v>
          </cell>
        </row>
        <row r="127">
          <cell r="D127" t="str">
            <v>8" Ø Molave Pile</v>
          </cell>
        </row>
        <row r="128">
          <cell r="D128" t="str">
            <v>Yakal</v>
          </cell>
        </row>
        <row r="129">
          <cell r="D129" t="str">
            <v>Guijo</v>
          </cell>
        </row>
        <row r="130">
          <cell r="D130" t="str">
            <v>Apitong</v>
          </cell>
        </row>
        <row r="131">
          <cell r="D131" t="str">
            <v>Lauan</v>
          </cell>
        </row>
        <row r="132">
          <cell r="D132" t="str">
            <v>Coco Trunks</v>
          </cell>
        </row>
        <row r="133">
          <cell r="D133" t="str">
            <v>Coco Lumber</v>
          </cell>
        </row>
        <row r="134">
          <cell r="D134" t="str">
            <v>Coco Lumber (Miscut)</v>
          </cell>
        </row>
        <row r="135">
          <cell r="D135" t="str">
            <v>Falsework &amp; Scaffolds (Coco Lumber)</v>
          </cell>
        </row>
        <row r="136">
          <cell r="D136" t="str">
            <v>Falsework, Scaffolds &amp; Formworks (Coco Lumber)</v>
          </cell>
        </row>
        <row r="137">
          <cell r="D137" t="str">
            <v>Bamboo Poles</v>
          </cell>
        </row>
        <row r="138">
          <cell r="D138" t="str">
            <v>1½"   Bamboo Slats</v>
          </cell>
        </row>
        <row r="139">
          <cell r="D139" t="str">
            <v>Bamboo Slats</v>
          </cell>
        </row>
        <row r="140">
          <cell r="D140" t="str">
            <v>Bacauan</v>
          </cell>
        </row>
        <row r="141">
          <cell r="D141" t="str">
            <v>Tambulian or Equivalent</v>
          </cell>
        </row>
        <row r="142">
          <cell r="D142" t="str">
            <v>Nipa Shingles</v>
          </cell>
        </row>
        <row r="143">
          <cell r="D143" t="str">
            <v>Gemilina</v>
          </cell>
        </row>
        <row r="145">
          <cell r="D145" t="str">
            <v>( TIMBER PRODUCTS )</v>
          </cell>
        </row>
        <row r="146">
          <cell r="D146" t="str">
            <v>Mouldings and Slats</v>
          </cell>
        </row>
        <row r="147">
          <cell r="D147" t="str">
            <v>S-Type Mouldings/Cornice</v>
          </cell>
        </row>
        <row r="148">
          <cell r="D148" t="str">
            <v>Moulding/Cornice</v>
          </cell>
        </row>
        <row r="149">
          <cell r="D149" t="str">
            <v>0.70 x 1.00 fixed Louvers</v>
          </cell>
        </row>
        <row r="150">
          <cell r="D150" t="str">
            <v>Wall Boards, T&amp;G, stone-cut, etc.</v>
          </cell>
        </row>
        <row r="151">
          <cell r="D151" t="str">
            <v>¼" thk, Ordinary Plywood</v>
          </cell>
        </row>
        <row r="152">
          <cell r="D152" t="str">
            <v>3/8" thk, Ordinary Plywood</v>
          </cell>
        </row>
        <row r="153">
          <cell r="D153" t="str">
            <v>½" thk, Ordinary Plywood</v>
          </cell>
        </row>
        <row r="154">
          <cell r="D154" t="str">
            <v>3/4" thk,  Ordinary Plywood</v>
          </cell>
        </row>
        <row r="155">
          <cell r="D155" t="str">
            <v>¼" thk,  Marine Plywood</v>
          </cell>
        </row>
        <row r="156">
          <cell r="D156" t="str">
            <v>½" thk,  Marine Plywood</v>
          </cell>
        </row>
        <row r="157">
          <cell r="D157" t="str">
            <v>3/8" thk,  Form Plywood</v>
          </cell>
        </row>
        <row r="158">
          <cell r="D158" t="str">
            <v>4" x 8' Stone-Cut T&amp;G</v>
          </cell>
        </row>
        <row r="159">
          <cell r="D159" t="str">
            <v>1/4"Hardiflex</v>
          </cell>
        </row>
        <row r="160">
          <cell r="D160" t="str">
            <v>Wooden Door Set</v>
          </cell>
        </row>
        <row r="161">
          <cell r="D161" t="str">
            <v>Wooden Window Set w/ Steel Grilles</v>
          </cell>
        </row>
        <row r="162">
          <cell r="D162" t="str">
            <v>Wooden Window-1 Set w/ Steel Grilles</v>
          </cell>
        </row>
        <row r="163">
          <cell r="D163" t="str">
            <v>Wooden Window-2 Set w/ Steel Grilles</v>
          </cell>
        </row>
        <row r="165">
          <cell r="D165" t="str">
            <v>Wooden Door-1 Set</v>
          </cell>
        </row>
        <row r="166">
          <cell r="D166" t="str">
            <v>Wooden Door-2 Set</v>
          </cell>
        </row>
        <row r="167">
          <cell r="D167" t="str">
            <v>Wooden Door-3 Set</v>
          </cell>
        </row>
        <row r="168">
          <cell r="D168" t="str">
            <v>Wooden Window Set</v>
          </cell>
        </row>
        <row r="171">
          <cell r="D171" t="str">
            <v>Wooden Window Set w/ Steel Grilles</v>
          </cell>
        </row>
        <row r="172">
          <cell r="D172" t="str">
            <v>Wooden Window-1 Set w/ Steel Grilles</v>
          </cell>
        </row>
        <row r="173">
          <cell r="D173" t="str">
            <v>Wooden Window-2 Set w/ Steel Grilles</v>
          </cell>
        </row>
        <row r="178">
          <cell r="D178" t="str">
            <v>( FLAT &amp; ROUND STEEL BARS )</v>
          </cell>
        </row>
        <row r="179">
          <cell r="D179" t="str">
            <v>Deformed Bars, Grade 40</v>
          </cell>
        </row>
        <row r="180">
          <cell r="D180" t="str">
            <v>Deformed Bars, Grade 33</v>
          </cell>
        </row>
        <row r="181">
          <cell r="D181" t="str">
            <v xml:space="preserve">6mmØ x 6m. RSB </v>
          </cell>
        </row>
        <row r="182">
          <cell r="D182" t="str">
            <v xml:space="preserve">8mmØ x 6m. RSB </v>
          </cell>
        </row>
        <row r="183">
          <cell r="D183" t="str">
            <v xml:space="preserve">10mmØ x 6m. RSB </v>
          </cell>
        </row>
        <row r="184">
          <cell r="D184" t="str">
            <v xml:space="preserve">12mmØ x 6m. RSB </v>
          </cell>
        </row>
        <row r="185">
          <cell r="D185" t="str">
            <v>Deformed Bars, (276 Mpa)</v>
          </cell>
        </row>
        <row r="186">
          <cell r="D186" t="str">
            <v>Deformed Bars, (230 Mpa)</v>
          </cell>
        </row>
        <row r="187">
          <cell r="D187" t="str">
            <v>Plain Round Bars, Grade 33</v>
          </cell>
        </row>
        <row r="188">
          <cell r="D188" t="str">
            <v>12mm  Suction Rod with Threaded Coupling</v>
          </cell>
        </row>
        <row r="189">
          <cell r="D189" t="str">
            <v>Square Bar</v>
          </cell>
        </row>
        <row r="190">
          <cell r="D190" t="str">
            <v>¼" X 2½" Flat Bar</v>
          </cell>
        </row>
        <row r="191">
          <cell r="D191" t="str">
            <v>36mmØ Splicing Bar</v>
          </cell>
        </row>
        <row r="193">
          <cell r="D193" t="str">
            <v>10mmØ x 6m. RSB Grade 33</v>
          </cell>
        </row>
        <row r="194">
          <cell r="D194" t="str">
            <v>10mmØ x 7.5m. RSB Grade 33</v>
          </cell>
        </row>
        <row r="195">
          <cell r="D195" t="str">
            <v>10mmØ x 9m. RSB Grade 33</v>
          </cell>
        </row>
        <row r="196">
          <cell r="D196" t="str">
            <v>12mmØ x 6m. RSB Grade 33</v>
          </cell>
        </row>
        <row r="197">
          <cell r="D197" t="str">
            <v>12mmØ x 7.5m. RSB Grade 33</v>
          </cell>
        </row>
        <row r="198">
          <cell r="D198" t="str">
            <v>12mmØ x 9m. RSB Grade 33</v>
          </cell>
        </row>
        <row r="199">
          <cell r="D199" t="str">
            <v>16mmØ x 6m. RSB Grade 33</v>
          </cell>
        </row>
        <row r="200">
          <cell r="D200" t="str">
            <v>16mmØ x 7.5m. RSB Grade 33</v>
          </cell>
        </row>
        <row r="201">
          <cell r="D201" t="str">
            <v>16mmØ x 9m. RSB Grade 33</v>
          </cell>
        </row>
        <row r="202">
          <cell r="D202" t="str">
            <v>20mmØ x 6m. RSB Grade 33</v>
          </cell>
        </row>
        <row r="203">
          <cell r="D203" t="str">
            <v>20mmØ x 7.5m. RSB Grade 33</v>
          </cell>
        </row>
        <row r="204">
          <cell r="D204" t="str">
            <v>20mmØ x 9m. RSB Grade 33</v>
          </cell>
        </row>
        <row r="205">
          <cell r="D205" t="str">
            <v>25mmØ x 6m. RSB Grade 33</v>
          </cell>
        </row>
        <row r="206">
          <cell r="D206" t="str">
            <v>25mmØ x 7.5m. RSB Grade 33</v>
          </cell>
        </row>
        <row r="207">
          <cell r="D207" t="str">
            <v>25mmØ x 9m. RSB Grade 33</v>
          </cell>
        </row>
        <row r="211">
          <cell r="D211" t="str">
            <v>( STRUCTURAL STEEL )</v>
          </cell>
        </row>
        <row r="212">
          <cell r="D212" t="str">
            <v>3/16"x1½"x1½" Angle Bar</v>
          </cell>
        </row>
        <row r="213">
          <cell r="D213" t="str">
            <v>1/8" x 2" x 2" Angle Bar</v>
          </cell>
        </row>
        <row r="214">
          <cell r="D214" t="str">
            <v>3/16" x 2" x 2" Angle Bar</v>
          </cell>
        </row>
        <row r="215">
          <cell r="D215" t="str">
            <v>3/16" x 1" x1" Angle Bar</v>
          </cell>
        </row>
        <row r="216">
          <cell r="D216" t="str">
            <v>1" x 1/4" Flat Bar</v>
          </cell>
        </row>
        <row r="217">
          <cell r="D217" t="str">
            <v>38mm x 38mmx 5mm Angle Bar</v>
          </cell>
        </row>
        <row r="218">
          <cell r="D218" t="str">
            <v>38mm x 38mmx 6mm Angle Bar</v>
          </cell>
        </row>
        <row r="219">
          <cell r="D219" t="str">
            <v>40mm x 40mmx 6mm Angle Bar</v>
          </cell>
        </row>
        <row r="220">
          <cell r="D220" t="str">
            <v>25mm x 25mm x 3mm Angle Bar</v>
          </cell>
        </row>
        <row r="221">
          <cell r="D221" t="str">
            <v>25mm x 25mm x 6mm Angle Bar</v>
          </cell>
        </row>
        <row r="222">
          <cell r="D222" t="str">
            <v>50mm x 50mm x 4.5mm Angle Bar</v>
          </cell>
        </row>
        <row r="223">
          <cell r="D223" t="str">
            <v>3/16" x 2½" x2½" Angle Bar</v>
          </cell>
        </row>
        <row r="224">
          <cell r="D224" t="str">
            <v>100mm x 100mm x 8mm Angle Bar</v>
          </cell>
        </row>
        <row r="225">
          <cell r="D225" t="str">
            <v>100mm x 100mm x 10mm Angle Bar</v>
          </cell>
        </row>
        <row r="226">
          <cell r="D226" t="str">
            <v>100mm x 100mm x 12mm Angle Bar</v>
          </cell>
        </row>
        <row r="227">
          <cell r="D227" t="str">
            <v>Structural Steel, ASTM A36</v>
          </cell>
        </row>
        <row r="228">
          <cell r="D228" t="str">
            <v>Structural Steel Plate 9mm thk., ASTM A36</v>
          </cell>
        </row>
        <row r="229">
          <cell r="D229" t="str">
            <v>Structural Steel Plate 12mm thk., ASTM A36</v>
          </cell>
        </row>
        <row r="230">
          <cell r="D230" t="str">
            <v>Structural Steel Plate 16mm thk., ASTM A36</v>
          </cell>
        </row>
        <row r="231">
          <cell r="D231" t="str">
            <v>Structural Steel Plate 25mm thk., ASTM A36</v>
          </cell>
        </row>
        <row r="232">
          <cell r="D232" t="str">
            <v>Structural Steel 50mm x 50mm x 6m., ASTM A36</v>
          </cell>
        </row>
        <row r="233">
          <cell r="D233" t="str">
            <v>Steel Channel, 4 x 7.25</v>
          </cell>
        </row>
        <row r="234">
          <cell r="D234" t="str">
            <v>Steel Channel, 6 x 13</v>
          </cell>
        </row>
        <row r="235">
          <cell r="D235" t="str">
            <v>Steel Channel, C10 x 30</v>
          </cell>
        </row>
        <row r="236">
          <cell r="D236" t="str">
            <v>2" x 4" C-Purlin, Ga.16</v>
          </cell>
        </row>
        <row r="237">
          <cell r="D237" t="str">
            <v>LC 100x50x15x2.0 Purlins</v>
          </cell>
        </row>
        <row r="238">
          <cell r="D238" t="str">
            <v>12mmØ x 210mm A325 Bolts</v>
          </cell>
        </row>
        <row r="239">
          <cell r="D239" t="str">
            <v>20mmØ x 210mm A325 Bolts</v>
          </cell>
        </row>
        <row r="240">
          <cell r="D240" t="str">
            <v>25mmØ x 300mm A325 Bolts</v>
          </cell>
        </row>
        <row r="241">
          <cell r="D241" t="str">
            <v>32mmØ Standard Turn Buckle</v>
          </cell>
        </row>
        <row r="242">
          <cell r="D242" t="str">
            <v>32mmØ Standard Ring Joint</v>
          </cell>
        </row>
        <row r="243">
          <cell r="D243" t="str">
            <v>32mmØ Tie Rod</v>
          </cell>
        </row>
        <row r="244">
          <cell r="D244" t="str">
            <v>25mmØ x 500mm A325 Bolts</v>
          </cell>
        </row>
        <row r="245">
          <cell r="D245" t="str">
            <v>16mmØ x 250mm A325 Bolts</v>
          </cell>
        </row>
        <row r="246">
          <cell r="D246" t="str">
            <v>16mmØ x 50mm A325 Bolts</v>
          </cell>
        </row>
        <row r="247">
          <cell r="D247" t="str">
            <v>12mmØ x 75mm A325 Bolts</v>
          </cell>
        </row>
        <row r="249">
          <cell r="D249" t="str">
            <v>Steel Plate</v>
          </cell>
        </row>
        <row r="250">
          <cell r="D250" t="str">
            <v>Consumables</v>
          </cell>
        </row>
        <row r="251">
          <cell r="D251" t="str">
            <v>Joint Sealer</v>
          </cell>
        </row>
        <row r="257">
          <cell r="D257" t="str">
            <v>( NAILS, BOLTS and FASTENERS )</v>
          </cell>
        </row>
        <row r="258">
          <cell r="D258" t="str">
            <v>Common Wire Nails</v>
          </cell>
        </row>
        <row r="259">
          <cell r="D259" t="str">
            <v>Common Wire Nails (Keg)</v>
          </cell>
        </row>
        <row r="260">
          <cell r="D260" t="str">
            <v>Finishing Nails</v>
          </cell>
        </row>
        <row r="261">
          <cell r="D261" t="str">
            <v>Roofing Nails umbrella type</v>
          </cell>
        </row>
        <row r="262">
          <cell r="D262" t="str">
            <v>Concrete Nail</v>
          </cell>
        </row>
        <row r="263">
          <cell r="D263" t="str">
            <v>13mm, High-Strength Bolt, 4"</v>
          </cell>
        </row>
        <row r="264">
          <cell r="D264" t="str">
            <v>Machine Bolt w/ nut &amp; washer</v>
          </cell>
        </row>
        <row r="265">
          <cell r="D265" t="str">
            <v>16mmØ x 229 Machine Bolt w/ nut &amp; washer</v>
          </cell>
        </row>
        <row r="266">
          <cell r="D266" t="str">
            <v>20mmØ GI Machine Bolt w/ nut &amp; washer</v>
          </cell>
        </row>
        <row r="267">
          <cell r="D267" t="str">
            <v>16mmØ GI Machine Bolt w/ nut &amp; washer</v>
          </cell>
        </row>
        <row r="268">
          <cell r="D268" t="str">
            <v>12mmØ GI Machine Bolt w/ nut &amp; washer</v>
          </cell>
        </row>
        <row r="269">
          <cell r="D269" t="str">
            <v>Boat Spike (Nail)</v>
          </cell>
        </row>
        <row r="270">
          <cell r="D270" t="str">
            <v>7/8" Anchor Bolt, 10"</v>
          </cell>
        </row>
        <row r="271">
          <cell r="D271" t="str">
            <v>16mmØ x 250mm Anchor Bolt</v>
          </cell>
        </row>
        <row r="272">
          <cell r="D272" t="str">
            <v>12mmØ x 38mm Anchor Bolt</v>
          </cell>
        </row>
        <row r="273">
          <cell r="D273" t="str">
            <v>20mm, Turn Buckle</v>
          </cell>
        </row>
        <row r="274">
          <cell r="D274" t="str">
            <v>16mm, Turn Buckle</v>
          </cell>
        </row>
        <row r="275">
          <cell r="D275" t="str">
            <v>12mm  Turnbuckle</v>
          </cell>
        </row>
        <row r="276">
          <cell r="D276" t="str">
            <v>13mm, U-Bolt</v>
          </cell>
        </row>
        <row r="277">
          <cell r="D277" t="str">
            <v>13mm, Cable Clip</v>
          </cell>
        </row>
        <row r="278">
          <cell r="D278" t="str">
            <v>32mm, Cable Clip</v>
          </cell>
        </row>
        <row r="279">
          <cell r="D279" t="str">
            <v>13mm,  Thimble</v>
          </cell>
        </row>
        <row r="280">
          <cell r="D280" t="str">
            <v>12mm  Stainless Screw, 1/2"</v>
          </cell>
        </row>
        <row r="281">
          <cell r="D281" t="str">
            <v>Tekscrew</v>
          </cell>
        </row>
        <row r="282">
          <cell r="D282" t="str">
            <v>Post Strap Flat Bar</v>
          </cell>
        </row>
        <row r="284">
          <cell r="D284" t="str">
            <v>( GI WIRES )</v>
          </cell>
        </row>
        <row r="285">
          <cell r="D285" t="str">
            <v>Ga.16 GI Tie Wire</v>
          </cell>
        </row>
        <row r="286">
          <cell r="D286" t="str">
            <v>G.I. Rivets</v>
          </cell>
        </row>
        <row r="288">
          <cell r="D288" t="str">
            <v>( ROOFING SHEET )</v>
          </cell>
        </row>
        <row r="289">
          <cell r="D289" t="str">
            <v>GI Sheet Roofing</v>
          </cell>
        </row>
        <row r="290">
          <cell r="D290" t="str">
            <v>CORR. G.I.sheets, Ga.26</v>
          </cell>
        </row>
        <row r="291">
          <cell r="D291" t="str">
            <v>CORR. G.I.sheets, Ga.31</v>
          </cell>
        </row>
        <row r="292">
          <cell r="D292" t="str">
            <v>CORR. G.I.sheets x 6' , Ga.26</v>
          </cell>
        </row>
        <row r="293">
          <cell r="D293" t="str">
            <v>CORR. G.I.sheets x 8' , Ga.26</v>
          </cell>
        </row>
        <row r="294">
          <cell r="D294" t="str">
            <v>3' x 8' Plain G.I. Sheet, Ga.26</v>
          </cell>
        </row>
        <row r="295">
          <cell r="D295" t="str">
            <v>3' x 8' Plain G.I. Sheet, Ga.31</v>
          </cell>
        </row>
        <row r="296">
          <cell r="D296" t="str">
            <v>Plain G.I. Sheet, Ga.26</v>
          </cell>
        </row>
        <row r="297">
          <cell r="D297" t="str">
            <v>Pre-Painted Corr. GI Sht, Ga.26</v>
          </cell>
        </row>
        <row r="298">
          <cell r="D298" t="str">
            <v>24" Prefab GI Gutter</v>
          </cell>
        </row>
        <row r="299">
          <cell r="D299" t="str">
            <v>12" Prefab GI Ridge Roll</v>
          </cell>
        </row>
        <row r="300">
          <cell r="D300" t="str">
            <v>18" Prefab GI Flashing</v>
          </cell>
        </row>
        <row r="301">
          <cell r="D301" t="str">
            <v>3' x 8' Plain G.I. Sheet, Ga.24</v>
          </cell>
        </row>
        <row r="302">
          <cell r="D302" t="str">
            <v>0.40mm x 0.830m Durawide Rib Type Roofing Sheet (Phil Metal)</v>
          </cell>
        </row>
        <row r="303">
          <cell r="D303" t="str">
            <v>0.40mm x 0.45m x 3.66m) Pre-painted ridge roll (Phil Metal)</v>
          </cell>
        </row>
        <row r="304">
          <cell r="D304" t="str">
            <v>0.40mm x 0.915 x 3.66m) Spanish End Flashing (Phil Metal)</v>
          </cell>
        </row>
        <row r="305">
          <cell r="D305" t="str">
            <v>0.40mm x 0.915 x 3.66m) Spanish Gutter (Phil Metal)</v>
          </cell>
        </row>
        <row r="306">
          <cell r="D306" t="str">
            <v>Teks 4 #12-24 x 45mm Hex w/ Neo</v>
          </cell>
        </row>
        <row r="307">
          <cell r="D307" t="str">
            <v>Prepainted Galvallum Corr..sheets , 0.35mm thk.</v>
          </cell>
        </row>
        <row r="308">
          <cell r="D308" t="str">
            <v>Prepainted Galvallum Plain sheets, 0.35mm thk.</v>
          </cell>
        </row>
        <row r="309">
          <cell r="D309" t="str">
            <v>Prepainted Galvallum Corr..sheets x 6' , 0.35mm thk.</v>
          </cell>
        </row>
        <row r="310">
          <cell r="D310" t="str">
            <v>Prepainted Galvallum Corr..sheets x 8' , 0.35mm thk.</v>
          </cell>
        </row>
        <row r="311">
          <cell r="D311" t="str">
            <v>Prepainted Galvallum Plain sheets x 10' , 0.35mm thk.</v>
          </cell>
        </row>
        <row r="315">
          <cell r="D315" t="str">
            <v>Blind Rivets</v>
          </cell>
        </row>
        <row r="316">
          <cell r="D316" t="str">
            <v>Silicon Rubber Sealant</v>
          </cell>
        </row>
        <row r="317">
          <cell r="D317" t="str">
            <v>Touch-up Acrylic Paint</v>
          </cell>
        </row>
        <row r="319">
          <cell r="D319" t="str">
            <v>( HARDWARES )</v>
          </cell>
        </row>
        <row r="320">
          <cell r="D320" t="str">
            <v>Gutter seal</v>
          </cell>
        </row>
        <row r="321">
          <cell r="D321" t="str">
            <v>4'-wide Cyclone  Wire</v>
          </cell>
        </row>
        <row r="322">
          <cell r="D322" t="str">
            <v>1¼ "dia. X 6" Double Type Pulley Level</v>
          </cell>
        </row>
        <row r="323">
          <cell r="D323" t="str">
            <v>1¼ "dia. X 6" Steel Ring Bolt Adaptor</v>
          </cell>
        </row>
        <row r="324">
          <cell r="D324" t="str">
            <v>1¼ "dia. X 1¼" Steel Ring Bolt Adaptor</v>
          </cell>
        </row>
        <row r="325">
          <cell r="D325" t="str">
            <v>1" Cylindrical Ejector Assembly, 32"</v>
          </cell>
        </row>
        <row r="326">
          <cell r="D326" t="str">
            <v>1½" " Cylindrical Ejector Assembly, 32"</v>
          </cell>
        </row>
        <row r="327">
          <cell r="D327" t="str">
            <v>Cylindrical Door Knob</v>
          </cell>
        </row>
        <row r="328">
          <cell r="D328" t="str">
            <v>4" Barrel Bolts</v>
          </cell>
        </row>
        <row r="329">
          <cell r="D329" t="str">
            <v>4" x 4" Loose Pin Butt Hinges</v>
          </cell>
        </row>
        <row r="330">
          <cell r="D330" t="str">
            <v>3" x 3" Loose Pin Butt Hinges</v>
          </cell>
        </row>
        <row r="331">
          <cell r="D331" t="str">
            <v>4" Hasp Lock Hinges</v>
          </cell>
        </row>
        <row r="332">
          <cell r="D332" t="str">
            <v>Alum. Mesh Wire, 1/8" eye x 3'</v>
          </cell>
        </row>
        <row r="333">
          <cell r="D333" t="str">
            <v>Alum. Mesh Wire, 1/2" eye x 3'</v>
          </cell>
        </row>
        <row r="334">
          <cell r="D334" t="str">
            <v>Alum. Mesh Wire, 1" eye x 3'</v>
          </cell>
        </row>
        <row r="335">
          <cell r="D335" t="str">
            <v>Aluminum Mosquito Screen, 3ft-wide</v>
          </cell>
        </row>
        <row r="336">
          <cell r="D336" t="str">
            <v>Aukom Rug</v>
          </cell>
        </row>
        <row r="337">
          <cell r="D337" t="str">
            <v>Welding Rods 1/8"ø E60</v>
          </cell>
        </row>
        <row r="338">
          <cell r="D338" t="str">
            <v>Welding Rods 1/8"ø E70XX</v>
          </cell>
        </row>
        <row r="339">
          <cell r="D339" t="str">
            <v>Welwood Glue</v>
          </cell>
        </row>
        <row r="340">
          <cell r="D340" t="str">
            <v>Solvent Cement</v>
          </cell>
        </row>
        <row r="341">
          <cell r="D341" t="str">
            <v xml:space="preserve">1½"   Cylindrical Ejector Assmbly, CLAYTON USA </v>
          </cell>
        </row>
        <row r="342">
          <cell r="D342" t="str">
            <v xml:space="preserve">1¼" Cylindrical Ejector Assmbly, CLAYTON USA </v>
          </cell>
        </row>
        <row r="343">
          <cell r="D343" t="str">
            <v>½" Teflon Tape</v>
          </cell>
        </row>
        <row r="344">
          <cell r="D344" t="str">
            <v>¾" Teflon Tape</v>
          </cell>
        </row>
        <row r="345">
          <cell r="D345" t="str">
            <v>1"  Teflon Tape</v>
          </cell>
        </row>
        <row r="346">
          <cell r="D346" t="str">
            <v>Cabinet Door Handle</v>
          </cell>
        </row>
        <row r="347">
          <cell r="D347" t="str">
            <v>½" dia. x 3/4"  Pillow Block</v>
          </cell>
        </row>
        <row r="348">
          <cell r="D348" t="str">
            <v>#6203  Bearing</v>
          </cell>
        </row>
        <row r="349">
          <cell r="D349" t="str">
            <v>3/4"dia. x 4"  Steel Spring</v>
          </cell>
        </row>
        <row r="350">
          <cell r="D350" t="str">
            <v>1¼" Foot Valve, Brass</v>
          </cell>
        </row>
        <row r="351">
          <cell r="D351" t="str">
            <v>1" x 2" Cabinet Hinges</v>
          </cell>
        </row>
        <row r="352">
          <cell r="D352" t="str">
            <v>Gabion Mattress</v>
          </cell>
        </row>
        <row r="354">
          <cell r="D354" t="str">
            <v>( STRUCTURAL STEEL WIRES AND CABLES )</v>
          </cell>
        </row>
        <row r="355">
          <cell r="D355" t="str">
            <v>6mm,  IWRC (6 x  25)</v>
          </cell>
        </row>
        <row r="356">
          <cell r="D356" t="str">
            <v>8mm,  IWRC (6 x  25)</v>
          </cell>
        </row>
        <row r="357">
          <cell r="D357" t="str">
            <v>10mm,  IWRC (6 x  25)</v>
          </cell>
        </row>
        <row r="358">
          <cell r="D358" t="str">
            <v>11mm,  IWRC (6 x  25)</v>
          </cell>
        </row>
        <row r="359">
          <cell r="D359" t="str">
            <v>13mm,  IWRC (6 x  25)</v>
          </cell>
        </row>
        <row r="360">
          <cell r="D360" t="str">
            <v>14mm,  IWRC (6 x  25)</v>
          </cell>
        </row>
        <row r="361">
          <cell r="D361" t="str">
            <v>16mm,  IWRC (6 x  25)</v>
          </cell>
        </row>
        <row r="362">
          <cell r="D362" t="str">
            <v>20mm,  IWRC (6 x  25)</v>
          </cell>
        </row>
        <row r="363">
          <cell r="D363" t="str">
            <v>22mm,  IWRC (6 x  25)</v>
          </cell>
        </row>
        <row r="364">
          <cell r="D364" t="str">
            <v>25mm,  IWRC (6 x  25)</v>
          </cell>
        </row>
        <row r="365">
          <cell r="D365" t="str">
            <v>29mm,  IWRC (6 x  25)</v>
          </cell>
        </row>
        <row r="366">
          <cell r="D366" t="str">
            <v>32mm,  IWRC (6 x  25)</v>
          </cell>
        </row>
        <row r="367">
          <cell r="D367" t="str">
            <v>35mm, ,  IWRC (6 x  25)</v>
          </cell>
        </row>
        <row r="368">
          <cell r="D368" t="str">
            <v>38mm,  IWRC (6 x  25)</v>
          </cell>
        </row>
        <row r="369">
          <cell r="D369" t="str">
            <v>41mm,  IWRC (6 x  25)</v>
          </cell>
        </row>
        <row r="370">
          <cell r="D370" t="str">
            <v>44mm,  IWRC (6 x  25)</v>
          </cell>
        </row>
        <row r="371">
          <cell r="D371" t="str">
            <v>48mm,  IWRC (6 x  25)</v>
          </cell>
        </row>
        <row r="372">
          <cell r="D372" t="str">
            <v>51mm,  IWRC (6 x  25)</v>
          </cell>
        </row>
        <row r="373">
          <cell r="D373" t="str">
            <v>54mm,  IWRC (6 x  25)</v>
          </cell>
        </row>
        <row r="374">
          <cell r="D374" t="str">
            <v>57mm,  IWRC (6 x  25)</v>
          </cell>
        </row>
        <row r="375">
          <cell r="D375" t="str">
            <v>5mm, Wire Rope Fiber Core (6 x 25)</v>
          </cell>
        </row>
        <row r="376">
          <cell r="D376" t="str">
            <v>6mm, Wire Rope Fiber Core (6 x 25)</v>
          </cell>
        </row>
        <row r="377">
          <cell r="D377" t="str">
            <v>8mm, Wire Rope Fiber Core (6 x 25)</v>
          </cell>
        </row>
        <row r="378">
          <cell r="D378" t="str">
            <v>10mm, Wire Rope Fiber Core (6 x 25)</v>
          </cell>
        </row>
        <row r="379">
          <cell r="D379" t="str">
            <v>11mm, Wire Rope Fiber Core (6 x 25)</v>
          </cell>
        </row>
        <row r="380">
          <cell r="D380" t="str">
            <v>13mm, Wire Rope Fiber Core (6 x 25)</v>
          </cell>
        </row>
        <row r="381">
          <cell r="D381" t="str">
            <v>14mm, Wire Rope Fiber Core (6 x 25)</v>
          </cell>
        </row>
        <row r="382">
          <cell r="D382" t="str">
            <v>16mm, Wire Rope Fiber Core (6 x 25)</v>
          </cell>
        </row>
        <row r="383">
          <cell r="D383" t="str">
            <v>20mm, Wire Rope Fiber Core (6 x 25)</v>
          </cell>
        </row>
        <row r="384">
          <cell r="D384" t="str">
            <v>22mm, Wire Rope Fiber Core (6 x 25)</v>
          </cell>
        </row>
        <row r="385">
          <cell r="D385" t="str">
            <v>25mm, Wire Rope Fiber Core (6 x 25)</v>
          </cell>
        </row>
        <row r="386">
          <cell r="D386" t="str">
            <v>29mm, Wire Rope Fiber Core (6 x 25)</v>
          </cell>
        </row>
        <row r="387">
          <cell r="D387" t="str">
            <v>32mm, Wire Rope Fiber Core (6 x 25)</v>
          </cell>
        </row>
        <row r="388">
          <cell r="D388" t="str">
            <v>35mm, , Wire Rope Fiber Core (6 x 25)</v>
          </cell>
        </row>
        <row r="389">
          <cell r="D389" t="str">
            <v>38mm, Wire Rope Fiber Core (6 x 25)</v>
          </cell>
        </row>
        <row r="390">
          <cell r="D390" t="str">
            <v>41mm, Wire Rope Fiber Core (6 x 25)</v>
          </cell>
        </row>
        <row r="391">
          <cell r="D391" t="str">
            <v>44mm, Wire Rope Fiber Core (6 x 25)</v>
          </cell>
        </row>
        <row r="392">
          <cell r="D392" t="str">
            <v>48mm, Wire Rope Fiber Core (6 x 25)</v>
          </cell>
        </row>
        <row r="393">
          <cell r="D393" t="str">
            <v>51mm, Wire Rope Fiber Core (6 x 25)</v>
          </cell>
        </row>
        <row r="394">
          <cell r="D394" t="str">
            <v>54mm, Wire Rope Fiber Core (6 x 25)</v>
          </cell>
        </row>
        <row r="395">
          <cell r="D395" t="str">
            <v>57mm, Wire Rope Fiber Core (6 x 25)</v>
          </cell>
        </row>
        <row r="396">
          <cell r="D396" t="str">
            <v>10mm, High Grade Steel Cable</v>
          </cell>
        </row>
        <row r="397">
          <cell r="D397" t="str">
            <v>6mmØ Cable Clips</v>
          </cell>
        </row>
        <row r="398">
          <cell r="D398" t="str">
            <v>20mmØ Cable Clips</v>
          </cell>
        </row>
        <row r="400">
          <cell r="D400" t="str">
            <v>( STEEL PLATES )</v>
          </cell>
        </row>
        <row r="401">
          <cell r="D401" t="str">
            <v>6mm, Expanded Metal Mesh</v>
          </cell>
        </row>
        <row r="402">
          <cell r="D402" t="str">
            <v>10mm, Steel Plate</v>
          </cell>
        </row>
        <row r="403">
          <cell r="D403" t="str">
            <v>6mm, Steel Plate</v>
          </cell>
        </row>
        <row r="404">
          <cell r="D404" t="str">
            <v>200mm x 200mm x 6mm, Steel Plate</v>
          </cell>
        </row>
        <row r="405">
          <cell r="D405" t="str">
            <v>300mm x 300mm x 6mm, Steel Plate</v>
          </cell>
        </row>
        <row r="406">
          <cell r="D406" t="str">
            <v>Steel Plate</v>
          </cell>
        </row>
        <row r="408">
          <cell r="D408" t="str">
            <v>( STAINLESS STEEL CYLINDRICAL TANK )</v>
          </cell>
        </row>
        <row r="409">
          <cell r="D409" t="str">
            <v>600L Ga. 18 Cylindrical H2O Tank</v>
          </cell>
        </row>
        <row r="410">
          <cell r="D410" t="str">
            <v>800L Ga. 18 Cylindrical H2O Tank</v>
          </cell>
        </row>
        <row r="411">
          <cell r="D411" t="str">
            <v>1000L Ga. 18 Cylindrical H2O Tank</v>
          </cell>
        </row>
        <row r="413">
          <cell r="D413" t="str">
            <v>( ALUMINUM AND GLASS )</v>
          </cell>
        </row>
        <row r="414">
          <cell r="D414" t="str">
            <v>Jalousie Glass Blade w/ Alum. Frame</v>
          </cell>
        </row>
        <row r="415">
          <cell r="D415" t="str">
            <v>Clear Glass</v>
          </cell>
        </row>
        <row r="416">
          <cell r="D416" t="str">
            <v>Smoke Glass</v>
          </cell>
        </row>
        <row r="417">
          <cell r="D417" t="str">
            <v>16 blades 4" Alum. Jal. Frame</v>
          </cell>
        </row>
        <row r="418">
          <cell r="D418" t="str">
            <v>14 blades 4" Alum. Jal. Frame</v>
          </cell>
        </row>
        <row r="419">
          <cell r="D419" t="str">
            <v>7 blades 4" Alum. Jal. Frame</v>
          </cell>
        </row>
        <row r="421">
          <cell r="D421" t="str">
            <v>( PLASTIC PRODUCTS )</v>
          </cell>
        </row>
        <row r="422">
          <cell r="D422" t="str">
            <v>25mm  Plastic Stranded Rope</v>
          </cell>
        </row>
        <row r="424">
          <cell r="D424" t="str">
            <v>PIPING &amp; EQUIPMENTS</v>
          </cell>
        </row>
        <row r="425">
          <cell r="D425" t="str">
            <v>Submersible Pumps &amp; its accessories</v>
          </cell>
        </row>
        <row r="426">
          <cell r="D426" t="str">
            <v>Submersible Pumps &amp; its accessories (3HP - 186S3.412)</v>
          </cell>
        </row>
        <row r="427">
          <cell r="D427" t="str">
            <v>Submersible Pumps &amp; its accessories (1HP - 136S10412)</v>
          </cell>
        </row>
        <row r="433">
          <cell r="D433" t="str">
            <v>GI PIPES AND FITTINGS</v>
          </cell>
        </row>
        <row r="434">
          <cell r="D434" t="str">
            <v>½" G.I. Pipe, sch. 40</v>
          </cell>
        </row>
        <row r="435">
          <cell r="D435" t="str">
            <v>3/4" G.I. Pipe, sch. 40</v>
          </cell>
        </row>
        <row r="436">
          <cell r="D436" t="str">
            <v>1" G.I. Pipe, sch. 40</v>
          </cell>
        </row>
        <row r="437">
          <cell r="D437" t="str">
            <v>1¼" G.I. Pipe, sch. 40</v>
          </cell>
        </row>
        <row r="438">
          <cell r="D438" t="str">
            <v>1½" G.I. Pipe, sch. 40</v>
          </cell>
        </row>
        <row r="439">
          <cell r="D439" t="str">
            <v>2" G.I. Pipe, sch. 40</v>
          </cell>
        </row>
        <row r="440">
          <cell r="D440" t="str">
            <v>2¼" G.I. Pipe, sch. 40</v>
          </cell>
        </row>
        <row r="441">
          <cell r="D441" t="str">
            <v>3" G.I. Pipe, sch. 40</v>
          </cell>
        </row>
        <row r="442">
          <cell r="D442" t="str">
            <v>4" G.I. Pipe, sch. 40</v>
          </cell>
        </row>
        <row r="443">
          <cell r="D443" t="str">
            <v>2½" G.I. Pipe, sch. 40</v>
          </cell>
        </row>
        <row r="444">
          <cell r="D444" t="str">
            <v>4" G.I. Pipe ,sch. 20</v>
          </cell>
        </row>
        <row r="445">
          <cell r="D445" t="str">
            <v>1½" G.I. Pipe ,sch. 20</v>
          </cell>
        </row>
        <row r="446">
          <cell r="D446" t="str">
            <v>½" G.I. Coupling, sch. 40</v>
          </cell>
        </row>
        <row r="447">
          <cell r="D447" t="str">
            <v>1" G.I. Coupling, sch. 40</v>
          </cell>
        </row>
        <row r="448">
          <cell r="D448" t="str">
            <v>1¼" G.I. Coupling, sch. 40</v>
          </cell>
        </row>
        <row r="449">
          <cell r="D449" t="str">
            <v>1½" G.I. Coupling, sch. 40</v>
          </cell>
        </row>
        <row r="450">
          <cell r="D450" t="str">
            <v>2"  G.I. Coupling, sch. 40</v>
          </cell>
        </row>
        <row r="451">
          <cell r="D451" t="str">
            <v>2¼" G.I. Coupling, sch. 40</v>
          </cell>
        </row>
        <row r="452">
          <cell r="D452" t="str">
            <v>3" G.I. Coupling, sch. 40</v>
          </cell>
        </row>
        <row r="453">
          <cell r="D453" t="str">
            <v>4"  G.I. Coupling, sch. 40</v>
          </cell>
        </row>
        <row r="454">
          <cell r="D454" t="str">
            <v>2½" G.I. Coupling, sch. 40</v>
          </cell>
        </row>
        <row r="455">
          <cell r="D455" t="str">
            <v>½" G.I. Elbow 45°, sch. 40</v>
          </cell>
        </row>
        <row r="456">
          <cell r="D456" t="str">
            <v>1"G.I. Elbow 45°, sch. 40</v>
          </cell>
        </row>
        <row r="457">
          <cell r="D457" t="str">
            <v>1¼"G.I. Elbow 45°, sch. 40</v>
          </cell>
        </row>
        <row r="458">
          <cell r="D458" t="str">
            <v>1½"G.I. Elbow 45°, sch. 40</v>
          </cell>
        </row>
        <row r="459">
          <cell r="D459" t="str">
            <v>2"G.I. Elbow 45°, sch. 40</v>
          </cell>
        </row>
        <row r="460">
          <cell r="D460" t="str">
            <v>2½" G.I. Elbow 45°, sch. 40</v>
          </cell>
        </row>
        <row r="461">
          <cell r="D461" t="str">
            <v>3" G.I. Elbow 45°, sch. 40</v>
          </cell>
        </row>
        <row r="462">
          <cell r="D462" t="str">
            <v>4" G.I. Elbow 45°, sch. 40</v>
          </cell>
        </row>
        <row r="463">
          <cell r="D463" t="str">
            <v>½" G.I. Elbow 90°, sch 40</v>
          </cell>
        </row>
        <row r="464">
          <cell r="D464" t="str">
            <v>1" G.I. Elbow 90°, sch 40</v>
          </cell>
        </row>
        <row r="465">
          <cell r="D465" t="str">
            <v>1¼" G.I. Elbow 90°, sch 40</v>
          </cell>
        </row>
        <row r="466">
          <cell r="D466" t="str">
            <v>1½"  G.I. Elbow 90°, sch 40</v>
          </cell>
        </row>
        <row r="467">
          <cell r="D467" t="str">
            <v>2" G.I. Elbow 90°, sch 40</v>
          </cell>
        </row>
        <row r="468">
          <cell r="D468" t="str">
            <v>2½" G.I. Elbow 90°, sch 40</v>
          </cell>
        </row>
        <row r="469">
          <cell r="D469" t="str">
            <v>3" G.I. Elbow 90°, sch 40</v>
          </cell>
        </row>
        <row r="470">
          <cell r="D470" t="str">
            <v>4" G.I. Elbow 90°, sch 40</v>
          </cell>
        </row>
        <row r="471">
          <cell r="D471" t="str">
            <v>2" G.I. Street Elbow, sch 40</v>
          </cell>
        </row>
        <row r="472">
          <cell r="D472" t="str">
            <v>3/4"  G.I. Elbow 90°, sch 40</v>
          </cell>
        </row>
        <row r="473">
          <cell r="D473" t="str">
            <v>½" G.I. TEE, sch 40</v>
          </cell>
        </row>
        <row r="474">
          <cell r="D474" t="str">
            <v>1" G.I. TEE, sch 40</v>
          </cell>
        </row>
        <row r="475">
          <cell r="D475" t="str">
            <v>1¼" G.I. TEE, sch 40</v>
          </cell>
        </row>
        <row r="476">
          <cell r="D476" t="str">
            <v>1½" G.I. TEE, sch 40</v>
          </cell>
        </row>
        <row r="477">
          <cell r="D477" t="str">
            <v>2"  G.I. TEE, sch 40</v>
          </cell>
        </row>
        <row r="478">
          <cell r="D478" t="str">
            <v>2½" G.I. TEE, sch 40</v>
          </cell>
        </row>
        <row r="479">
          <cell r="D479" t="str">
            <v>3" G.I. TEE, sch 40</v>
          </cell>
        </row>
        <row r="480">
          <cell r="D480" t="str">
            <v>4" G.I. TEE, sch 40</v>
          </cell>
        </row>
        <row r="481">
          <cell r="D481" t="str">
            <v>½" G.I. Nipples, 12"</v>
          </cell>
        </row>
        <row r="482">
          <cell r="D482" t="str">
            <v>1" G.I. Nipples, 12"</v>
          </cell>
        </row>
        <row r="483">
          <cell r="D483" t="str">
            <v>1" G.I. Nipple, 10"</v>
          </cell>
        </row>
        <row r="484">
          <cell r="D484" t="str">
            <v>1¼" G.I. Nipples, 4"</v>
          </cell>
        </row>
        <row r="485">
          <cell r="D485" t="str">
            <v>1¼" G.I. Nipples, 12"</v>
          </cell>
        </row>
        <row r="486">
          <cell r="D486" t="str">
            <v>½" G.I. Nipples, 4"</v>
          </cell>
        </row>
        <row r="487">
          <cell r="D487" t="str">
            <v>½" G.I. Nipples, 8"</v>
          </cell>
        </row>
        <row r="488">
          <cell r="D488" t="str">
            <v>3/4"  G.I. Nipples, 4"</v>
          </cell>
        </row>
        <row r="489">
          <cell r="D489" t="str">
            <v>63mmØ Gate Valve</v>
          </cell>
        </row>
        <row r="490">
          <cell r="D490" t="str">
            <v>63mmØ x 90° G.I. Elbow</v>
          </cell>
        </row>
        <row r="491">
          <cell r="D491" t="str">
            <v>63mmØ x 63mmØ Female Adaptor</v>
          </cell>
        </row>
        <row r="492">
          <cell r="D492" t="str">
            <v>63mmØ GI Union Patente</v>
          </cell>
        </row>
        <row r="493">
          <cell r="D493" t="str">
            <v>63mmØ GI Pipe</v>
          </cell>
        </row>
        <row r="494">
          <cell r="D494" t="str">
            <v>50mmØ GI Pipe</v>
          </cell>
        </row>
        <row r="495">
          <cell r="D495" t="str">
            <v>50mmØ GI Union Patente</v>
          </cell>
        </row>
        <row r="496">
          <cell r="D496" t="str">
            <v>50mmØ x 90° G.I. Elbow</v>
          </cell>
        </row>
        <row r="497">
          <cell r="D497" t="str">
            <v>50mmØ G.I. Nipples x 600mm</v>
          </cell>
        </row>
        <row r="498">
          <cell r="D498" t="str">
            <v>50mmØ G.I. Nipples x 500mm</v>
          </cell>
        </row>
        <row r="499">
          <cell r="D499" t="str">
            <v>50mmØ G.I. Nipples x 300mm</v>
          </cell>
        </row>
        <row r="500">
          <cell r="D500" t="str">
            <v>50mmØ G.I. Nipples x 200mm</v>
          </cell>
        </row>
        <row r="501">
          <cell r="D501" t="str">
            <v>50mmØ G.I. Gate Valve</v>
          </cell>
        </row>
        <row r="502">
          <cell r="D502" t="str">
            <v>50mmØ G.I. End Cap</v>
          </cell>
        </row>
        <row r="503">
          <cell r="D503" t="str">
            <v>50mmØ G.I. Perforated w/ Strainer</v>
          </cell>
        </row>
        <row r="504">
          <cell r="D504" t="str">
            <v>40mmØ x 50mmØ Female Adaptor</v>
          </cell>
        </row>
        <row r="505">
          <cell r="D505" t="str">
            <v>40mmØ x 90° G.I. Elbow</v>
          </cell>
        </row>
        <row r="506">
          <cell r="D506" t="str">
            <v>40mmØ G.I. Gate Valve</v>
          </cell>
        </row>
        <row r="507">
          <cell r="D507" t="str">
            <v>40mmØ G.I. Tee</v>
          </cell>
        </row>
        <row r="508">
          <cell r="D508" t="str">
            <v>40mmØ G.I. Coupling</v>
          </cell>
        </row>
        <row r="509">
          <cell r="D509" t="str">
            <v>38mmØ G.I. Nipples x 400mm</v>
          </cell>
        </row>
        <row r="510">
          <cell r="D510" t="str">
            <v>38mmØ G.I. Nipples x 100mm</v>
          </cell>
        </row>
        <row r="511">
          <cell r="D511" t="str">
            <v>38mmØ x 90° G.I. Elbow</v>
          </cell>
        </row>
        <row r="512">
          <cell r="D512" t="str">
            <v>12mmØ Brass Faucet</v>
          </cell>
        </row>
        <row r="513">
          <cell r="D513" t="str">
            <v>12mmØ Globe Valve</v>
          </cell>
        </row>
        <row r="514">
          <cell r="D514" t="str">
            <v>12mmØ Gate Valve</v>
          </cell>
        </row>
        <row r="515">
          <cell r="D515" t="str">
            <v>12mmØ Saddle Clamp</v>
          </cell>
        </row>
        <row r="516">
          <cell r="D516" t="str">
            <v>12mmØ PE Pipe</v>
          </cell>
        </row>
        <row r="517">
          <cell r="D517" t="str">
            <v>12mmØ GI Pipe</v>
          </cell>
        </row>
        <row r="518">
          <cell r="D518" t="str">
            <v>12mmØ x 90° GI Elbow</v>
          </cell>
        </row>
        <row r="519">
          <cell r="D519" t="str">
            <v>100mmØ PVC Pipe</v>
          </cell>
        </row>
        <row r="521">
          <cell r="D521" t="str">
            <v>½" G.I. Cap</v>
          </cell>
        </row>
        <row r="522">
          <cell r="D522" t="str">
            <v>1¼" G.I. Cap</v>
          </cell>
        </row>
        <row r="523">
          <cell r="D523" t="str">
            <v>2" G.I. Cap</v>
          </cell>
        </row>
        <row r="524">
          <cell r="D524" t="str">
            <v>2"x3/4", Saddle Clamp</v>
          </cell>
        </row>
        <row r="525">
          <cell r="D525" t="str">
            <v>½" Gate Valve</v>
          </cell>
        </row>
        <row r="526">
          <cell r="D526" t="str">
            <v>2" Gate Valve</v>
          </cell>
        </row>
        <row r="527">
          <cell r="D527" t="str">
            <v>3/4"  Gate Valve</v>
          </cell>
        </row>
        <row r="528">
          <cell r="D528" t="str">
            <v>½" Check Valve</v>
          </cell>
        </row>
        <row r="529">
          <cell r="D529" t="str">
            <v xml:space="preserve">½"  G.I. Union Patent </v>
          </cell>
        </row>
        <row r="530">
          <cell r="D530" t="str">
            <v xml:space="preserve">2" G.I. Union Patent </v>
          </cell>
        </row>
        <row r="531">
          <cell r="D531" t="str">
            <v xml:space="preserve">2½" G.I. Union Patent </v>
          </cell>
        </row>
        <row r="532">
          <cell r="D532" t="str">
            <v xml:space="preserve">1¼" x 3/4"  G.I. Bushing </v>
          </cell>
        </row>
        <row r="533">
          <cell r="D533" t="str">
            <v xml:space="preserve">1"x2", G.I. Bushing </v>
          </cell>
        </row>
        <row r="534">
          <cell r="D534" t="str">
            <v>1½" GI Male Adapter</v>
          </cell>
        </row>
        <row r="535">
          <cell r="D535" t="str">
            <v xml:space="preserve">2" x ½"  G.I. Bushing </v>
          </cell>
        </row>
        <row r="536">
          <cell r="D536" t="str">
            <v>2" x 1½" Reducer, Bell Cap</v>
          </cell>
        </row>
        <row r="537">
          <cell r="D537" t="str">
            <v>3/4" x ½" Reducer, Bell Cap</v>
          </cell>
        </row>
        <row r="539">
          <cell r="D539" t="str">
            <v>PVC AND UPVC PIPES AND FITTINGS - Blue Pipes (WaterPipes)</v>
          </cell>
        </row>
        <row r="540">
          <cell r="D540" t="str">
            <v>1/2" PVC Blue Pipe</v>
          </cell>
        </row>
        <row r="542">
          <cell r="D542" t="str">
            <v>( PVC AND UPVC PIPES AND FITTINGS )</v>
          </cell>
        </row>
        <row r="543">
          <cell r="D543" t="str">
            <v>2" PVC Pipe</v>
          </cell>
        </row>
        <row r="544">
          <cell r="D544" t="str">
            <v>3" PVC Pipe</v>
          </cell>
        </row>
        <row r="545">
          <cell r="D545" t="str">
            <v>4" PVC Pipe</v>
          </cell>
        </row>
        <row r="546">
          <cell r="D546" t="str">
            <v>4" PVC Pipe (S-40)</v>
          </cell>
        </row>
        <row r="547">
          <cell r="D547" t="str">
            <v>2" PVC TEE</v>
          </cell>
        </row>
        <row r="548">
          <cell r="D548" t="str">
            <v>3" PVC TEE</v>
          </cell>
        </row>
        <row r="549">
          <cell r="D549" t="str">
            <v>4" PVC TEE</v>
          </cell>
        </row>
        <row r="550">
          <cell r="D550" t="str">
            <v>2" PVC Elbow 45°</v>
          </cell>
        </row>
        <row r="551">
          <cell r="D551" t="str">
            <v>3" PVC Elbow 45°</v>
          </cell>
        </row>
        <row r="552">
          <cell r="D552" t="str">
            <v>4" PVC Elbow 45°</v>
          </cell>
        </row>
        <row r="553">
          <cell r="D553" t="str">
            <v>2" PVC Elbow 90°</v>
          </cell>
        </row>
        <row r="554">
          <cell r="D554" t="str">
            <v>3" PVC Elbow 90°</v>
          </cell>
        </row>
        <row r="555">
          <cell r="D555" t="str">
            <v>4" PVC Elbow 90°</v>
          </cell>
        </row>
        <row r="556">
          <cell r="D556" t="str">
            <v>2" PVC WYE</v>
          </cell>
        </row>
        <row r="557">
          <cell r="D557" t="str">
            <v>3" PVC WYE</v>
          </cell>
        </row>
        <row r="558">
          <cell r="D558" t="str">
            <v>4"  PVC WYE</v>
          </cell>
        </row>
        <row r="559">
          <cell r="D559" t="str">
            <v>2" PVC 1/8" bend</v>
          </cell>
        </row>
        <row r="560">
          <cell r="D560" t="str">
            <v>3"  PVC 1/8" bend</v>
          </cell>
        </row>
        <row r="561">
          <cell r="D561" t="str">
            <v>4"  PVC 1/8" bend</v>
          </cell>
        </row>
        <row r="562">
          <cell r="D562" t="str">
            <v>2" PVC clean-out</v>
          </cell>
        </row>
        <row r="563">
          <cell r="D563" t="str">
            <v>3" PVC clean-out</v>
          </cell>
        </row>
        <row r="564">
          <cell r="D564" t="str">
            <v>4" PVC clean-out</v>
          </cell>
        </row>
        <row r="565">
          <cell r="D565" t="str">
            <v>4" PVC end cap</v>
          </cell>
        </row>
        <row r="566">
          <cell r="D566" t="str">
            <v>2" PVC P-Trap</v>
          </cell>
        </row>
        <row r="567">
          <cell r="D567" t="str">
            <v>3"  PVC P-Trap</v>
          </cell>
        </row>
        <row r="568">
          <cell r="D568" t="str">
            <v>4" PVC P-Trap</v>
          </cell>
        </row>
        <row r="569">
          <cell r="D569" t="str">
            <v>2"x3", PVC Reducer</v>
          </cell>
        </row>
        <row r="570">
          <cell r="D570" t="str">
            <v>3"x4", PVC Reducer</v>
          </cell>
        </row>
        <row r="571">
          <cell r="D571" t="str">
            <v>2"x4", PVC Reducer</v>
          </cell>
        </row>
        <row r="572">
          <cell r="D572" t="str">
            <v>4"x2", PVC TEE</v>
          </cell>
        </row>
        <row r="573">
          <cell r="D573" t="str">
            <v>4"x2", PVC  WYE</v>
          </cell>
        </row>
        <row r="574">
          <cell r="D574" t="str">
            <v>3"x4", PVC  WYE</v>
          </cell>
        </row>
        <row r="575">
          <cell r="D575" t="str">
            <v>3"x2", PVC  WYE</v>
          </cell>
        </row>
        <row r="576">
          <cell r="D576" t="str">
            <v>4" PVC Coupling</v>
          </cell>
        </row>
        <row r="577">
          <cell r="D577" t="str">
            <v>3/4" uPVC Elbow</v>
          </cell>
        </row>
        <row r="578">
          <cell r="D578" t="str">
            <v>3/4" uPVC Tee</v>
          </cell>
        </row>
        <row r="579">
          <cell r="D579" t="str">
            <v>3/4" uPVC Coupling</v>
          </cell>
        </row>
        <row r="580">
          <cell r="D580" t="str">
            <v>3" uPVC Coupling</v>
          </cell>
        </row>
        <row r="581">
          <cell r="D581" t="str">
            <v>4" uPVC Coupling</v>
          </cell>
        </row>
        <row r="582">
          <cell r="D582" t="str">
            <v>3/4" uPVC Nipple</v>
          </cell>
        </row>
        <row r="583">
          <cell r="D583" t="str">
            <v>½"x3/4", uPVC Reducer</v>
          </cell>
        </row>
        <row r="584">
          <cell r="D584" t="str">
            <v xml:space="preserve">½" uPVC Water Pipe </v>
          </cell>
        </row>
        <row r="585">
          <cell r="D585" t="str">
            <v xml:space="preserve">3/4" uPVC Water Pipe </v>
          </cell>
        </row>
        <row r="586">
          <cell r="D586" t="str">
            <v xml:space="preserve">4" uPVC Water Pipe </v>
          </cell>
        </row>
        <row r="587">
          <cell r="D587" t="str">
            <v xml:space="preserve">3" uPVC Water Pipe </v>
          </cell>
        </row>
        <row r="588">
          <cell r="D588" t="str">
            <v xml:space="preserve">2" uPVC Water Pipe </v>
          </cell>
        </row>
        <row r="589">
          <cell r="D589" t="str">
            <v xml:space="preserve">1-1/2" uPVC Water Pipe </v>
          </cell>
        </row>
        <row r="590">
          <cell r="D590" t="str">
            <v xml:space="preserve">1" uPVC Water Pipe </v>
          </cell>
        </row>
        <row r="591">
          <cell r="D591" t="str">
            <v xml:space="preserve">2-1/2" uPVC Water Pipe </v>
          </cell>
        </row>
        <row r="593">
          <cell r="D593" t="str">
            <v>( PE PIPES AND FITTINGS )</v>
          </cell>
        </row>
        <row r="594">
          <cell r="D594" t="str">
            <v>PE Pipe, SDR 9  3/8"</v>
          </cell>
        </row>
        <row r="595">
          <cell r="D595" t="str">
            <v>PE Pipe, SDR 9  1/2"</v>
          </cell>
        </row>
        <row r="596">
          <cell r="D596" t="str">
            <v>PE Pipe, SDR 9  3/4"</v>
          </cell>
        </row>
        <row r="597">
          <cell r="D597" t="str">
            <v>PE Pipe, SDR 9  1"</v>
          </cell>
        </row>
        <row r="598">
          <cell r="D598" t="str">
            <v>PE Pipe, SDR 9  1-1/4"</v>
          </cell>
        </row>
        <row r="599">
          <cell r="D599" t="str">
            <v>PE Pipe, SDR 9  1-1/2"</v>
          </cell>
        </row>
        <row r="600">
          <cell r="D600" t="str">
            <v>PE Pipe, SDR 9  2"</v>
          </cell>
        </row>
        <row r="601">
          <cell r="D601" t="str">
            <v>PE Pipe, SDR 9  2-1/2"</v>
          </cell>
        </row>
        <row r="602">
          <cell r="D602" t="str">
            <v>PE Pipe, SDR 9  3"</v>
          </cell>
        </row>
        <row r="603">
          <cell r="D603" t="str">
            <v>PE Pipe, SDR 9  4"</v>
          </cell>
        </row>
        <row r="604">
          <cell r="D604" t="str">
            <v>PE Pipe, SDR 9  6"</v>
          </cell>
        </row>
        <row r="605">
          <cell r="D605" t="str">
            <v>PE Pipe, SDR 11  3/8"</v>
          </cell>
        </row>
        <row r="606">
          <cell r="D606" t="str">
            <v>PE Pipe, SDR 11  1/2"</v>
          </cell>
        </row>
        <row r="607">
          <cell r="D607" t="str">
            <v>PE Pipe, SDR 11  3/4"</v>
          </cell>
        </row>
        <row r="608">
          <cell r="D608" t="str">
            <v>PE Pipe, SDR 11  1"</v>
          </cell>
        </row>
        <row r="609">
          <cell r="D609" t="str">
            <v>PE Pipe, SDR 11  1-1/4"</v>
          </cell>
        </row>
        <row r="610">
          <cell r="D610" t="str">
            <v>PE Pipe, SDR 11  1-1/2"</v>
          </cell>
        </row>
        <row r="611">
          <cell r="D611" t="str">
            <v>PE Pipe, SDR 11  2"</v>
          </cell>
        </row>
        <row r="612">
          <cell r="D612" t="str">
            <v>PE Pipe, SDR 11  2-1/2"</v>
          </cell>
        </row>
        <row r="613">
          <cell r="D613" t="str">
            <v>PE Pipe, SDR 11  3"</v>
          </cell>
        </row>
        <row r="614">
          <cell r="D614" t="str">
            <v>PE Pipe, SDR 11  4"</v>
          </cell>
        </row>
        <row r="615">
          <cell r="D615" t="str">
            <v>PE Pipe, SDR 11  6"</v>
          </cell>
        </row>
        <row r="616">
          <cell r="D616" t="str">
            <v>PE Pipe, SDR 13.5   3/8"</v>
          </cell>
        </row>
        <row r="617">
          <cell r="D617" t="str">
            <v>PE Pipe, SDR 13.5   1/2"</v>
          </cell>
        </row>
        <row r="618">
          <cell r="D618" t="str">
            <v>PE Pipe, SDR 13.5   3/4"</v>
          </cell>
        </row>
        <row r="619">
          <cell r="D619" t="str">
            <v>PE Pipe, SDR 13.5   1"</v>
          </cell>
        </row>
        <row r="620">
          <cell r="D620" t="str">
            <v>PE Pipe, SDR 13.5   1-1/4"</v>
          </cell>
        </row>
        <row r="621">
          <cell r="D621" t="str">
            <v>PE Pipe, SDR 13.5   1-1/2"</v>
          </cell>
        </row>
        <row r="622">
          <cell r="D622" t="str">
            <v>PE Pipe, SDR 13.5   2"</v>
          </cell>
        </row>
        <row r="623">
          <cell r="D623" t="str">
            <v>PE Pipe, SDR 13.5   2-1/2"</v>
          </cell>
        </row>
        <row r="624">
          <cell r="D624" t="str">
            <v>PE Pipe, SDR 13.5   3"</v>
          </cell>
        </row>
        <row r="625">
          <cell r="D625" t="str">
            <v>PE Pipe, SDR 13.5   4"</v>
          </cell>
        </row>
        <row r="626">
          <cell r="D626" t="str">
            <v>PE Pipe, SDR 13.5   6"</v>
          </cell>
        </row>
        <row r="627">
          <cell r="D627" t="str">
            <v>PE Pipe, SDR 17   3/8"</v>
          </cell>
        </row>
        <row r="628">
          <cell r="D628" t="str">
            <v>PE Pipe, SDR 17   1/2"</v>
          </cell>
        </row>
        <row r="629">
          <cell r="D629" t="str">
            <v>PE Pipe, SDR 17   3/4"</v>
          </cell>
        </row>
        <row r="630">
          <cell r="D630" t="str">
            <v>PE Pipe, SDR 17   1"</v>
          </cell>
        </row>
        <row r="631">
          <cell r="D631" t="str">
            <v>PE Pipe, SDR 17   1-1/4"</v>
          </cell>
        </row>
        <row r="632">
          <cell r="D632" t="str">
            <v>PE Pipe, SDR 17   1-1/2"</v>
          </cell>
        </row>
        <row r="633">
          <cell r="D633" t="str">
            <v>PE Pipe, SDR 17   2"</v>
          </cell>
        </row>
        <row r="634">
          <cell r="D634" t="str">
            <v>PE Pipe, SDR 17   2-1/2"</v>
          </cell>
        </row>
        <row r="635">
          <cell r="D635" t="str">
            <v>PE Pipe, SDR 17   3"</v>
          </cell>
        </row>
        <row r="636">
          <cell r="D636" t="str">
            <v>PE Pipe, SDR 17   4"</v>
          </cell>
        </row>
        <row r="637">
          <cell r="D637" t="str">
            <v>PE Pipe, SDR 17   6"</v>
          </cell>
        </row>
        <row r="639">
          <cell r="D639" t="str">
            <v>PE PIPES FITTINGS FACTOR =</v>
          </cell>
        </row>
        <row r="641">
          <cell r="D641" t="str">
            <v>PE PIPE MALE ADAPTOR</v>
          </cell>
        </row>
        <row r="642">
          <cell r="D642" t="str">
            <v>PE Pipe Male Thread Adaptor - 20mm x 1/2"</v>
          </cell>
        </row>
        <row r="643">
          <cell r="D643" t="str">
            <v>PE Pipe Male Thread Adaptor - 25mm x 3/4"</v>
          </cell>
        </row>
        <row r="644">
          <cell r="D644" t="str">
            <v>PE Pipe Male Thread Adaptor - 32mm x 1"</v>
          </cell>
        </row>
        <row r="645">
          <cell r="D645" t="str">
            <v>PE Pipe Male Thread Adaptor - 40mm x 1-1/4"</v>
          </cell>
        </row>
        <row r="646">
          <cell r="D646" t="str">
            <v>PE Pipe Male Thread Adaptor - 50mm x 1-1/2"</v>
          </cell>
        </row>
        <row r="647">
          <cell r="D647" t="str">
            <v>PE Pipe Male Thread Adaptor - 63mm x 2"</v>
          </cell>
        </row>
        <row r="648">
          <cell r="D648" t="str">
            <v>PE Pipe Male Thread Adaptor - 90mm x 3"</v>
          </cell>
        </row>
        <row r="650">
          <cell r="D650" t="str">
            <v>PE PIPE FEMALE ADAPTOR</v>
          </cell>
        </row>
        <row r="651">
          <cell r="D651" t="str">
            <v>PE Pipe Female Thread Adaptor - 20mm x 1/2"</v>
          </cell>
        </row>
        <row r="652">
          <cell r="D652" t="str">
            <v>PE Pipe Female Thread Adaptor - 25mm x 3/4"</v>
          </cell>
        </row>
        <row r="653">
          <cell r="D653" t="str">
            <v>PE Pipe Female Thread Adaptor - 32mm x 1"</v>
          </cell>
        </row>
        <row r="654">
          <cell r="D654" t="str">
            <v>PE Pipe Female Thread Adaptor - 50mm x 1-1/2"</v>
          </cell>
        </row>
        <row r="655">
          <cell r="D655" t="str">
            <v>PE Pipe Female Thread Adaptor - 63mm x 2"</v>
          </cell>
        </row>
        <row r="656">
          <cell r="D656" t="str">
            <v>PE Pipe Female Thread Adaptor - 90mm x 3"</v>
          </cell>
        </row>
        <row r="658">
          <cell r="D658" t="str">
            <v>STRAIGHT COUPLER</v>
          </cell>
        </row>
        <row r="659">
          <cell r="D659" t="str">
            <v>PE Pipe Straight Coupler - 20mm x 20mm</v>
          </cell>
        </row>
        <row r="660">
          <cell r="D660" t="str">
            <v>PE Pipe Straight Coupler - 25mm x 25mm</v>
          </cell>
        </row>
        <row r="661">
          <cell r="D661" t="str">
            <v>PE Pipe Straight Coupler - 32mm x 32mm</v>
          </cell>
        </row>
        <row r="662">
          <cell r="D662" t="str">
            <v>PE Pipe Straight Coupler - 40mm x 40mm</v>
          </cell>
        </row>
        <row r="663">
          <cell r="D663" t="str">
            <v>PE Pipe Straight Coupler - 50mm x 50mm</v>
          </cell>
        </row>
        <row r="664">
          <cell r="D664" t="str">
            <v>PE Pipe Straight Coupler - 63mm x 63mm</v>
          </cell>
        </row>
        <row r="665">
          <cell r="D665" t="str">
            <v>PE Pipe Straight Coupler - 75mm x 75mm</v>
          </cell>
        </row>
        <row r="666">
          <cell r="D666" t="str">
            <v>PE Pipe Straight Coupler - 90mm x 90mm</v>
          </cell>
        </row>
        <row r="668">
          <cell r="D668" t="str">
            <v>REDUCING COUPLER</v>
          </cell>
        </row>
        <row r="669">
          <cell r="D669" t="str">
            <v>PE Pipe Reducing Coupler - 25mm x 20mm</v>
          </cell>
        </row>
        <row r="670">
          <cell r="D670" t="str">
            <v>PE Pipe Reducing Coupler - 32mm x 20mm</v>
          </cell>
        </row>
        <row r="671">
          <cell r="D671" t="str">
            <v>PE Pipe Reducing Coupler - 32mm x 25mm</v>
          </cell>
        </row>
        <row r="672">
          <cell r="D672" t="str">
            <v>PE Pipe Reducing Coupler - 40mm x 32mm</v>
          </cell>
        </row>
        <row r="673">
          <cell r="D673" t="str">
            <v>PE Pipe Reducing Coupler - 50mm x 25mm</v>
          </cell>
        </row>
        <row r="674">
          <cell r="D674" t="str">
            <v>PE Pipe Reducing Coupler - 50mm x 32mm</v>
          </cell>
        </row>
        <row r="675">
          <cell r="D675" t="str">
            <v>PE Pipe Reducing Coupler - 50mm x 40mm</v>
          </cell>
        </row>
        <row r="676">
          <cell r="D676" t="str">
            <v>PE Pipe Reducing Coupler - 63mm x 32mm</v>
          </cell>
        </row>
        <row r="677">
          <cell r="D677" t="str">
            <v>PE Pipe Reducing Coupler - 63mm x 40mm</v>
          </cell>
        </row>
        <row r="678">
          <cell r="D678" t="str">
            <v>PE Pipe Reducing Coupler - 63mm x 50mm</v>
          </cell>
        </row>
        <row r="679">
          <cell r="D679" t="str">
            <v>PE Pipe Reducing Coupler - 90mm x 63mm</v>
          </cell>
        </row>
        <row r="681">
          <cell r="D681" t="str">
            <v>END CAP</v>
          </cell>
        </row>
        <row r="682">
          <cell r="D682" t="str">
            <v>PE Pipe End Cap - 20mm</v>
          </cell>
        </row>
        <row r="683">
          <cell r="D683" t="str">
            <v>PE Pipe End Cap - 25mm</v>
          </cell>
        </row>
        <row r="684">
          <cell r="D684" t="str">
            <v>PE Pipe End Cap - 32mm</v>
          </cell>
        </row>
        <row r="685">
          <cell r="D685" t="str">
            <v>PE Pipe End Cap - 40mm</v>
          </cell>
        </row>
        <row r="686">
          <cell r="D686" t="str">
            <v>PE Pipe End Cap - 50mm</v>
          </cell>
        </row>
        <row r="687">
          <cell r="D687" t="str">
            <v>PE Pipe End Cap - 63mm</v>
          </cell>
        </row>
        <row r="688">
          <cell r="D688" t="str">
            <v>PE Pipe End Cap - 90mm</v>
          </cell>
        </row>
        <row r="690">
          <cell r="D690" t="str">
            <v>MALE TEE</v>
          </cell>
        </row>
        <row r="691">
          <cell r="D691" t="str">
            <v>PE Pipe Male Tee - 20mm x 1/2"</v>
          </cell>
        </row>
        <row r="692">
          <cell r="D692" t="str">
            <v>PE Pipe Male Tee - 20mm x 3/4"</v>
          </cell>
        </row>
        <row r="693">
          <cell r="D693" t="str">
            <v>PE Pipe Male Tee - 25mm x 1/2"</v>
          </cell>
        </row>
        <row r="694">
          <cell r="D694" t="str">
            <v>PE Pipe Male Tee - 25mm x 3/4"</v>
          </cell>
        </row>
        <row r="695">
          <cell r="D695" t="str">
            <v>PE Pipe Male Tee - 32mm x 3/4"</v>
          </cell>
        </row>
        <row r="696">
          <cell r="D696" t="str">
            <v>PE Pipe Male Tee - 32mm x 1"</v>
          </cell>
        </row>
        <row r="697">
          <cell r="D697" t="str">
            <v>PE Pipe Male Tee - 50mm x 1-1/2"</v>
          </cell>
        </row>
        <row r="698">
          <cell r="D698" t="str">
            <v>PE Pipe Male Tee - 63mm x 2"</v>
          </cell>
        </row>
        <row r="699">
          <cell r="D699" t="str">
            <v>PE Pipe Male Tee - 90mm x 3"</v>
          </cell>
        </row>
        <row r="701">
          <cell r="D701" t="str">
            <v>FEMALE TEE</v>
          </cell>
        </row>
        <row r="702">
          <cell r="D702" t="str">
            <v>PE Pipe Female Tee - 20mm x 1/2"</v>
          </cell>
        </row>
        <row r="703">
          <cell r="D703" t="str">
            <v>PE Pipe Female Tee - 20mm x 3/4"</v>
          </cell>
        </row>
        <row r="704">
          <cell r="D704" t="str">
            <v>PE Pipe Female Tee - 25mm x 1/2"</v>
          </cell>
        </row>
        <row r="705">
          <cell r="D705" t="str">
            <v>PE Pipe Female Tee - 25mm x 3/4"</v>
          </cell>
        </row>
        <row r="706">
          <cell r="D706" t="str">
            <v>PE Pipe Female Tee - 32mm x 3/4"</v>
          </cell>
        </row>
        <row r="707">
          <cell r="D707" t="str">
            <v>PE Pipe Female Tee - 32mm x 1"</v>
          </cell>
        </row>
        <row r="708">
          <cell r="D708" t="str">
            <v>PE Pipe Female Tee - 50mm x 1-1/2"</v>
          </cell>
        </row>
        <row r="709">
          <cell r="D709" t="str">
            <v>PE Pipe Female Tee - 63mm x 2"</v>
          </cell>
        </row>
        <row r="710">
          <cell r="D710" t="str">
            <v>PE Pipe Female Tee - 90mm x 3"</v>
          </cell>
        </row>
        <row r="712">
          <cell r="D712" t="str">
            <v>REDUCING TEE</v>
          </cell>
        </row>
        <row r="713">
          <cell r="D713" t="str">
            <v>PE Pipe Reducing Tee - 25mm x 20mm</v>
          </cell>
        </row>
        <row r="714">
          <cell r="D714" t="str">
            <v>PE Pipe Reducing Tee - 32mm x 20mm</v>
          </cell>
        </row>
        <row r="715">
          <cell r="D715" t="str">
            <v>PE Pipe Reducing Tee - 32mm x 25mm</v>
          </cell>
        </row>
        <row r="716">
          <cell r="D716" t="str">
            <v>PE Pipe Reducing Tee - 40mm x 32mm</v>
          </cell>
        </row>
        <row r="717">
          <cell r="D717" t="str">
            <v>PE Pipe Reducing Tee - 50mm x 32mm</v>
          </cell>
        </row>
        <row r="718">
          <cell r="D718" t="str">
            <v>PE Pipe Reducing Tee - 50mm x 40mm</v>
          </cell>
        </row>
        <row r="719">
          <cell r="D719" t="str">
            <v>PE Pipe Reducing Tee - 63mm x 50mm</v>
          </cell>
        </row>
        <row r="721">
          <cell r="D721" t="str">
            <v>EQUAL TEE</v>
          </cell>
        </row>
        <row r="722">
          <cell r="D722" t="str">
            <v>PE Pipe Equal Tee - 20mm x 20mm</v>
          </cell>
        </row>
        <row r="723">
          <cell r="D723" t="str">
            <v>PE Pipe Equal Tee - 20mm x 25mm</v>
          </cell>
        </row>
        <row r="724">
          <cell r="D724" t="str">
            <v>PE Pipe Equal Tee - 32mm x 32mm</v>
          </cell>
        </row>
        <row r="725">
          <cell r="D725" t="str">
            <v>PE Pipe Equal Tee - 40mm x 40mm</v>
          </cell>
        </row>
        <row r="726">
          <cell r="D726" t="str">
            <v>PE Pipe Equal Tee - 50mm x 50mm</v>
          </cell>
        </row>
        <row r="727">
          <cell r="D727" t="str">
            <v>PE Pipe Equal Tee - 63mm x 63mm</v>
          </cell>
        </row>
        <row r="728">
          <cell r="D728" t="str">
            <v>PE Pipe Equal Tee - 90mm x 90mm</v>
          </cell>
        </row>
        <row r="730">
          <cell r="D730" t="str">
            <v>EQUAL BEND 90°</v>
          </cell>
        </row>
        <row r="731">
          <cell r="D731" t="str">
            <v>PE Pipe Equal Bend 90° - 20mm x 20mm</v>
          </cell>
        </row>
        <row r="732">
          <cell r="D732" t="str">
            <v>PE Pipe Equal Bend 90° - 20mm x 25mm</v>
          </cell>
        </row>
        <row r="733">
          <cell r="D733" t="str">
            <v>PE Pipe Equal Bend 90° - 32mm x 32mm</v>
          </cell>
        </row>
        <row r="734">
          <cell r="D734" t="str">
            <v>PE Pipe Equal Bend 90° - 40mm x 40mm</v>
          </cell>
        </row>
        <row r="735">
          <cell r="D735" t="str">
            <v>PE Pipe Equal Bend 90° - 50mm x 50mm</v>
          </cell>
        </row>
        <row r="736">
          <cell r="D736" t="str">
            <v>PE Pipe Equal Bend 90° - 63mm x 63mm</v>
          </cell>
        </row>
        <row r="737">
          <cell r="D737" t="str">
            <v>PE Pipe Equal Bend 90° - 90mm x 90mm</v>
          </cell>
        </row>
        <row r="739">
          <cell r="D739" t="str">
            <v>FEMALE BEND 90°</v>
          </cell>
        </row>
        <row r="740">
          <cell r="D740" t="str">
            <v>PE Pipe Female Bend 90° - 20mm x 1/2"</v>
          </cell>
        </row>
        <row r="741">
          <cell r="D741" t="str">
            <v>PE Pipe Female Bend 90° - 20mm x 3/4"</v>
          </cell>
        </row>
        <row r="742">
          <cell r="D742" t="str">
            <v>PE Pipe Female Bend 90° - 25mm x 1/2"</v>
          </cell>
        </row>
        <row r="743">
          <cell r="D743" t="str">
            <v>PE Pipe Female Bend 90° - 25mm x 3/4"</v>
          </cell>
        </row>
        <row r="744">
          <cell r="D744" t="str">
            <v>PE Pipe Female Bend 90° - 25mm x 1"</v>
          </cell>
        </row>
        <row r="745">
          <cell r="D745" t="str">
            <v>PE Pipe Female Bend 90° - 32mm x 3/4"</v>
          </cell>
        </row>
        <row r="746">
          <cell r="D746" t="str">
            <v>PE Pipe Female Bend 90° - 32mm x 1"</v>
          </cell>
        </row>
        <row r="747">
          <cell r="D747" t="str">
            <v>PE Pipe Female Bend 90° - 50mm x 1-1/2"</v>
          </cell>
        </row>
        <row r="748">
          <cell r="D748" t="str">
            <v>PE Pipe Female Bend 90° - 63mm x 2"</v>
          </cell>
        </row>
        <row r="749">
          <cell r="D749" t="str">
            <v>PE Pipe Female Bend 90° - 90mm x 3"</v>
          </cell>
        </row>
        <row r="751">
          <cell r="D751" t="str">
            <v>MALE BEND 90°</v>
          </cell>
        </row>
        <row r="752">
          <cell r="D752" t="str">
            <v>PE Pipe Male Bend 90° - 20mm x 1/2"</v>
          </cell>
        </row>
        <row r="753">
          <cell r="D753" t="str">
            <v>PE Pipe Male Bend 90° - 20mm x 3/4"</v>
          </cell>
        </row>
        <row r="754">
          <cell r="D754" t="str">
            <v>PE Pipe Male Bend 90° - 25mm x 1/2"</v>
          </cell>
        </row>
        <row r="755">
          <cell r="D755" t="str">
            <v>PE Pipe Male Bend 90° - 25mm x 3/4"</v>
          </cell>
        </row>
        <row r="756">
          <cell r="D756" t="str">
            <v>PE Pipe Male Bend 90° - 25mm x 1"</v>
          </cell>
        </row>
        <row r="757">
          <cell r="D757" t="str">
            <v>PE Pipe Male Bend 90° - 32mm x 3/4"</v>
          </cell>
        </row>
        <row r="758">
          <cell r="D758" t="str">
            <v>PE Pipe Male Bend 90° - 32mm x 1"</v>
          </cell>
        </row>
        <row r="759">
          <cell r="D759" t="str">
            <v>PE Pipe Male Bend 90° - 50mm x 1-1/2"</v>
          </cell>
        </row>
        <row r="760">
          <cell r="D760" t="str">
            <v>PE Pipe Male Bend 90° - 63mm x 2"</v>
          </cell>
        </row>
        <row r="761">
          <cell r="D761" t="str">
            <v>PE Pipe Male Bend 90° - 90mm x 3"</v>
          </cell>
        </row>
        <row r="763">
          <cell r="D763" t="str">
            <v>SINGLE OUTLET SADDLE CLAMP</v>
          </cell>
        </row>
        <row r="764">
          <cell r="D764" t="str">
            <v>PE Pipe Single Outlet Saddle Clamp - 32mm x 3/4"</v>
          </cell>
        </row>
        <row r="765">
          <cell r="D765" t="str">
            <v>PE Pipe Single Outlet Saddle Clamp - 32mm x 1"</v>
          </cell>
        </row>
        <row r="766">
          <cell r="D766" t="str">
            <v>PE Pipe Single Outlet Saddle Clamp - 40mm x 1"</v>
          </cell>
        </row>
        <row r="767">
          <cell r="D767" t="str">
            <v>PE Pipe Single Outlet Saddle Clamp - 50mm x 3/4"</v>
          </cell>
        </row>
        <row r="768">
          <cell r="D768" t="str">
            <v>PE Pipe Single Outlet Saddle Clamp - 50mm x 1"</v>
          </cell>
        </row>
        <row r="769">
          <cell r="D769" t="str">
            <v>PE Pipe Single Outlet Saddle Clamp - 63mm x 3/4"</v>
          </cell>
        </row>
        <row r="770">
          <cell r="D770" t="str">
            <v>PE Pipe Single Outlet Saddle Clamp - 63mm x 1"</v>
          </cell>
        </row>
        <row r="771">
          <cell r="D771" t="str">
            <v>PE Pipe Single Outlet Saddle Clamp - 73mm x 1"</v>
          </cell>
        </row>
        <row r="772">
          <cell r="D772" t="str">
            <v>PE Pipe Single Outlet Saddle Clamp - 90mm x 3/4"</v>
          </cell>
        </row>
        <row r="773">
          <cell r="D773" t="str">
            <v>PE Pipe Single Outlet Saddle Clamp - 90mm x 1"</v>
          </cell>
        </row>
        <row r="774">
          <cell r="D774" t="str">
            <v>PE Pipe Single Outlet Saddle Clamp - 90mm x 2"</v>
          </cell>
        </row>
        <row r="775">
          <cell r="D775" t="str">
            <v>PE Pipe Single Outlet Saddle Clamp - 110mm x 3/4"</v>
          </cell>
        </row>
        <row r="776">
          <cell r="D776" t="str">
            <v>PE Pipe Single Outlet Saddle Clamp - 110mm x 1"</v>
          </cell>
        </row>
        <row r="777">
          <cell r="D777" t="str">
            <v>PE Pipe Single Outlet Saddle Clamp - 110mm x 1-1/4"</v>
          </cell>
        </row>
        <row r="778">
          <cell r="D778" t="str">
            <v>PE Pipe Single Outlet Saddle Clamp - 110mm x 2"</v>
          </cell>
        </row>
        <row r="779">
          <cell r="D779" t="str">
            <v>PE Pipe Single Outlet Saddle Clamp - 160mm x 3/4"</v>
          </cell>
        </row>
        <row r="780">
          <cell r="D780" t="str">
            <v>PE Pipe Single Outlet Saddle Clamp - 160mm x 1"</v>
          </cell>
        </row>
        <row r="781">
          <cell r="D781" t="str">
            <v>PE Pipe Single Outlet Saddle Clamp - 160mm x 2"</v>
          </cell>
        </row>
        <row r="783">
          <cell r="D783" t="str">
            <v>DOUBLE OUTLET SADDLE CLAMP</v>
          </cell>
        </row>
        <row r="784">
          <cell r="D784" t="str">
            <v>PE Pipe Double Outlet Saddle Clamp - 32mm x 3/4" x 3/4"</v>
          </cell>
        </row>
        <row r="785">
          <cell r="D785" t="str">
            <v>PE Pipe Double Outlet Saddle Clamp - 32mm x 1" x 1"</v>
          </cell>
        </row>
        <row r="786">
          <cell r="D786" t="str">
            <v>PE Pipe Double Outlet Saddle Clamp - 50mm x 3/4" x 3/4"</v>
          </cell>
        </row>
        <row r="787">
          <cell r="D787" t="str">
            <v>PE Pipe Double Outlet Saddle Clamp - 50mm x 1" x 1"</v>
          </cell>
        </row>
        <row r="788">
          <cell r="D788" t="str">
            <v>PE Pipe Double Outlet Saddle Clamp - 63mm x 3/4" x 3/4"</v>
          </cell>
        </row>
        <row r="789">
          <cell r="D789" t="str">
            <v>PE Pipe Double Outlet Saddle Clamp - 63mm x 1" x 1"</v>
          </cell>
        </row>
        <row r="790">
          <cell r="D790" t="str">
            <v>PE Pipe Double Outlet Saddle Clamp - 90mm x 3/4" x 3/4"</v>
          </cell>
        </row>
        <row r="791">
          <cell r="D791" t="str">
            <v>PE Pipe Double Outlet Saddle Clamp - 90mm x 1" x 1"</v>
          </cell>
        </row>
        <row r="792">
          <cell r="D792" t="str">
            <v>PE Pipe Double Outlet Saddle Clamp - 90mm x 2" x 2"</v>
          </cell>
        </row>
        <row r="793">
          <cell r="D793" t="str">
            <v>PE Pipe Double Outlet Saddle Clamp - 110mm x 3/4" x 3/4"</v>
          </cell>
        </row>
        <row r="794">
          <cell r="D794" t="str">
            <v>PE Pipe Double Outlet Saddle Clamp - 110mm x 1" x 1"</v>
          </cell>
        </row>
        <row r="795">
          <cell r="D795" t="str">
            <v>PE Pipe Double Outlet Saddle Clamp - 110mm x 2" x 2"</v>
          </cell>
        </row>
        <row r="796">
          <cell r="D796" t="str">
            <v>PE Pipe Double Outlet Saddle Clamp - 160mm x 3/4" x 3/4"</v>
          </cell>
        </row>
        <row r="797">
          <cell r="D797" t="str">
            <v>PE Pipe Double Outlet Saddle Clamp - 160mm x 1" x 1"</v>
          </cell>
        </row>
        <row r="798">
          <cell r="D798" t="str">
            <v>PE Pipe Double Outlet Saddle Clamp - 160mm x 2" x 2"</v>
          </cell>
        </row>
        <row r="800">
          <cell r="D800" t="str">
            <v>SPIGOT - Stub End</v>
          </cell>
        </row>
        <row r="801">
          <cell r="D801" t="str">
            <v>PE Pipe Stub End Long Collar - 90mm x 63mm</v>
          </cell>
        </row>
        <row r="802">
          <cell r="D802" t="str">
            <v>PE Pipe Stub End Long Collar - 110mm x 63mm</v>
          </cell>
        </row>
        <row r="803">
          <cell r="D803" t="str">
            <v>PE Pipe Stub End Long Collar - 160mm x 63mm</v>
          </cell>
        </row>
        <row r="804">
          <cell r="D804" t="str">
            <v>PE Pipe Stub End Long Collar - 160mm x 110mm</v>
          </cell>
        </row>
        <row r="806">
          <cell r="D806" t="str">
            <v>SPIGOT - Reducer</v>
          </cell>
        </row>
        <row r="807">
          <cell r="D807" t="str">
            <v>PE Pipe (Spigot) Reducer - 63mm</v>
          </cell>
        </row>
        <row r="808">
          <cell r="D808" t="str">
            <v>PE Pipe (Spigot) Reducer - 90mm</v>
          </cell>
        </row>
        <row r="809">
          <cell r="D809" t="str">
            <v>PE Pipe (Spigot) Reducer - 110mm</v>
          </cell>
        </row>
        <row r="810">
          <cell r="D810" t="str">
            <v>PE Pipe (Spigot) Reducer - 160mm</v>
          </cell>
        </row>
        <row r="814">
          <cell r="D814" t="str">
            <v>PE Pipe Male Thread Adaptor - 40mm x 1-1/4"</v>
          </cell>
        </row>
        <row r="815">
          <cell r="D815" t="str">
            <v>PE Pipe Male Thread Adaptor - 50mm x 1-1/2"</v>
          </cell>
        </row>
        <row r="816">
          <cell r="D816" t="str">
            <v>PE Pipe Male Thread Adaptor - 63mm x 2"</v>
          </cell>
        </row>
        <row r="817">
          <cell r="D817" t="str">
            <v>PE Pipe Male Thread Adaptor - 90mm x 3"</v>
          </cell>
        </row>
        <row r="819">
          <cell r="D819" t="str">
            <v>PE Pipe, SDR 17   25mmØ</v>
          </cell>
        </row>
        <row r="820">
          <cell r="D820" t="str">
            <v>PE Pipe, SDR 17   32mmØ</v>
          </cell>
        </row>
        <row r="821">
          <cell r="D821" t="str">
            <v>PE Pipe, SDR 17   40mmØ</v>
          </cell>
        </row>
        <row r="822">
          <cell r="D822" t="str">
            <v>PE Pipe, SDR 17   50mmØ</v>
          </cell>
        </row>
        <row r="823">
          <cell r="D823" t="str">
            <v>PE Pipe, SDR 17   63mmØ</v>
          </cell>
        </row>
        <row r="824">
          <cell r="D824" t="str">
            <v>PE Pipe, SDR 17  75mmØ</v>
          </cell>
        </row>
        <row r="825">
          <cell r="D825" t="str">
            <v>PE Pipe, SDR 17  90mmØ</v>
          </cell>
        </row>
        <row r="827">
          <cell r="D827" t="str">
            <v>3/8" PE Pipe Coupling/Connector</v>
          </cell>
        </row>
        <row r="828">
          <cell r="D828" t="str">
            <v>½" PE Pipe Coupling/Connector</v>
          </cell>
        </row>
        <row r="829">
          <cell r="D829" t="str">
            <v>3/4" PE Pipe Coupling/Connector</v>
          </cell>
        </row>
        <row r="830">
          <cell r="D830" t="str">
            <v>1" PE Pipe Coupling/Connector</v>
          </cell>
        </row>
        <row r="831">
          <cell r="D831" t="str">
            <v>1¼" PE Pipe Coupling/Connector</v>
          </cell>
        </row>
        <row r="832">
          <cell r="D832" t="str">
            <v>1½" PE Pipe Coupling/Connector</v>
          </cell>
        </row>
        <row r="833">
          <cell r="D833" t="str">
            <v>2" PE Pipe Coupling/Connector</v>
          </cell>
        </row>
        <row r="834">
          <cell r="D834" t="str">
            <v>2½" PE Pipe Coupling/Connector</v>
          </cell>
        </row>
        <row r="835">
          <cell r="D835" t="str">
            <v>3" PE Pipe Coupling/Connector</v>
          </cell>
        </row>
        <row r="836">
          <cell r="D836" t="str">
            <v>63mm X 2"dia. Male Adaptor, PLASSON</v>
          </cell>
        </row>
        <row r="837">
          <cell r="D837" t="str">
            <v>75mm X 2½"dia. Male Adaptor, PLASSON</v>
          </cell>
        </row>
        <row r="839">
          <cell r="D839" t="str">
            <v>Butt Fusion</v>
          </cell>
        </row>
        <row r="840">
          <cell r="D840" t="str">
            <v>PE Pipe Butt Fussion - 25mmØ</v>
          </cell>
        </row>
        <row r="841">
          <cell r="D841" t="str">
            <v>PE Pipe Butt Fussion - 32mmØ</v>
          </cell>
        </row>
        <row r="842">
          <cell r="D842" t="str">
            <v>PE Pipe Butt Fussion - 40mmØ</v>
          </cell>
        </row>
        <row r="843">
          <cell r="D843" t="str">
            <v>PE Pipe Butt Fussion - 50mmØ</v>
          </cell>
        </row>
        <row r="844">
          <cell r="D844" t="str">
            <v>PE Pipe Butt Fussion - 63mmØ</v>
          </cell>
        </row>
        <row r="845">
          <cell r="D845" t="str">
            <v>PE Pipe Butt Fussion - 75mmØ</v>
          </cell>
        </row>
        <row r="846">
          <cell r="D846" t="str">
            <v>PE Pipe Butt Fussion - 90mmØ</v>
          </cell>
        </row>
        <row r="848">
          <cell r="D848" t="str">
            <v>PE Pipe Butt Fussion - 25mm x 20mm</v>
          </cell>
        </row>
        <row r="849">
          <cell r="D849" t="str">
            <v>PE Pipe Butt Fussion - 32mm x 20mm</v>
          </cell>
        </row>
        <row r="850">
          <cell r="D850" t="str">
            <v>PE Pipe Butt Fussion - 32mm x 25mm</v>
          </cell>
        </row>
        <row r="851">
          <cell r="D851" t="str">
            <v>PE Pipe Butt Fussion - 50mm x 25mm</v>
          </cell>
        </row>
        <row r="852">
          <cell r="D852" t="str">
            <v>PE Pipe Butt Fussion - 50mm x 32mm</v>
          </cell>
        </row>
        <row r="853">
          <cell r="D853" t="str">
            <v>PE Pipe Butt Fussion - 50mm x 40mm</v>
          </cell>
        </row>
        <row r="854">
          <cell r="D854" t="str">
            <v>PE Pipe Butt Fussion - 63mm x 32mm</v>
          </cell>
        </row>
        <row r="855">
          <cell r="D855" t="str">
            <v>PE Pipe Butt Fussion - 63mm x 40mm</v>
          </cell>
        </row>
        <row r="856">
          <cell r="D856" t="str">
            <v>PE Pipe Butt Fussion - 63mm x 50mm</v>
          </cell>
        </row>
        <row r="857">
          <cell r="D857" t="str">
            <v>PE Pipe Butt Fussion - 90mm x 63mm</v>
          </cell>
        </row>
        <row r="864">
          <cell r="D864" t="str">
            <v>( SANITARY FIXTURES )</v>
          </cell>
        </row>
        <row r="865">
          <cell r="D865" t="str">
            <v>½" Brass Faucet, Plain Bibb</v>
          </cell>
        </row>
        <row r="866">
          <cell r="D866" t="str">
            <v>Water closet (ordinary)</v>
          </cell>
        </row>
        <row r="867">
          <cell r="D867" t="str">
            <v>Water closet</v>
          </cell>
        </row>
        <row r="868">
          <cell r="D868" t="str">
            <v>Water seal bowl (Pail Flush)</v>
          </cell>
        </row>
        <row r="869">
          <cell r="D869" t="str">
            <v>Lavatory, porcelain</v>
          </cell>
        </row>
        <row r="870">
          <cell r="D870" t="str">
            <v>Kitchen sink ( Aluminum)</v>
          </cell>
        </row>
        <row r="871">
          <cell r="D871" t="str">
            <v>Soap Holder (ceramic)</v>
          </cell>
        </row>
        <row r="872">
          <cell r="D872" t="str">
            <v>Paper Holder (ceramic)</v>
          </cell>
        </row>
        <row r="873">
          <cell r="D873" t="str">
            <v>4x4 Floor drain plate</v>
          </cell>
        </row>
        <row r="874">
          <cell r="D874" t="str">
            <v>6x6 Floor drain plate</v>
          </cell>
        </row>
        <row r="875">
          <cell r="D875" t="str">
            <v>1¼" Jetmatic Pump, Heavy Duty</v>
          </cell>
        </row>
        <row r="876">
          <cell r="D876" t="str">
            <v>Sink Strainer</v>
          </cell>
        </row>
        <row r="877">
          <cell r="D877" t="str">
            <v>Dome Type Roof Drain</v>
          </cell>
        </row>
        <row r="878">
          <cell r="D878" t="str">
            <v>Kitchen sink (Stainless)</v>
          </cell>
        </row>
        <row r="879">
          <cell r="D879" t="str">
            <v>Brass Faucet</v>
          </cell>
        </row>
        <row r="880">
          <cell r="D880" t="str">
            <v>Stainless Lavatory Faucet</v>
          </cell>
        </row>
        <row r="881">
          <cell r="D881" t="str">
            <v>150mm PVC Sanitary/Sewer Pipe x 3000</v>
          </cell>
        </row>
        <row r="883">
          <cell r="D883" t="str">
            <v>( ELECTRICAL WIRES &amp; APURTENANCES )</v>
          </cell>
        </row>
        <row r="884">
          <cell r="D884" t="str">
            <v>#8 AWG TW Wire solid</v>
          </cell>
        </row>
        <row r="885">
          <cell r="D885" t="str">
            <v>#10 AWG TW Wire solid</v>
          </cell>
        </row>
        <row r="886">
          <cell r="D886" t="str">
            <v>#12 AWG TW Wire solid</v>
          </cell>
        </row>
        <row r="887">
          <cell r="D887" t="str">
            <v>#14 AWG TW Wire solid</v>
          </cell>
        </row>
        <row r="888">
          <cell r="D888" t="str">
            <v>#10 AWG TW Wire stranded</v>
          </cell>
        </row>
        <row r="889">
          <cell r="D889" t="str">
            <v>#12 AWG TW Wire stranded</v>
          </cell>
        </row>
        <row r="890">
          <cell r="D890" t="str">
            <v>#14 AWG TW Wire stranded</v>
          </cell>
        </row>
        <row r="891">
          <cell r="D891" t="str">
            <v>#10  PDX Wire</v>
          </cell>
        </row>
        <row r="892">
          <cell r="D892" t="str">
            <v>#12 PDX Wire</v>
          </cell>
        </row>
        <row r="893">
          <cell r="D893" t="str">
            <v>#14 PDX Wire</v>
          </cell>
        </row>
        <row r="894">
          <cell r="D894" t="str">
            <v>3/4" PolyFlex Pipe</v>
          </cell>
        </row>
        <row r="895">
          <cell r="D895" t="str">
            <v>½" Flexible conduit</v>
          </cell>
        </row>
        <row r="896">
          <cell r="D896" t="str">
            <v>1" Flexible conduit</v>
          </cell>
        </row>
        <row r="897">
          <cell r="D897" t="str">
            <v>½" Entrance Cap</v>
          </cell>
        </row>
        <row r="898">
          <cell r="D898" t="str">
            <v>20A Circuit Breakers</v>
          </cell>
        </row>
        <row r="899">
          <cell r="D899" t="str">
            <v>30A Circuit Breakers</v>
          </cell>
        </row>
        <row r="900">
          <cell r="D900" t="str">
            <v>40A Circuit Breakers</v>
          </cell>
        </row>
        <row r="901">
          <cell r="D901" t="str">
            <v>60ACircuit Breakers</v>
          </cell>
        </row>
        <row r="902">
          <cell r="D902" t="str">
            <v>100A Circuit Breakers</v>
          </cell>
        </row>
        <row r="903">
          <cell r="D903" t="str">
            <v>15A Fuse</v>
          </cell>
        </row>
        <row r="904">
          <cell r="D904" t="str">
            <v>20A Fuse</v>
          </cell>
        </row>
        <row r="905">
          <cell r="D905" t="str">
            <v>30A Fuse</v>
          </cell>
        </row>
        <row r="906">
          <cell r="D906" t="str">
            <v>60A Fuse</v>
          </cell>
        </row>
        <row r="907">
          <cell r="D907" t="str">
            <v>30A kWh Meter</v>
          </cell>
        </row>
        <row r="908">
          <cell r="D908" t="str">
            <v>60A kWh Meter</v>
          </cell>
        </row>
        <row r="909">
          <cell r="D909" t="str">
            <v>100A kWh Meter</v>
          </cell>
        </row>
        <row r="910">
          <cell r="D910" t="str">
            <v>2X4, Utility Box</v>
          </cell>
        </row>
        <row r="911">
          <cell r="D911" t="str">
            <v>4X4, Junction Box with cover</v>
          </cell>
        </row>
        <row r="912">
          <cell r="D912" t="str">
            <v>Porcelain Ceiling Outlet</v>
          </cell>
        </row>
        <row r="913">
          <cell r="D913" t="str">
            <v>Duplex convenience outlet (surface type)</v>
          </cell>
        </row>
        <row r="914">
          <cell r="D914" t="str">
            <v>Rubber female plug</v>
          </cell>
        </row>
        <row r="915">
          <cell r="D915" t="str">
            <v>Electrical Tape</v>
          </cell>
        </row>
        <row r="916">
          <cell r="D916" t="str">
            <v>Panel Board, 6-Breakers</v>
          </cell>
        </row>
        <row r="917">
          <cell r="D917" t="str">
            <v>One Gang Switch (flush type)</v>
          </cell>
        </row>
        <row r="918">
          <cell r="D918" t="str">
            <v>Two Gang Swicth (flush type)</v>
          </cell>
        </row>
        <row r="919">
          <cell r="D919" t="str">
            <v>Three Gang Swicth (flush type)</v>
          </cell>
        </row>
        <row r="920">
          <cell r="D920" t="str">
            <v>One Gang Outlet (flush type)</v>
          </cell>
        </row>
        <row r="921">
          <cell r="D921" t="str">
            <v>Two Gang Outlet (flush type)</v>
          </cell>
        </row>
        <row r="922">
          <cell r="D922" t="str">
            <v>Three Gang Outlet (flush type)</v>
          </cell>
        </row>
        <row r="923">
          <cell r="D923" t="str">
            <v>1/2" Metal Conduit Pipe, 3.0m</v>
          </cell>
        </row>
        <row r="924">
          <cell r="D924" t="str">
            <v>20mmØ PVC Conduit Pipes, 3.0m</v>
          </cell>
        </row>
        <row r="925">
          <cell r="D925" t="str">
            <v>Main Switch Box, 2P, Double-Throw</v>
          </cell>
        </row>
        <row r="926">
          <cell r="D926" t="str">
            <v>Porcelain Wire Holder</v>
          </cell>
        </row>
        <row r="928">
          <cell r="D928" t="str">
            <v>( LIGHTS AND LAMPS )</v>
          </cell>
        </row>
        <row r="929">
          <cell r="D929" t="str">
            <v>20W 220 V Flourescent Lamp</v>
          </cell>
        </row>
        <row r="930">
          <cell r="D930" t="str">
            <v>40W 220 V Flourescent Lamp</v>
          </cell>
        </row>
        <row r="931">
          <cell r="D931" t="str">
            <v>20W 220 V Reflectorized Flourescent Lamp, Single Housing</v>
          </cell>
        </row>
        <row r="932">
          <cell r="D932" t="str">
            <v>10W Incandescent Bulb</v>
          </cell>
        </row>
        <row r="933">
          <cell r="D933" t="str">
            <v>20W Incandescent Bulb</v>
          </cell>
        </row>
        <row r="934">
          <cell r="D934" t="str">
            <v>50W Incandescent Bulb</v>
          </cell>
        </row>
        <row r="935">
          <cell r="D935" t="str">
            <v>100W Incandescent Bulb</v>
          </cell>
        </row>
        <row r="936">
          <cell r="D936" t="str">
            <v>18 W SL 2000 Flourescent Bulb</v>
          </cell>
        </row>
        <row r="937">
          <cell r="D937" t="str">
            <v>18 W SL 2000 Flourescent Bulb</v>
          </cell>
        </row>
        <row r="938">
          <cell r="D938" t="str">
            <v>( PAINTS &amp; ACCESSORIES )</v>
          </cell>
        </row>
        <row r="939">
          <cell r="D939" t="str">
            <v>Latex Paint Flat</v>
          </cell>
        </row>
        <row r="940">
          <cell r="D940" t="str">
            <v>Acrylic Latex Paint Flat</v>
          </cell>
        </row>
        <row r="941">
          <cell r="D941" t="str">
            <v>Acrylic Semi-Gloss Paint Latex</v>
          </cell>
        </row>
        <row r="942">
          <cell r="D942" t="str">
            <v>Acrylic Gloss Latex</v>
          </cell>
        </row>
        <row r="943">
          <cell r="D943" t="str">
            <v>Acrylic Clear Gloss Emulsion</v>
          </cell>
        </row>
        <row r="944">
          <cell r="D944" t="str">
            <v>Latex High Gloss Enamel</v>
          </cell>
        </row>
        <row r="945">
          <cell r="D945" t="str">
            <v>Latex Tinting Color (Water-based)</v>
          </cell>
        </row>
        <row r="946">
          <cell r="D946" t="str">
            <v>Quick Drying Enamel</v>
          </cell>
        </row>
        <row r="947">
          <cell r="D947" t="str">
            <v>Interior Semi-Gloss Enamel</v>
          </cell>
        </row>
        <row r="948">
          <cell r="D948" t="str">
            <v>Flat Wall Enamel</v>
          </cell>
        </row>
        <row r="949">
          <cell r="D949" t="str">
            <v>Conc. Primer Sealer</v>
          </cell>
        </row>
        <row r="950">
          <cell r="D950" t="str">
            <v>Interior Primer Sealer</v>
          </cell>
        </row>
        <row r="951">
          <cell r="D951" t="str">
            <v>Exterior Wood Primer</v>
          </cell>
        </row>
        <row r="952">
          <cell r="D952" t="str">
            <v>Prepakote Red Oxide Primer</v>
          </cell>
        </row>
        <row r="953">
          <cell r="D953" t="str">
            <v>Zinc Chromate Primer.</v>
          </cell>
        </row>
        <row r="954">
          <cell r="D954" t="str">
            <v>Red Lead Primer</v>
          </cell>
        </row>
        <row r="955">
          <cell r="D955" t="str">
            <v>Blackboard Paint green</v>
          </cell>
        </row>
        <row r="956">
          <cell r="D956" t="str">
            <v>Portland Roofing Paint</v>
          </cell>
        </row>
        <row r="957">
          <cell r="D957" t="str">
            <v>Galva wash zinc remover</v>
          </cell>
        </row>
        <row r="958">
          <cell r="D958" t="str">
            <v>Sanding Sealer</v>
          </cell>
        </row>
        <row r="959">
          <cell r="D959" t="str">
            <v>Clear Gloss Lacquer</v>
          </cell>
        </row>
        <row r="960">
          <cell r="D960" t="str">
            <v>Paint Thinner</v>
          </cell>
        </row>
        <row r="961">
          <cell r="D961" t="str">
            <v>Concrete Neutralizer</v>
          </cell>
        </row>
        <row r="962">
          <cell r="D962" t="str">
            <v>Coal Tar</v>
          </cell>
        </row>
        <row r="963">
          <cell r="D963" t="str">
            <v>Wood Stain</v>
          </cell>
        </row>
        <row r="964">
          <cell r="D964" t="str">
            <v>Kalsomine powder</v>
          </cell>
        </row>
        <row r="965">
          <cell r="D965" t="str">
            <v>Sanding Paper</v>
          </cell>
        </row>
        <row r="966">
          <cell r="D966" t="str">
            <v>Epoxy Primer, Boysen</v>
          </cell>
        </row>
        <row r="967">
          <cell r="D967" t="str">
            <v>Roller Brush w/ Tray</v>
          </cell>
        </row>
        <row r="968">
          <cell r="D968" t="str">
            <v>Paint Brush</v>
          </cell>
        </row>
        <row r="969">
          <cell r="D969" t="str">
            <v>Reflectorized Paint</v>
          </cell>
        </row>
        <row r="970">
          <cell r="D970" t="str">
            <v>Marine Paint</v>
          </cell>
        </row>
        <row r="972">
          <cell r="D972" t="str">
            <v>( PRESERVATIVES )</v>
          </cell>
        </row>
        <row r="973">
          <cell r="D973" t="str">
            <v>Wood preservative</v>
          </cell>
        </row>
        <row r="975">
          <cell r="D975" t="str">
            <v>( TILES )</v>
          </cell>
        </row>
        <row r="976">
          <cell r="D976" t="str">
            <v>Unglazed Tiles  4-1/4" x 4-1/4"</v>
          </cell>
        </row>
        <row r="977">
          <cell r="D977" t="str">
            <v>Glazed Tile (Plain Color)  4-1/4" x 4-1/4"</v>
          </cell>
        </row>
        <row r="978">
          <cell r="D978" t="str">
            <v>Mosaic Floor Tiles  12 x 12</v>
          </cell>
        </row>
        <row r="979">
          <cell r="D979" t="str">
            <v>Glazed Tiles  4" x 4"</v>
          </cell>
        </row>
        <row r="980">
          <cell r="D980" t="str">
            <v>Vitirified Tiles  4" x 8"</v>
          </cell>
        </row>
        <row r="981">
          <cell r="D981" t="str">
            <v>Floor Tiles (Plain Color)  8" x 8"</v>
          </cell>
        </row>
        <row r="982">
          <cell r="D982" t="str">
            <v>Glazed Tiles (Plain Color)  8" x 8"</v>
          </cell>
        </row>
        <row r="983">
          <cell r="D983" t="str">
            <v>Vinyl Tiles  8" x 8"</v>
          </cell>
        </row>
        <row r="984">
          <cell r="D984" t="str">
            <v>Capping</v>
          </cell>
        </row>
        <row r="985">
          <cell r="D985" t="str">
            <v>Internal Bead  4"</v>
          </cell>
        </row>
        <row r="986">
          <cell r="D986" t="str">
            <v xml:space="preserve">External Bead  4" </v>
          </cell>
        </row>
        <row r="987">
          <cell r="D987" t="str">
            <v>Internal Corner bead</v>
          </cell>
        </row>
        <row r="988">
          <cell r="D988" t="str">
            <v>External Corner bead</v>
          </cell>
        </row>
        <row r="989">
          <cell r="D989" t="str">
            <v>Unglazed Tiles  4" x 4"</v>
          </cell>
        </row>
        <row r="991">
          <cell r="D991" t="str">
            <v>( INSTRUMENTS )</v>
          </cell>
        </row>
        <row r="992">
          <cell r="D992" t="str">
            <v>Weighing Scale w Ht Measurement (Adult)</v>
          </cell>
        </row>
        <row r="993">
          <cell r="D993" t="str">
            <v>Weighing Scale (Newborn)</v>
          </cell>
        </row>
        <row r="994">
          <cell r="D994" t="str">
            <v>Stethoscope</v>
          </cell>
        </row>
        <row r="995">
          <cell r="D995" t="str">
            <v>Medical Trolley w/glass container</v>
          </cell>
        </row>
        <row r="996">
          <cell r="D996" t="str">
            <v>Sphygmomanometer (Mercury)</v>
          </cell>
        </row>
        <row r="997">
          <cell r="D997" t="str">
            <v>Thermometer</v>
          </cell>
        </row>
        <row r="998">
          <cell r="D998" t="str">
            <v>Scissors (Surgical)</v>
          </cell>
        </row>
        <row r="999">
          <cell r="D999" t="str">
            <v>Scissors (Bandage)</v>
          </cell>
        </row>
        <row r="1000">
          <cell r="D1000" t="str">
            <v>Forceps (Curve)</v>
          </cell>
        </row>
        <row r="1001">
          <cell r="D1001" t="str">
            <v>Forceps (Straight)</v>
          </cell>
        </row>
        <row r="1002">
          <cell r="D1002" t="str">
            <v>Kidney Basin (Stainless)</v>
          </cell>
        </row>
        <row r="1003">
          <cell r="D1003" t="str">
            <v>Bed Pan (Metal)</v>
          </cell>
        </row>
        <row r="1004">
          <cell r="D1004" t="str">
            <v>Male Urinal</v>
          </cell>
        </row>
        <row r="1005">
          <cell r="D1005" t="str">
            <v>O.B. Bed with Stirrups</v>
          </cell>
        </row>
        <row r="1006">
          <cell r="D1006" t="str">
            <v>Hot Water Bag</v>
          </cell>
        </row>
        <row r="1008">
          <cell r="D1008" t="str">
            <v>( FURNITURES )</v>
          </cell>
        </row>
        <row r="1009">
          <cell r="D1009" t="str">
            <v>Monoblock Student Chair</v>
          </cell>
        </row>
        <row r="1010">
          <cell r="D1010" t="str">
            <v>Monoblock Chair</v>
          </cell>
        </row>
        <row r="1011">
          <cell r="D1011" t="str">
            <v>Standard Office Table, Wood (SZOPAD Standard)</v>
          </cell>
        </row>
        <row r="1012">
          <cell r="D1012" t="str">
            <v>Blackboard</v>
          </cell>
        </row>
        <row r="1013">
          <cell r="D1013" t="str">
            <v>Kitchen Table, Wood (SZOPAD Standard)</v>
          </cell>
        </row>
        <row r="1014">
          <cell r="D1014" t="str">
            <v>Monoblock Bench (2-seater)</v>
          </cell>
        </row>
        <row r="1016">
          <cell r="D1016" t="str">
            <v>( MOORING &amp; FENDERS )</v>
          </cell>
        </row>
        <row r="1017">
          <cell r="D1017" t="str">
            <v>Mooring Bollard 25T</v>
          </cell>
        </row>
        <row r="1018">
          <cell r="D1018" t="str">
            <v>Mooring Bollard 15T</v>
          </cell>
        </row>
        <row r="1019">
          <cell r="D1019" t="str">
            <v>Mooring Bitt 10T</v>
          </cell>
        </row>
        <row r="1020">
          <cell r="D1020" t="str">
            <v>Mooring Bitt 15T</v>
          </cell>
        </row>
        <row r="1021">
          <cell r="D1021" t="str">
            <v>Mooring Cleat 5T</v>
          </cell>
        </row>
        <row r="1022">
          <cell r="D1022" t="str">
            <v>V-Type Rubber Fender (200x1500) incl. its appurtenances</v>
          </cell>
        </row>
        <row r="1023">
          <cell r="D1023" t="str">
            <v>V-Type Rubber Fender (300x1500) incl. its appurtenances</v>
          </cell>
        </row>
        <row r="1024">
          <cell r="D1024" t="str">
            <v>V-Type Rubber Fender (400x1000) incl. its appurtenances</v>
          </cell>
        </row>
        <row r="1025">
          <cell r="D1025" t="str">
            <v>V-Type Rubber Fender (400x2000) incl. its appurtenances</v>
          </cell>
        </row>
        <row r="1026">
          <cell r="D1026" t="str">
            <v>L Corner Type Rubber Fender (250Hx1000Lx1000L) incl. its appurtenances</v>
          </cell>
        </row>
        <row r="1027">
          <cell r="D1027" t="str">
            <v>Used Tires (800mmØ)</v>
          </cell>
        </row>
        <row r="1028">
          <cell r="D1028" t="str">
            <v>Used Tires (1000mmØ) and its appurtenances</v>
          </cell>
        </row>
        <row r="1031">
          <cell r="D1031" t="str">
            <v>( LUBRICANT AND OIL )</v>
          </cell>
        </row>
        <row r="1032">
          <cell r="D1032" t="str">
            <v>Used Oil</v>
          </cell>
        </row>
        <row r="1033">
          <cell r="D1033" t="str">
            <v>Oil, No. 110</v>
          </cell>
        </row>
        <row r="1034">
          <cell r="D1034" t="str">
            <v>Gasoline, Regular</v>
          </cell>
        </row>
        <row r="1036">
          <cell r="D1036" t="str">
            <v>( JUNKS &amp; JOB ORDER )</v>
          </cell>
        </row>
        <row r="1037">
          <cell r="D1037" t="str">
            <v>Tension Rod</v>
          </cell>
        </row>
        <row r="1038">
          <cell r="D1038" t="str">
            <v>Steel Plate Cover 0.65 X 0.65 m</v>
          </cell>
        </row>
        <row r="1039">
          <cell r="D1039" t="str">
            <v>Window Grill, Steel</v>
          </cell>
        </row>
        <row r="1040">
          <cell r="D1040" t="str">
            <v xml:space="preserve">Shop-made Door Lock, 5/8" Plain Bar </v>
          </cell>
        </row>
        <row r="1041">
          <cell r="D1041" t="str">
            <v>Fabricated Clamp, 5mm thk x 3"</v>
          </cell>
        </row>
        <row r="1042">
          <cell r="D1042" t="str">
            <v>Used Tires</v>
          </cell>
        </row>
        <row r="1043">
          <cell r="D1043" t="str">
            <v>2.0m X 2.40m  GI Vertical Roll-Up Door</v>
          </cell>
        </row>
        <row r="1044">
          <cell r="D1044" t="str">
            <v>30"  Spherical Roof Vent, Turbine Type</v>
          </cell>
        </row>
        <row r="1045">
          <cell r="D1045" t="str">
            <v>Ga#24 GI Sht Caps</v>
          </cell>
        </row>
        <row r="1046">
          <cell r="D1046" t="str">
            <v>Hard Asphalt Filler</v>
          </cell>
        </row>
        <row r="1047">
          <cell r="D1047" t="str">
            <v>250 x 250 x 3000 Rubbing Timber (Yakal)</v>
          </cell>
        </row>
        <row r="1048">
          <cell r="D1048" t="str">
            <v>Creosoted Wooden Pole 300mmØ x 15m.</v>
          </cell>
        </row>
        <row r="1049">
          <cell r="D1049" t="str">
            <v>Creosoted Wooden Pole 300mmØ x 18m.</v>
          </cell>
        </row>
        <row r="1050">
          <cell r="D1050" t="str">
            <v>Steel Stapples 10mmØ</v>
          </cell>
        </row>
        <row r="1051">
          <cell r="D1051" t="str">
            <v>Fire Extinguishers</v>
          </cell>
        </row>
        <row r="1052">
          <cell r="D1052" t="str">
            <v>Water Proofing Compound &amp; Accessories</v>
          </cell>
        </row>
        <row r="1053">
          <cell r="D1053" t="str">
            <v>Gate Accessories</v>
          </cell>
        </row>
        <row r="1054">
          <cell r="D1054" t="str">
            <v>Electrical &amp; Fixtures</v>
          </cell>
        </row>
        <row r="1055">
          <cell r="D1055" t="str">
            <v>Regulatory Sign</v>
          </cell>
        </row>
        <row r="1056">
          <cell r="D1056" t="str">
            <v>Elastomeric Bearing Pad Duro 60 (Complete Set)</v>
          </cell>
        </row>
        <row r="1057">
          <cell r="D1057" t="str">
            <v>Restrainer Bolt (25mmØx800</v>
          </cell>
        </row>
        <row r="1058">
          <cell r="D1058" t="str">
            <v>Ga#10 GI Pre-Fab Steel Flex Beam</v>
          </cell>
        </row>
        <row r="1059">
          <cell r="D1059" t="str">
            <v>Ga#10 GI Pre-Fab Steel Flex Beam end</v>
          </cell>
        </row>
        <row r="1060">
          <cell r="D1060" t="str">
            <v>Restrainer Bolt (25mmØx800)</v>
          </cell>
        </row>
        <row r="1061">
          <cell r="D1061" t="str">
            <v>Water Meter</v>
          </cell>
        </row>
        <row r="1062">
          <cell r="D1062" t="str">
            <v>Filter Fabric</v>
          </cell>
        </row>
        <row r="1063">
          <cell r="D1063" t="str">
            <v>Ga# 18 Stainless Steel Tank and Accessories</v>
          </cell>
        </row>
        <row r="1066">
          <cell r="D1066" t="str">
            <v>FENESTRATION</v>
          </cell>
        </row>
        <row r="1067">
          <cell r="D1067" t="str">
            <v>Door 1 - Community Center 1</v>
          </cell>
        </row>
        <row r="1068">
          <cell r="D1068" t="str">
            <v>Door 2 - Community Center 1</v>
          </cell>
        </row>
        <row r="1069">
          <cell r="D1069" t="str">
            <v>Window 1 - Community Center 1</v>
          </cell>
        </row>
        <row r="1070">
          <cell r="D1070" t="str">
            <v>Window 2 - Community Center 1</v>
          </cell>
        </row>
        <row r="1071">
          <cell r="D1071" t="str">
            <v>Window 3 - Community Center 1</v>
          </cell>
        </row>
        <row r="1073">
          <cell r="D1073" t="str">
            <v>Door 1 - Community Center 2</v>
          </cell>
        </row>
        <row r="1074">
          <cell r="D1074" t="str">
            <v>Door 2 - Community Center 2</v>
          </cell>
        </row>
        <row r="1075">
          <cell r="D1075" t="str">
            <v>Window 1 - Community Center 2</v>
          </cell>
        </row>
        <row r="1076">
          <cell r="D1076" t="str">
            <v>Window 2 - Community Center 2</v>
          </cell>
        </row>
        <row r="1077">
          <cell r="D1077" t="str">
            <v>Window 3 - Community Center 2</v>
          </cell>
        </row>
        <row r="1079">
          <cell r="D1079" t="str">
            <v xml:space="preserve">Door 1 - Trading Center </v>
          </cell>
        </row>
        <row r="1080">
          <cell r="D1080" t="str">
            <v xml:space="preserve">Door 2 - Trading Center </v>
          </cell>
        </row>
        <row r="1081">
          <cell r="D1081" t="str">
            <v xml:space="preserve">Panel Door  - Trading Center </v>
          </cell>
        </row>
        <row r="1082">
          <cell r="D1082" t="str">
            <v>Window 1 - Trading Center</v>
          </cell>
        </row>
        <row r="1083">
          <cell r="D1083" t="str">
            <v>Window 2 - Trading Center</v>
          </cell>
        </row>
        <row r="1084">
          <cell r="D1084" t="str">
            <v>Window 3 - Trading Center</v>
          </cell>
        </row>
        <row r="1086">
          <cell r="D1086" t="str">
            <v>FACILITIES FOR ENGINEER</v>
          </cell>
        </row>
        <row r="1087">
          <cell r="D1087" t="str">
            <v>Temporary Field Office/Quarter (2 Container Van w/ Shed)</v>
          </cell>
        </row>
        <row r="1088">
          <cell r="D1088" t="str">
            <v>Temporary Field Office/Quarter</v>
          </cell>
        </row>
        <row r="1089">
          <cell r="D1089" t="str">
            <v>Airconditioning Unit</v>
          </cell>
        </row>
        <row r="1090">
          <cell r="D1090" t="str">
            <v>Computer Pentium 4 w/ HP Deskject Printer (Latest Model)</v>
          </cell>
        </row>
        <row r="1091">
          <cell r="D1091" t="str">
            <v>Office Furnitures/Equipment (Items 81.70, 81.80 and 81.90)</v>
          </cell>
        </row>
        <row r="1092">
          <cell r="D1092" t="str">
            <v>Office Supplies/Water/Electricity</v>
          </cell>
        </row>
        <row r="1093">
          <cell r="D1093" t="str">
            <v>Furnishing on Rental Basis (Mat'ls Laboratory, Operations &amp; Maintenance)</v>
          </cell>
        </row>
        <row r="1094">
          <cell r="D1094" t="str">
            <v>Progress Photographed</v>
          </cell>
        </row>
        <row r="1096">
          <cell r="D1096" t="str">
            <v>OFFICE FURNITURES</v>
          </cell>
        </row>
        <row r="1097">
          <cell r="D1097" t="str">
            <v>Office Table</v>
          </cell>
        </row>
        <row r="1098">
          <cell r="D1098" t="str">
            <v>Office Chairs</v>
          </cell>
        </row>
        <row r="1099">
          <cell r="D1099" t="str">
            <v>Bench</v>
          </cell>
        </row>
        <row r="1100">
          <cell r="D1100" t="str">
            <v>Plywood Board</v>
          </cell>
        </row>
        <row r="1102">
          <cell r="D1102" t="str">
            <v>SIGNAGES</v>
          </cell>
        </row>
        <row r="1103">
          <cell r="D1103" t="str">
            <v>Plate Marker</v>
          </cell>
        </row>
        <row r="1104">
          <cell r="D1104" t="str">
            <v>Marker Pedestal</v>
          </cell>
        </row>
        <row r="1105">
          <cell r="D1105" t="str">
            <v>Stainless Steel Plaque</v>
          </cell>
        </row>
        <row r="1106">
          <cell r="D1106" t="str">
            <v>Stainless Steel Plaque w/ Concrete Pedestal</v>
          </cell>
        </row>
        <row r="1107">
          <cell r="D1107" t="str">
            <v>Wooden Type Project Information Signboard</v>
          </cell>
        </row>
        <row r="1108">
          <cell r="D1108" t="str">
            <v>Steel Type Project Information Signboard</v>
          </cell>
        </row>
        <row r="1109">
          <cell r="D1109" t="str">
            <v>Signage</v>
          </cell>
        </row>
        <row r="1110">
          <cell r="D1110" t="str">
            <v>Plate Marker w/ Pedestal</v>
          </cell>
        </row>
        <row r="1113">
          <cell r="D1113" t="str">
            <v>PERMITS &amp; LICENSES</v>
          </cell>
        </row>
        <row r="1114">
          <cell r="D1114" t="str">
            <v>Warehouse</v>
          </cell>
        </row>
        <row r="1115">
          <cell r="D1115" t="str">
            <v>Solar Dryer</v>
          </cell>
        </row>
        <row r="1116">
          <cell r="D1116" t="str">
            <v>Community Center 1</v>
          </cell>
        </row>
        <row r="1118">
          <cell r="D1118" t="str">
            <v>( LIQUIFIED AND PRESSURE GASES )</v>
          </cell>
        </row>
        <row r="1119">
          <cell r="D1119" t="str">
            <v>Oxygen Gas</v>
          </cell>
        </row>
        <row r="1120">
          <cell r="D1120" t="str">
            <v>Acetylene Gas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Center"/>
      <sheetName val="Project List"/>
      <sheetName val="Extracted Information"/>
      <sheetName val="Data"/>
      <sheetName val="Numbers"/>
      <sheetName val="Materials"/>
      <sheetName val="Manpower"/>
      <sheetName val="Transport"/>
      <sheetName val="Equipment"/>
      <sheetName val="Scope of Works"/>
      <sheetName val="Others"/>
      <sheetName val="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D10" t="str">
            <v>Sand</v>
          </cell>
        </row>
        <row r="11">
          <cell r="D11" t="str">
            <v>Gravel</v>
          </cell>
        </row>
        <row r="12">
          <cell r="D12" t="str">
            <v>Gravel Bedding</v>
          </cell>
        </row>
        <row r="13">
          <cell r="D13" t="str">
            <v>Stone</v>
          </cell>
        </row>
        <row r="14">
          <cell r="D14" t="str">
            <v>Boulders / Stone</v>
          </cell>
        </row>
        <row r="15">
          <cell r="D15" t="str">
            <v>Boulders (20-30 cm dia.)</v>
          </cell>
        </row>
        <row r="16">
          <cell r="D16" t="str">
            <v>Filling Materials</v>
          </cell>
        </row>
        <row r="17">
          <cell r="D17" t="str">
            <v>Aggregate Sub Base Course (Item 200)</v>
          </cell>
        </row>
        <row r="18">
          <cell r="D18" t="str">
            <v>Aggregate Base Course (Item 201)</v>
          </cell>
        </row>
        <row r="19">
          <cell r="D19" t="str">
            <v>Common Borrow</v>
          </cell>
        </row>
        <row r="20">
          <cell r="D20" t="str">
            <v>Gravelfill</v>
          </cell>
        </row>
        <row r="21">
          <cell r="D21" t="str">
            <v>Sand Fill</v>
          </cell>
        </row>
        <row r="22">
          <cell r="D22" t="str">
            <v>Granular Fill</v>
          </cell>
        </row>
        <row r="23">
          <cell r="D23" t="str">
            <v>Rock / Boulder (50-200 kg)</v>
          </cell>
        </row>
        <row r="24">
          <cell r="D24" t="str">
            <v>Rock / Boulder (100-200 kg)</v>
          </cell>
        </row>
        <row r="29">
          <cell r="D29" t="str">
            <v>( WATER )</v>
          </cell>
        </row>
        <row r="30">
          <cell r="D30" t="str">
            <v>Water</v>
          </cell>
        </row>
        <row r="32">
          <cell r="D32" t="str">
            <v>( CEMENT )</v>
          </cell>
        </row>
        <row r="33">
          <cell r="D33" t="str">
            <v>Portland Cement 40kg</v>
          </cell>
        </row>
        <row r="34">
          <cell r="D34" t="str">
            <v>Portland Cement</v>
          </cell>
        </row>
        <row r="35">
          <cell r="D35" t="str">
            <v>Pozzoland Cement 40 kg</v>
          </cell>
        </row>
        <row r="36">
          <cell r="D36" t="str">
            <v>Red cement</v>
          </cell>
        </row>
        <row r="37">
          <cell r="D37" t="str">
            <v>White Cement</v>
          </cell>
        </row>
        <row r="38">
          <cell r="D38" t="str">
            <v>Water Sealant Cement</v>
          </cell>
        </row>
        <row r="39">
          <cell r="D39" t="str">
            <v>Bentonite</v>
          </cell>
        </row>
        <row r="40">
          <cell r="D40" t="str">
            <v>Epoxy Grout</v>
          </cell>
        </row>
        <row r="41">
          <cell r="D41" t="str">
            <v>Epoxy Resin</v>
          </cell>
        </row>
        <row r="42">
          <cell r="D42" t="str">
            <v>Non-Shrink Grout</v>
          </cell>
        </row>
        <row r="44">
          <cell r="D44" t="str">
            <v>( CEMENT PRODUCTS )</v>
          </cell>
        </row>
        <row r="45">
          <cell r="D45" t="str">
            <v>100mm Conc. Hollow Block</v>
          </cell>
        </row>
        <row r="46">
          <cell r="D46" t="str">
            <v>150mm Conc. Hollow Block</v>
          </cell>
        </row>
        <row r="47">
          <cell r="D47" t="str">
            <v>Decorative Concrete Block (Louver Type)</v>
          </cell>
        </row>
        <row r="48">
          <cell r="D48" t="str">
            <v>250mm x 250mm Decorative Concrete Block</v>
          </cell>
        </row>
        <row r="49">
          <cell r="D49" t="str">
            <v>300mm RC Pipe Culvert</v>
          </cell>
        </row>
        <row r="50">
          <cell r="D50" t="str">
            <v>450mm RC Pipe Culvert</v>
          </cell>
        </row>
        <row r="51">
          <cell r="D51" t="str">
            <v>610mm RC Pipe Culvert</v>
          </cell>
        </row>
        <row r="52">
          <cell r="D52" t="str">
            <v>760mm RC Pipe Culvert</v>
          </cell>
        </row>
        <row r="53">
          <cell r="D53" t="str">
            <v>910mm RC Pipe Culvert</v>
          </cell>
        </row>
        <row r="54">
          <cell r="D54" t="str">
            <v>1220mm RC Pipe Culvert</v>
          </cell>
        </row>
        <row r="55">
          <cell r="D55" t="str">
            <v>3"dia. Conc. Baluster, 18"</v>
          </cell>
        </row>
        <row r="57">
          <cell r="D57" t="str">
            <v>PRESTRESSED PILES</v>
          </cell>
        </row>
        <row r="59">
          <cell r="D59" t="str">
            <v>PSC Piles, 400mm x 400mm x 10m.</v>
          </cell>
        </row>
        <row r="60">
          <cell r="D60" t="str">
            <v>PSC Piles, 400mm x 400mm x 12m.</v>
          </cell>
        </row>
        <row r="61">
          <cell r="D61" t="str">
            <v>PSC Piles, 400mm x 400mm x 14m.</v>
          </cell>
        </row>
        <row r="62">
          <cell r="D62" t="str">
            <v>PSC Piles, 400mm x 400mm x 21m.</v>
          </cell>
        </row>
        <row r="63">
          <cell r="D63" t="str">
            <v>PSC Piles, 400mm x 400mm x 22m.</v>
          </cell>
        </row>
        <row r="64">
          <cell r="D64" t="str">
            <v>PSC Piles, 400mm x 400mm x 24m.</v>
          </cell>
        </row>
        <row r="65">
          <cell r="D65" t="str">
            <v>PSC Test Piles, 400mm x 400mm x 10m.</v>
          </cell>
        </row>
        <row r="66">
          <cell r="D66" t="str">
            <v>PSC Test Piles, 400mm x 400mm x 12m.</v>
          </cell>
        </row>
        <row r="67">
          <cell r="D67" t="str">
            <v>PSC Test Piles, 400mm x 400mm x 14m.</v>
          </cell>
        </row>
        <row r="68">
          <cell r="D68" t="str">
            <v>PSC Test Piles, 400mm x 400mm x 21m.</v>
          </cell>
        </row>
        <row r="69">
          <cell r="D69" t="str">
            <v>PSC Test Piles, 400mm x 400mm x 22m.</v>
          </cell>
        </row>
        <row r="70">
          <cell r="D70" t="str">
            <v xml:space="preserve">PSC Test Piles, 400mm x 400mm x 24m. </v>
          </cell>
        </row>
        <row r="72">
          <cell r="D72" t="str">
            <v xml:space="preserve">PSC Test Piles, 450mm x 450mm x 35m. </v>
          </cell>
        </row>
        <row r="73">
          <cell r="D73" t="str">
            <v>PSC Piles, 450mm x 450mm x 35m.</v>
          </cell>
        </row>
        <row r="74">
          <cell r="D74" t="str">
            <v xml:space="preserve">PSC Test Piles, 450mm x 450mm x 25m. </v>
          </cell>
        </row>
        <row r="75">
          <cell r="D75" t="str">
            <v>PSC Piles, 450mm x 450mm x 25m.</v>
          </cell>
        </row>
        <row r="78">
          <cell r="D78" t="str">
            <v xml:space="preserve">PSC Test Piles, 400mm x 400mm x 40m. </v>
          </cell>
        </row>
        <row r="79">
          <cell r="D79" t="str">
            <v>PSC Piles, 400mm x 400mm x 40m.</v>
          </cell>
        </row>
        <row r="81">
          <cell r="D81" t="str">
            <v xml:space="preserve">PSC Test Piles - 400mm x 400mm x 24m. </v>
          </cell>
        </row>
        <row r="82">
          <cell r="D82" t="str">
            <v>PSC Piles - 400mm x 400mm x 24m.</v>
          </cell>
        </row>
        <row r="86">
          <cell r="D86" t="str">
            <v>Steel Piles</v>
          </cell>
        </row>
        <row r="87">
          <cell r="D87" t="str">
            <v>Steel Sheet Pile (PZ27)</v>
          </cell>
        </row>
        <row r="88">
          <cell r="D88" t="str">
            <v>Steel Pipe Pile (Ø 450 x 12t x 18m. - SKK400)</v>
          </cell>
        </row>
        <row r="89">
          <cell r="D89" t="str">
            <v>Steel Pipe Pile (Ø 150 x 12t x 6m. - SKK400)</v>
          </cell>
        </row>
        <row r="96">
          <cell r="D96" t="str">
            <v>( TIMBER and INDIGENOUS MATERIALS )</v>
          </cell>
        </row>
        <row r="97">
          <cell r="D97" t="str">
            <v>1" x 6" (Yakal)</v>
          </cell>
        </row>
        <row r="98">
          <cell r="D98" t="str">
            <v>2" x 2" (Yakal)</v>
          </cell>
        </row>
        <row r="99">
          <cell r="D99" t="str">
            <v>2" x 6" (Yakal)</v>
          </cell>
        </row>
        <row r="100">
          <cell r="D100" t="str">
            <v>2" x 4" (Yakal or equivalent)</v>
          </cell>
        </row>
        <row r="101">
          <cell r="D101" t="str">
            <v>2" x 4" (Yakal)</v>
          </cell>
        </row>
        <row r="102">
          <cell r="D102" t="str">
            <v>2" x 3" (Yakal)</v>
          </cell>
        </row>
        <row r="103">
          <cell r="D103" t="str">
            <v>2" x 6" (Yakal or equivalent)</v>
          </cell>
        </row>
        <row r="104">
          <cell r="D104" t="str">
            <v>2" x 6" x 6' (Yakal)</v>
          </cell>
        </row>
        <row r="105">
          <cell r="D105" t="str">
            <v>2" x 6" x 6' (Yakal or equivalent)</v>
          </cell>
        </row>
        <row r="106">
          <cell r="D106" t="str">
            <v>2" x 6" x 8' (Yakal)</v>
          </cell>
        </row>
        <row r="107">
          <cell r="D107" t="str">
            <v>2" x 6" x 10' (Yakal)</v>
          </cell>
        </row>
        <row r="108">
          <cell r="D108" t="str">
            <v>2" x 6" x 12' (Yakal)</v>
          </cell>
        </row>
        <row r="109">
          <cell r="D109" t="str">
            <v>2" x 6" x 14' (Yakal)</v>
          </cell>
        </row>
        <row r="110">
          <cell r="D110" t="str">
            <v>3" x 4" (Yakal)</v>
          </cell>
        </row>
        <row r="111">
          <cell r="D111" t="str">
            <v>4" x 4" (Yakal)</v>
          </cell>
        </row>
        <row r="112">
          <cell r="D112" t="str">
            <v>3" x 4" (Yakal or equivalent)</v>
          </cell>
        </row>
        <row r="113">
          <cell r="D113" t="str">
            <v>3" x 4" x 8' (Yakal)</v>
          </cell>
        </row>
        <row r="114">
          <cell r="D114" t="str">
            <v>3" x 4" x 10' (Yakal)</v>
          </cell>
        </row>
        <row r="115">
          <cell r="D115" t="str">
            <v>6" x 6" (Yakal)</v>
          </cell>
        </row>
        <row r="116">
          <cell r="D116" t="str">
            <v>6" x 6" (Yakal or equivalent)</v>
          </cell>
        </row>
        <row r="117">
          <cell r="D117" t="str">
            <v>6" x 6" (Molave)</v>
          </cell>
        </row>
        <row r="118">
          <cell r="D118" t="str">
            <v>6" x 6" (Molave or equivalent)</v>
          </cell>
        </row>
        <row r="119">
          <cell r="D119" t="str">
            <v>6" x 6" x 10' (Yakal)</v>
          </cell>
        </row>
        <row r="120">
          <cell r="D120" t="str">
            <v>6" x 6" x 8' (Molave)</v>
          </cell>
        </row>
        <row r="121">
          <cell r="D121" t="str">
            <v>6" x 6" x 10' (Molave)</v>
          </cell>
        </row>
        <row r="122">
          <cell r="D122" t="str">
            <v>6" x 6" x 14' (Molave)</v>
          </cell>
        </row>
        <row r="123">
          <cell r="D123" t="str">
            <v>6" x 6" x 16' (Molave)</v>
          </cell>
        </row>
        <row r="124">
          <cell r="D124" t="str">
            <v>6" x 6" x 18' (Molave)</v>
          </cell>
        </row>
        <row r="125">
          <cell r="D125" t="str">
            <v>6" x 6" x 20' (Molave)</v>
          </cell>
        </row>
        <row r="126">
          <cell r="D126" t="str">
            <v>6" x 6" x 22' (Molave)</v>
          </cell>
        </row>
        <row r="127">
          <cell r="D127" t="str">
            <v>8" Ø Molave Pile</v>
          </cell>
        </row>
        <row r="128">
          <cell r="D128" t="str">
            <v>Yakal</v>
          </cell>
        </row>
        <row r="129">
          <cell r="D129" t="str">
            <v>Guijo</v>
          </cell>
        </row>
        <row r="130">
          <cell r="D130" t="str">
            <v>Apitong</v>
          </cell>
        </row>
        <row r="131">
          <cell r="D131" t="str">
            <v>Lauan</v>
          </cell>
        </row>
        <row r="132">
          <cell r="D132" t="str">
            <v>Coco Trunks</v>
          </cell>
        </row>
        <row r="133">
          <cell r="D133" t="str">
            <v>Coco Lumber</v>
          </cell>
        </row>
        <row r="134">
          <cell r="D134" t="str">
            <v>Coco Lumber (Miscut)</v>
          </cell>
        </row>
        <row r="135">
          <cell r="D135" t="str">
            <v>Falsework &amp; Scaffolds (Coco Lumber)</v>
          </cell>
        </row>
        <row r="136">
          <cell r="D136" t="str">
            <v>Falsework, Scaffolds &amp; Formworks (Coco Lumber)</v>
          </cell>
        </row>
        <row r="137">
          <cell r="D137" t="str">
            <v>Bamboo Poles</v>
          </cell>
        </row>
        <row r="138">
          <cell r="D138" t="str">
            <v>1½"   Bamboo Slats</v>
          </cell>
        </row>
        <row r="139">
          <cell r="D139" t="str">
            <v>Bamboo Slats</v>
          </cell>
        </row>
        <row r="140">
          <cell r="D140" t="str">
            <v>Bacauan</v>
          </cell>
        </row>
        <row r="141">
          <cell r="D141" t="str">
            <v>Tambulian or Equivalent</v>
          </cell>
        </row>
        <row r="142">
          <cell r="D142" t="str">
            <v>Nipa Shingles</v>
          </cell>
        </row>
        <row r="143">
          <cell r="D143" t="str">
            <v>Gemilina</v>
          </cell>
        </row>
        <row r="145">
          <cell r="D145" t="str">
            <v>( TIMBER PRODUCTS )</v>
          </cell>
        </row>
        <row r="146">
          <cell r="D146" t="str">
            <v>Mouldings and Slats</v>
          </cell>
        </row>
        <row r="147">
          <cell r="D147" t="str">
            <v>S-Type Mouldings/Cornice</v>
          </cell>
        </row>
        <row r="148">
          <cell r="D148" t="str">
            <v>Moulding/Cornice</v>
          </cell>
        </row>
        <row r="149">
          <cell r="D149" t="str">
            <v>0.70 x 1.00 fixed Louvers</v>
          </cell>
        </row>
        <row r="150">
          <cell r="D150" t="str">
            <v>Wall Boards, T&amp;G, stone-cut, etc.</v>
          </cell>
        </row>
        <row r="151">
          <cell r="D151" t="str">
            <v>¼" thk, Ordinary Plywood</v>
          </cell>
        </row>
        <row r="152">
          <cell r="D152" t="str">
            <v>3/8" thk, Ordinary Plywood</v>
          </cell>
        </row>
        <row r="153">
          <cell r="D153" t="str">
            <v>½" thk, Ordinary Plywood</v>
          </cell>
        </row>
        <row r="154">
          <cell r="D154" t="str">
            <v>3/4" thk,  Ordinary Plywood</v>
          </cell>
        </row>
        <row r="155">
          <cell r="D155" t="str">
            <v>¼" thk,  Marine Plywood</v>
          </cell>
        </row>
        <row r="156">
          <cell r="D156" t="str">
            <v>½" thk,  Marine Plywood</v>
          </cell>
        </row>
        <row r="157">
          <cell r="D157" t="str">
            <v>3/8" thk,  Form Plywood</v>
          </cell>
        </row>
        <row r="158">
          <cell r="D158" t="str">
            <v>4" x 8' Stone-Cut T&amp;G</v>
          </cell>
        </row>
        <row r="159">
          <cell r="D159" t="str">
            <v>1/4"Hardiflex</v>
          </cell>
        </row>
        <row r="160">
          <cell r="D160" t="str">
            <v>Wooden Door Set</v>
          </cell>
        </row>
        <row r="161">
          <cell r="D161" t="str">
            <v>Wooden Window Set w/ Steel Grilles</v>
          </cell>
        </row>
        <row r="162">
          <cell r="D162" t="str">
            <v>Wooden Window-1 Set w/ Steel Grilles</v>
          </cell>
        </row>
        <row r="163">
          <cell r="D163" t="str">
            <v>Wooden Window-2 Set w/ Steel Grilles</v>
          </cell>
        </row>
        <row r="165">
          <cell r="D165" t="str">
            <v>Wooden Door-1 Set</v>
          </cell>
        </row>
        <row r="166">
          <cell r="D166" t="str">
            <v>Wooden Door-2 Set</v>
          </cell>
        </row>
        <row r="167">
          <cell r="D167" t="str">
            <v>Wooden Door-3 Set</v>
          </cell>
        </row>
        <row r="168">
          <cell r="D168" t="str">
            <v>Wooden Window Set</v>
          </cell>
        </row>
        <row r="171">
          <cell r="D171" t="str">
            <v>Wooden Window Set w/ Steel Grilles</v>
          </cell>
        </row>
        <row r="172">
          <cell r="D172" t="str">
            <v>Wooden Window-1 Set w/ Steel Grilles</v>
          </cell>
        </row>
        <row r="173">
          <cell r="D173" t="str">
            <v>Wooden Window-2 Set w/ Steel Grilles</v>
          </cell>
        </row>
        <row r="178">
          <cell r="D178" t="str">
            <v>( FLAT &amp; ROUND STEEL BARS )</v>
          </cell>
        </row>
        <row r="179">
          <cell r="D179" t="str">
            <v>Deformed Bars, Grade 40</v>
          </cell>
        </row>
        <row r="180">
          <cell r="D180" t="str">
            <v>Deformed Bars, Grade 33</v>
          </cell>
        </row>
        <row r="181">
          <cell r="D181" t="str">
            <v xml:space="preserve">6mmØ x 6m. RSB </v>
          </cell>
        </row>
        <row r="182">
          <cell r="D182" t="str">
            <v xml:space="preserve">8mmØ x 6m. RSB </v>
          </cell>
        </row>
        <row r="183">
          <cell r="D183" t="str">
            <v xml:space="preserve">10mmØ x 6m. RSB </v>
          </cell>
        </row>
        <row r="184">
          <cell r="D184" t="str">
            <v xml:space="preserve">12mmØ x 6m. RSB </v>
          </cell>
        </row>
        <row r="185">
          <cell r="D185" t="str">
            <v>Deformed Bars, (276 Mpa)</v>
          </cell>
        </row>
        <row r="186">
          <cell r="D186" t="str">
            <v>Deformed Bars, (230 Mpa)</v>
          </cell>
        </row>
        <row r="187">
          <cell r="D187" t="str">
            <v>Plain Round Bars, Grade 33</v>
          </cell>
        </row>
        <row r="188">
          <cell r="D188" t="str">
            <v>12mm  Suction Rod with Threaded Coupling</v>
          </cell>
        </row>
        <row r="189">
          <cell r="D189" t="str">
            <v>Square Bar</v>
          </cell>
        </row>
        <row r="190">
          <cell r="D190" t="str">
            <v>¼" X 2½" Flat Bar</v>
          </cell>
        </row>
        <row r="191">
          <cell r="D191" t="str">
            <v>36mmØ Splicing Bar</v>
          </cell>
        </row>
        <row r="193">
          <cell r="D193" t="str">
            <v>10mmØ x 6m. RSB Grade 33</v>
          </cell>
        </row>
        <row r="194">
          <cell r="D194" t="str">
            <v>10mmØ x 7.5m. RSB Grade 33</v>
          </cell>
        </row>
        <row r="195">
          <cell r="D195" t="str">
            <v>10mmØ x 9m. RSB Grade 33</v>
          </cell>
        </row>
        <row r="196">
          <cell r="D196" t="str">
            <v>12mmØ x 6m. RSB Grade 33</v>
          </cell>
        </row>
        <row r="197">
          <cell r="D197" t="str">
            <v>12mmØ x 7.5m. RSB Grade 33</v>
          </cell>
        </row>
        <row r="198">
          <cell r="D198" t="str">
            <v>12mmØ x 9m. RSB Grade 33</v>
          </cell>
        </row>
        <row r="199">
          <cell r="D199" t="str">
            <v>16mmØ x 6m. RSB Grade 33</v>
          </cell>
        </row>
        <row r="200">
          <cell r="D200" t="str">
            <v>16mmØ x 7.5m. RSB Grade 33</v>
          </cell>
        </row>
        <row r="201">
          <cell r="D201" t="str">
            <v>16mmØ x 9m. RSB Grade 33</v>
          </cell>
        </row>
        <row r="202">
          <cell r="D202" t="str">
            <v>20mmØ x 6m. RSB Grade 33</v>
          </cell>
        </row>
        <row r="203">
          <cell r="D203" t="str">
            <v>20mmØ x 7.5m. RSB Grade 33</v>
          </cell>
        </row>
        <row r="204">
          <cell r="D204" t="str">
            <v>20mmØ x 9m. RSB Grade 33</v>
          </cell>
        </row>
        <row r="205">
          <cell r="D205" t="str">
            <v>25mmØ x 6m. RSB Grade 33</v>
          </cell>
        </row>
        <row r="206">
          <cell r="D206" t="str">
            <v>25mmØ x 7.5m. RSB Grade 33</v>
          </cell>
        </row>
        <row r="207">
          <cell r="D207" t="str">
            <v>25mmØ x 9m. RSB Grade 33</v>
          </cell>
        </row>
        <row r="211">
          <cell r="D211" t="str">
            <v>( STRUCTURAL STEEL )</v>
          </cell>
        </row>
        <row r="212">
          <cell r="D212" t="str">
            <v>3/16"x1½"x1½" Angle Bar</v>
          </cell>
        </row>
        <row r="213">
          <cell r="D213" t="str">
            <v>1/8" x 2" x 2" Angle Bar</v>
          </cell>
        </row>
        <row r="214">
          <cell r="D214" t="str">
            <v>3/16" x 2" x 2" Angle Bar</v>
          </cell>
        </row>
        <row r="215">
          <cell r="D215" t="str">
            <v>3/16" x 1" x1" Angle Bar</v>
          </cell>
        </row>
        <row r="216">
          <cell r="D216" t="str">
            <v>1" x 1/4" Flat Bar</v>
          </cell>
        </row>
        <row r="217">
          <cell r="D217" t="str">
            <v>38mm x 38mmx 5mm Angle Bar</v>
          </cell>
        </row>
        <row r="218">
          <cell r="D218" t="str">
            <v>38mm x 38mmx 6mm Angle Bar</v>
          </cell>
        </row>
        <row r="219">
          <cell r="D219" t="str">
            <v>40mm x 40mmx 6mm Angle Bar</v>
          </cell>
        </row>
        <row r="220">
          <cell r="D220" t="str">
            <v>25mm x 25mm x 3mm Angle Bar</v>
          </cell>
        </row>
        <row r="221">
          <cell r="D221" t="str">
            <v>25mm x 25mm x 6mm Angle Bar</v>
          </cell>
        </row>
        <row r="222">
          <cell r="D222" t="str">
            <v>50mm x 50mm x 4.5mm Angle Bar</v>
          </cell>
        </row>
        <row r="223">
          <cell r="D223" t="str">
            <v>3/16" x 2½" x2½" Angle Bar</v>
          </cell>
        </row>
        <row r="224">
          <cell r="D224" t="str">
            <v>100mm x 100mm x 8mm Angle Bar</v>
          </cell>
        </row>
        <row r="225">
          <cell r="D225" t="str">
            <v>100mm x 100mm x 10mm Angle Bar</v>
          </cell>
        </row>
        <row r="226">
          <cell r="D226" t="str">
            <v>100mm x 100mm x 12mm Angle Bar</v>
          </cell>
        </row>
        <row r="227">
          <cell r="D227" t="str">
            <v>Structural Steel, ASTM A36</v>
          </cell>
        </row>
        <row r="228">
          <cell r="D228" t="str">
            <v>Structural Steel Plate 9mm thk., ASTM A36</v>
          </cell>
        </row>
        <row r="229">
          <cell r="D229" t="str">
            <v>Structural Steel Plate 12mm thk., ASTM A36</v>
          </cell>
        </row>
        <row r="230">
          <cell r="D230" t="str">
            <v>Structural Steel Plate 16mm thk., ASTM A36</v>
          </cell>
        </row>
        <row r="231">
          <cell r="D231" t="str">
            <v>Structural Steel Plate 25mm thk., ASTM A36</v>
          </cell>
        </row>
        <row r="232">
          <cell r="D232" t="str">
            <v>Structural Steel 50mm x 50mm x 6m., ASTM A36</v>
          </cell>
        </row>
        <row r="233">
          <cell r="D233" t="str">
            <v>Steel Channel, 4 x 7.25</v>
          </cell>
        </row>
        <row r="234">
          <cell r="D234" t="str">
            <v>Steel Channel, 6 x 13</v>
          </cell>
        </row>
        <row r="235">
          <cell r="D235" t="str">
            <v>Steel Channel, C10 x 30</v>
          </cell>
        </row>
        <row r="236">
          <cell r="D236" t="str">
            <v>2" x 4" C-Purlin, Ga.16</v>
          </cell>
        </row>
        <row r="237">
          <cell r="D237" t="str">
            <v>LC 100x50x15x2.0 Purlins</v>
          </cell>
        </row>
        <row r="238">
          <cell r="D238" t="str">
            <v>12mmØ x 210mm A325 Bolts</v>
          </cell>
        </row>
        <row r="239">
          <cell r="D239" t="str">
            <v>20mmØ x 210mm A325 Bolts</v>
          </cell>
        </row>
        <row r="240">
          <cell r="D240" t="str">
            <v>25mmØ x 300mm A325 Bolts</v>
          </cell>
        </row>
        <row r="241">
          <cell r="D241" t="str">
            <v>32mmØ Standard Turn Buckle</v>
          </cell>
        </row>
        <row r="242">
          <cell r="D242" t="str">
            <v>32mmØ Standard Ring Joint</v>
          </cell>
        </row>
        <row r="243">
          <cell r="D243" t="str">
            <v>32mmØ Tie Rod</v>
          </cell>
        </row>
        <row r="244">
          <cell r="D244" t="str">
            <v>25mmØ x 500mm A325 Bolts</v>
          </cell>
        </row>
        <row r="245">
          <cell r="D245" t="str">
            <v>16mmØ x 250mm A325 Bolts</v>
          </cell>
        </row>
        <row r="246">
          <cell r="D246" t="str">
            <v>16mmØ x 50mm A325 Bolts</v>
          </cell>
        </row>
        <row r="247">
          <cell r="D247" t="str">
            <v>12mmØ x 75mm A325 Bolts</v>
          </cell>
        </row>
        <row r="249">
          <cell r="D249" t="str">
            <v>Steel Plate</v>
          </cell>
        </row>
        <row r="250">
          <cell r="D250" t="str">
            <v>Consumables</v>
          </cell>
        </row>
        <row r="251">
          <cell r="D251" t="str">
            <v>Joint Sealer</v>
          </cell>
        </row>
        <row r="257">
          <cell r="D257" t="str">
            <v>( NAILS, BOLTS and FASTENERS )</v>
          </cell>
        </row>
        <row r="258">
          <cell r="D258" t="str">
            <v>Common Wire Nails</v>
          </cell>
        </row>
        <row r="259">
          <cell r="D259" t="str">
            <v>Common Wire Nails (Keg)</v>
          </cell>
        </row>
        <row r="260">
          <cell r="D260" t="str">
            <v>Finishing Nails</v>
          </cell>
        </row>
        <row r="261">
          <cell r="D261" t="str">
            <v>Roofing Nails umbrella type</v>
          </cell>
        </row>
        <row r="262">
          <cell r="D262" t="str">
            <v>Concrete Nail</v>
          </cell>
        </row>
        <row r="263">
          <cell r="D263" t="str">
            <v>13mm, High-Strength Bolt, 4"</v>
          </cell>
        </row>
        <row r="264">
          <cell r="D264" t="str">
            <v>Machine Bolt w/ nut &amp; washer</v>
          </cell>
        </row>
        <row r="265">
          <cell r="D265" t="str">
            <v>16mmØ x 229 Machine Bolt w/ nut &amp; washer</v>
          </cell>
        </row>
        <row r="266">
          <cell r="D266" t="str">
            <v>20mmØ GI Machine Bolt w/ nut &amp; washer</v>
          </cell>
        </row>
        <row r="267">
          <cell r="D267" t="str">
            <v>16mmØ GI Machine Bolt w/ nut &amp; washer</v>
          </cell>
        </row>
        <row r="268">
          <cell r="D268" t="str">
            <v>12mmØ GI Machine Bolt w/ nut &amp; washer</v>
          </cell>
        </row>
        <row r="269">
          <cell r="D269" t="str">
            <v>Boat Spike (Nail)</v>
          </cell>
        </row>
        <row r="270">
          <cell r="D270" t="str">
            <v>7/8" Anchor Bolt, 10"</v>
          </cell>
        </row>
        <row r="271">
          <cell r="D271" t="str">
            <v>16mmØ x 250mm Anchor Bolt</v>
          </cell>
        </row>
        <row r="272">
          <cell r="D272" t="str">
            <v>12mmØ x 38mm Anchor Bolt</v>
          </cell>
        </row>
        <row r="273">
          <cell r="D273" t="str">
            <v>20mm, Turn Buckle</v>
          </cell>
        </row>
        <row r="274">
          <cell r="D274" t="str">
            <v>16mm, Turn Buckle</v>
          </cell>
        </row>
        <row r="275">
          <cell r="D275" t="str">
            <v>12mm  Turnbuckle</v>
          </cell>
        </row>
        <row r="276">
          <cell r="D276" t="str">
            <v>13mm, U-Bolt</v>
          </cell>
        </row>
        <row r="277">
          <cell r="D277" t="str">
            <v>13mm, Cable Clip</v>
          </cell>
        </row>
        <row r="278">
          <cell r="D278" t="str">
            <v>32mm, Cable Clip</v>
          </cell>
        </row>
        <row r="279">
          <cell r="D279" t="str">
            <v>13mm,  Thimble</v>
          </cell>
        </row>
        <row r="280">
          <cell r="D280" t="str">
            <v>12mm  Stainless Screw, 1/2"</v>
          </cell>
        </row>
        <row r="281">
          <cell r="D281" t="str">
            <v>Tekscrew</v>
          </cell>
        </row>
        <row r="282">
          <cell r="D282" t="str">
            <v>Post Strap Flat Bar</v>
          </cell>
        </row>
        <row r="284">
          <cell r="D284" t="str">
            <v>( GI WIRES )</v>
          </cell>
        </row>
        <row r="285">
          <cell r="D285" t="str">
            <v>Ga.16 GI Tie Wire</v>
          </cell>
        </row>
        <row r="286">
          <cell r="D286" t="str">
            <v>G.I. Rivets</v>
          </cell>
        </row>
        <row r="288">
          <cell r="D288" t="str">
            <v>( ROOFING SHEET )</v>
          </cell>
        </row>
        <row r="289">
          <cell r="D289" t="str">
            <v>GI Sheet Roofing</v>
          </cell>
        </row>
        <row r="290">
          <cell r="D290" t="str">
            <v>CORR. G.I.sheets, Ga.26</v>
          </cell>
        </row>
        <row r="291">
          <cell r="D291" t="str">
            <v>CORR. G.I.sheets, Ga.31</v>
          </cell>
        </row>
        <row r="292">
          <cell r="D292" t="str">
            <v>CORR. G.I.sheets x 6' , Ga.26</v>
          </cell>
        </row>
        <row r="293">
          <cell r="D293" t="str">
            <v>CORR. G.I.sheets x 8' , Ga.26</v>
          </cell>
        </row>
        <row r="294">
          <cell r="D294" t="str">
            <v>3' x 8' Plain G.I. Sheet, Ga.26</v>
          </cell>
        </row>
        <row r="295">
          <cell r="D295" t="str">
            <v>3' x 8' Plain G.I. Sheet, Ga.31</v>
          </cell>
        </row>
        <row r="296">
          <cell r="D296" t="str">
            <v>Plain G.I. Sheet, Ga.26</v>
          </cell>
        </row>
        <row r="297">
          <cell r="D297" t="str">
            <v>Pre-Painted Corr. GI Sht, Ga.26</v>
          </cell>
        </row>
        <row r="298">
          <cell r="D298" t="str">
            <v>24" Prefab GI Gutter</v>
          </cell>
        </row>
        <row r="299">
          <cell r="D299" t="str">
            <v>12" Prefab GI Ridge Roll</v>
          </cell>
        </row>
        <row r="300">
          <cell r="D300" t="str">
            <v>18" Prefab GI Flashing</v>
          </cell>
        </row>
        <row r="301">
          <cell r="D301" t="str">
            <v>3' x 8' Plain G.I. Sheet, Ga.24</v>
          </cell>
        </row>
        <row r="302">
          <cell r="D302" t="str">
            <v>0.40mm x 0.830m Durawide Rib Type Roofing Sheet (Phil Metal)</v>
          </cell>
        </row>
        <row r="303">
          <cell r="D303" t="str">
            <v>0.40mm x 0.45m x 3.66m) Pre-painted ridge roll (Phil Metal)</v>
          </cell>
        </row>
        <row r="304">
          <cell r="D304" t="str">
            <v>0.40mm x 0.915 x 3.66m) Spanish End Flashing (Phil Metal)</v>
          </cell>
        </row>
        <row r="305">
          <cell r="D305" t="str">
            <v>0.40mm x 0.915 x 3.66m) Spanish Gutter (Phil Metal)</v>
          </cell>
        </row>
        <row r="306">
          <cell r="D306" t="str">
            <v>Teks 4 #12-24 x 45mm Hex w/ Neo</v>
          </cell>
        </row>
        <row r="307">
          <cell r="D307" t="str">
            <v>Prepainted Galvallum Corr..sheets , 0.35mm thk.</v>
          </cell>
        </row>
        <row r="308">
          <cell r="D308" t="str">
            <v>Prepainted Galvallum Plain sheets, 0.35mm thk.</v>
          </cell>
        </row>
        <row r="309">
          <cell r="D309" t="str">
            <v>Prepainted Galvallum Corr..sheets x 6' , 0.35mm thk.</v>
          </cell>
        </row>
        <row r="310">
          <cell r="D310" t="str">
            <v>Prepainted Galvallum Corr..sheets x 8' , 0.35mm thk.</v>
          </cell>
        </row>
        <row r="311">
          <cell r="D311" t="str">
            <v>Prepainted Galvallum Plain sheets x 10' , 0.35mm thk.</v>
          </cell>
        </row>
        <row r="315">
          <cell r="D315" t="str">
            <v>Blind Rivets</v>
          </cell>
        </row>
        <row r="316">
          <cell r="D316" t="str">
            <v>Silicon Rubber Sealant</v>
          </cell>
        </row>
        <row r="317">
          <cell r="D317" t="str">
            <v>Touch-up Acrylic Paint</v>
          </cell>
        </row>
        <row r="319">
          <cell r="D319" t="str">
            <v>( HARDWARES )</v>
          </cell>
        </row>
        <row r="320">
          <cell r="D320" t="str">
            <v>Gutter seal</v>
          </cell>
        </row>
        <row r="321">
          <cell r="D321" t="str">
            <v>4'-wide Cyclone  Wire</v>
          </cell>
        </row>
        <row r="322">
          <cell r="D322" t="str">
            <v>1¼ "dia. X 6" Double Type Pulley Level</v>
          </cell>
        </row>
        <row r="323">
          <cell r="D323" t="str">
            <v>1¼ "dia. X 6" Steel Ring Bolt Adaptor</v>
          </cell>
        </row>
        <row r="324">
          <cell r="D324" t="str">
            <v>1¼ "dia. X 1¼" Steel Ring Bolt Adaptor</v>
          </cell>
        </row>
        <row r="325">
          <cell r="D325" t="str">
            <v>1" Cylindrical Ejector Assembly, 32"</v>
          </cell>
        </row>
        <row r="326">
          <cell r="D326" t="str">
            <v>1½" " Cylindrical Ejector Assembly, 32"</v>
          </cell>
        </row>
        <row r="327">
          <cell r="D327" t="str">
            <v>Cylindrical Door Knob</v>
          </cell>
        </row>
        <row r="328">
          <cell r="D328" t="str">
            <v>4" Barrel Bolts</v>
          </cell>
        </row>
        <row r="329">
          <cell r="D329" t="str">
            <v>4" x 4" Loose Pin Butt Hinges</v>
          </cell>
        </row>
        <row r="330">
          <cell r="D330" t="str">
            <v>3" x 3" Loose Pin Butt Hinges</v>
          </cell>
        </row>
        <row r="331">
          <cell r="D331" t="str">
            <v>4" Hasp Lock Hinges</v>
          </cell>
        </row>
        <row r="332">
          <cell r="D332" t="str">
            <v>Alum. Mesh Wire, 1/8" eye x 3'</v>
          </cell>
        </row>
        <row r="333">
          <cell r="D333" t="str">
            <v>Alum. Mesh Wire, 1/2" eye x 3'</v>
          </cell>
        </row>
        <row r="334">
          <cell r="D334" t="str">
            <v>Alum. Mesh Wire, 1" eye x 3'</v>
          </cell>
        </row>
        <row r="335">
          <cell r="D335" t="str">
            <v>Aluminum Mosquito Screen, 3ft-wide</v>
          </cell>
        </row>
        <row r="336">
          <cell r="D336" t="str">
            <v>Aukom Rug</v>
          </cell>
        </row>
        <row r="337">
          <cell r="D337" t="str">
            <v>Welding Rods 1/8"ø E60</v>
          </cell>
        </row>
        <row r="338">
          <cell r="D338" t="str">
            <v>Welding Rods 1/8"ø E70XX</v>
          </cell>
        </row>
        <row r="339">
          <cell r="D339" t="str">
            <v>Welwood Glue</v>
          </cell>
        </row>
        <row r="340">
          <cell r="D340" t="str">
            <v>Solvent Cement</v>
          </cell>
        </row>
        <row r="341">
          <cell r="D341" t="str">
            <v xml:space="preserve">1½"   Cylindrical Ejector Assmbly, CLAYTON USA </v>
          </cell>
        </row>
        <row r="342">
          <cell r="D342" t="str">
            <v xml:space="preserve">1¼" Cylindrical Ejector Assmbly, CLAYTON USA </v>
          </cell>
        </row>
        <row r="343">
          <cell r="D343" t="str">
            <v>½" Teflon Tape</v>
          </cell>
        </row>
        <row r="344">
          <cell r="D344" t="str">
            <v>¾" Teflon Tape</v>
          </cell>
        </row>
        <row r="345">
          <cell r="D345" t="str">
            <v>1"  Teflon Tape</v>
          </cell>
        </row>
        <row r="346">
          <cell r="D346" t="str">
            <v>Cabinet Door Handle</v>
          </cell>
        </row>
        <row r="347">
          <cell r="D347" t="str">
            <v>½" dia. x 3/4"  Pillow Block</v>
          </cell>
        </row>
        <row r="348">
          <cell r="D348" t="str">
            <v>#6203  Bearing</v>
          </cell>
        </row>
        <row r="349">
          <cell r="D349" t="str">
            <v>3/4"dia. x 4"  Steel Spring</v>
          </cell>
        </row>
        <row r="350">
          <cell r="D350" t="str">
            <v>1¼" Foot Valve, Brass</v>
          </cell>
        </row>
        <row r="351">
          <cell r="D351" t="str">
            <v>1" x 2" Cabinet Hinges</v>
          </cell>
        </row>
        <row r="352">
          <cell r="D352" t="str">
            <v>Gabion Mattress</v>
          </cell>
        </row>
        <row r="354">
          <cell r="D354" t="str">
            <v>( STRUCTURAL STEEL WIRES AND CABLES )</v>
          </cell>
        </row>
        <row r="355">
          <cell r="D355" t="str">
            <v>6mm,  IWRC (6 x  25)</v>
          </cell>
        </row>
        <row r="356">
          <cell r="D356" t="str">
            <v>8mm,  IWRC (6 x  25)</v>
          </cell>
        </row>
        <row r="357">
          <cell r="D357" t="str">
            <v>10mm,  IWRC (6 x  25)</v>
          </cell>
        </row>
        <row r="358">
          <cell r="D358" t="str">
            <v>11mm,  IWRC (6 x  25)</v>
          </cell>
        </row>
        <row r="359">
          <cell r="D359" t="str">
            <v>13mm,  IWRC (6 x  25)</v>
          </cell>
        </row>
        <row r="360">
          <cell r="D360" t="str">
            <v>14mm,  IWRC (6 x  25)</v>
          </cell>
        </row>
        <row r="361">
          <cell r="D361" t="str">
            <v>16mm,  IWRC (6 x  25)</v>
          </cell>
        </row>
        <row r="362">
          <cell r="D362" t="str">
            <v>20mm,  IWRC (6 x  25)</v>
          </cell>
        </row>
        <row r="363">
          <cell r="D363" t="str">
            <v>22mm,  IWRC (6 x  25)</v>
          </cell>
        </row>
        <row r="364">
          <cell r="D364" t="str">
            <v>25mm,  IWRC (6 x  25)</v>
          </cell>
        </row>
        <row r="365">
          <cell r="D365" t="str">
            <v>29mm,  IWRC (6 x  25)</v>
          </cell>
        </row>
        <row r="366">
          <cell r="D366" t="str">
            <v>32mm,  IWRC (6 x  25)</v>
          </cell>
        </row>
        <row r="367">
          <cell r="D367" t="str">
            <v>35mm, ,  IWRC (6 x  25)</v>
          </cell>
        </row>
        <row r="368">
          <cell r="D368" t="str">
            <v>38mm,  IWRC (6 x  25)</v>
          </cell>
        </row>
        <row r="369">
          <cell r="D369" t="str">
            <v>41mm,  IWRC (6 x  25)</v>
          </cell>
        </row>
        <row r="370">
          <cell r="D370" t="str">
            <v>44mm,  IWRC (6 x  25)</v>
          </cell>
        </row>
        <row r="371">
          <cell r="D371" t="str">
            <v>48mm,  IWRC (6 x  25)</v>
          </cell>
        </row>
        <row r="372">
          <cell r="D372" t="str">
            <v>51mm,  IWRC (6 x  25)</v>
          </cell>
        </row>
        <row r="373">
          <cell r="D373" t="str">
            <v>54mm,  IWRC (6 x  25)</v>
          </cell>
        </row>
        <row r="374">
          <cell r="D374" t="str">
            <v>57mm,  IWRC (6 x  25)</v>
          </cell>
        </row>
        <row r="375">
          <cell r="D375" t="str">
            <v>5mm, Wire Rope Fiber Core (6 x 25)</v>
          </cell>
        </row>
        <row r="376">
          <cell r="D376" t="str">
            <v>6mm, Wire Rope Fiber Core (6 x 25)</v>
          </cell>
        </row>
        <row r="377">
          <cell r="D377" t="str">
            <v>8mm, Wire Rope Fiber Core (6 x 25)</v>
          </cell>
        </row>
        <row r="378">
          <cell r="D378" t="str">
            <v>10mm, Wire Rope Fiber Core (6 x 25)</v>
          </cell>
        </row>
        <row r="379">
          <cell r="D379" t="str">
            <v>11mm, Wire Rope Fiber Core (6 x 25)</v>
          </cell>
        </row>
        <row r="380">
          <cell r="D380" t="str">
            <v>13mm, Wire Rope Fiber Core (6 x 25)</v>
          </cell>
        </row>
        <row r="381">
          <cell r="D381" t="str">
            <v>14mm, Wire Rope Fiber Core (6 x 25)</v>
          </cell>
        </row>
        <row r="382">
          <cell r="D382" t="str">
            <v>16mm, Wire Rope Fiber Core (6 x 25)</v>
          </cell>
        </row>
        <row r="383">
          <cell r="D383" t="str">
            <v>20mm, Wire Rope Fiber Core (6 x 25)</v>
          </cell>
        </row>
        <row r="384">
          <cell r="D384" t="str">
            <v>22mm, Wire Rope Fiber Core (6 x 25)</v>
          </cell>
        </row>
        <row r="385">
          <cell r="D385" t="str">
            <v>25mm, Wire Rope Fiber Core (6 x 25)</v>
          </cell>
        </row>
        <row r="386">
          <cell r="D386" t="str">
            <v>29mm, Wire Rope Fiber Core (6 x 25)</v>
          </cell>
        </row>
        <row r="387">
          <cell r="D387" t="str">
            <v>32mm, Wire Rope Fiber Core (6 x 25)</v>
          </cell>
        </row>
        <row r="388">
          <cell r="D388" t="str">
            <v>35mm, , Wire Rope Fiber Core (6 x 25)</v>
          </cell>
        </row>
        <row r="389">
          <cell r="D389" t="str">
            <v>38mm, Wire Rope Fiber Core (6 x 25)</v>
          </cell>
        </row>
        <row r="390">
          <cell r="D390" t="str">
            <v>41mm, Wire Rope Fiber Core (6 x 25)</v>
          </cell>
        </row>
        <row r="391">
          <cell r="D391" t="str">
            <v>44mm, Wire Rope Fiber Core (6 x 25)</v>
          </cell>
        </row>
        <row r="392">
          <cell r="D392" t="str">
            <v>48mm, Wire Rope Fiber Core (6 x 25)</v>
          </cell>
        </row>
        <row r="393">
          <cell r="D393" t="str">
            <v>51mm, Wire Rope Fiber Core (6 x 25)</v>
          </cell>
        </row>
        <row r="394">
          <cell r="D394" t="str">
            <v>54mm, Wire Rope Fiber Core (6 x 25)</v>
          </cell>
        </row>
        <row r="395">
          <cell r="D395" t="str">
            <v>57mm, Wire Rope Fiber Core (6 x 25)</v>
          </cell>
        </row>
        <row r="396">
          <cell r="D396" t="str">
            <v>10mm, High Grade Steel Cable</v>
          </cell>
        </row>
        <row r="397">
          <cell r="D397" t="str">
            <v>6mmØ Cable Clips</v>
          </cell>
        </row>
        <row r="398">
          <cell r="D398" t="str">
            <v>20mmØ Cable Clips</v>
          </cell>
        </row>
        <row r="400">
          <cell r="D400" t="str">
            <v>( STEEL PLATES )</v>
          </cell>
        </row>
        <row r="401">
          <cell r="D401" t="str">
            <v>6mm, Expanded Metal Mesh</v>
          </cell>
        </row>
        <row r="402">
          <cell r="D402" t="str">
            <v>10mm, Steel Plate</v>
          </cell>
        </row>
        <row r="403">
          <cell r="D403" t="str">
            <v>6mm, Steel Plate</v>
          </cell>
        </row>
        <row r="404">
          <cell r="D404" t="str">
            <v>200mm x 200mm x 6mm, Steel Plate</v>
          </cell>
        </row>
        <row r="405">
          <cell r="D405" t="str">
            <v>300mm x 300mm x 6mm, Steel Plate</v>
          </cell>
        </row>
        <row r="406">
          <cell r="D406" t="str">
            <v>Steel Plate</v>
          </cell>
        </row>
        <row r="408">
          <cell r="D408" t="str">
            <v>( STAINLESS STEEL CYLINDRICAL TANK )</v>
          </cell>
        </row>
        <row r="409">
          <cell r="D409" t="str">
            <v>600L Ga. 18 Cylindrical H2O Tank</v>
          </cell>
        </row>
        <row r="410">
          <cell r="D410" t="str">
            <v>800L Ga. 18 Cylindrical H2O Tank</v>
          </cell>
        </row>
        <row r="411">
          <cell r="D411" t="str">
            <v>1000L Ga. 18 Cylindrical H2O Tank</v>
          </cell>
        </row>
        <row r="413">
          <cell r="D413" t="str">
            <v>( ALUMINUM AND GLASS )</v>
          </cell>
        </row>
        <row r="414">
          <cell r="D414" t="str">
            <v>Jalousie Glass Blade w/ Alum. Frame</v>
          </cell>
        </row>
        <row r="415">
          <cell r="D415" t="str">
            <v>Clear Glass</v>
          </cell>
        </row>
        <row r="416">
          <cell r="D416" t="str">
            <v>Smoke Glass</v>
          </cell>
        </row>
        <row r="417">
          <cell r="D417" t="str">
            <v>16 blades 4" Alum. Jal. Frame</v>
          </cell>
        </row>
        <row r="418">
          <cell r="D418" t="str">
            <v>14 blades 4" Alum. Jal. Frame</v>
          </cell>
        </row>
        <row r="419">
          <cell r="D419" t="str">
            <v>7 blades 4" Alum. Jal. Frame</v>
          </cell>
        </row>
        <row r="421">
          <cell r="D421" t="str">
            <v>( PLASTIC PRODUCTS )</v>
          </cell>
        </row>
        <row r="422">
          <cell r="D422" t="str">
            <v>25mm  Plastic Stranded Rope</v>
          </cell>
        </row>
        <row r="424">
          <cell r="D424" t="str">
            <v>PIPING &amp; EQUIPMENTS</v>
          </cell>
        </row>
        <row r="425">
          <cell r="D425" t="str">
            <v>Submersible Pumps &amp; its accessories</v>
          </cell>
        </row>
        <row r="426">
          <cell r="D426" t="str">
            <v>Submersible Pumps &amp; its accessories (3HP - 186S3.412)</v>
          </cell>
        </row>
        <row r="427">
          <cell r="D427" t="str">
            <v>Submersible Pumps &amp; its accessories (1HP - 136S10412)</v>
          </cell>
        </row>
        <row r="433">
          <cell r="D433" t="str">
            <v>GI PIPES AND FITTINGS</v>
          </cell>
        </row>
        <row r="434">
          <cell r="D434" t="str">
            <v>½" G.I. Pipe, sch. 40</v>
          </cell>
        </row>
        <row r="435">
          <cell r="D435" t="str">
            <v>3/4" G.I. Pipe, sch. 40</v>
          </cell>
        </row>
        <row r="436">
          <cell r="D436" t="str">
            <v>1" G.I. Pipe, sch. 40</v>
          </cell>
        </row>
        <row r="437">
          <cell r="D437" t="str">
            <v>1¼" G.I. Pipe, sch. 40</v>
          </cell>
        </row>
        <row r="438">
          <cell r="D438" t="str">
            <v>1½" G.I. Pipe, sch. 40</v>
          </cell>
        </row>
        <row r="439">
          <cell r="D439" t="str">
            <v>2" G.I. Pipe, sch. 40</v>
          </cell>
        </row>
        <row r="440">
          <cell r="D440" t="str">
            <v>2¼" G.I. Pipe, sch. 40</v>
          </cell>
        </row>
        <row r="441">
          <cell r="D441" t="str">
            <v>3" G.I. Pipe, sch. 40</v>
          </cell>
        </row>
        <row r="442">
          <cell r="D442" t="str">
            <v>4" G.I. Pipe, sch. 40</v>
          </cell>
        </row>
        <row r="443">
          <cell r="D443" t="str">
            <v>2½" G.I. Pipe, sch. 40</v>
          </cell>
        </row>
        <row r="444">
          <cell r="D444" t="str">
            <v>4" G.I. Pipe ,sch. 20</v>
          </cell>
        </row>
        <row r="445">
          <cell r="D445" t="str">
            <v>1½" G.I. Pipe ,sch. 20</v>
          </cell>
        </row>
        <row r="446">
          <cell r="D446" t="str">
            <v>½" G.I. Coupling, sch. 40</v>
          </cell>
        </row>
        <row r="447">
          <cell r="D447" t="str">
            <v>1" G.I. Coupling, sch. 40</v>
          </cell>
        </row>
        <row r="448">
          <cell r="D448" t="str">
            <v>1¼" G.I. Coupling, sch. 40</v>
          </cell>
        </row>
        <row r="449">
          <cell r="D449" t="str">
            <v>1½" G.I. Coupling, sch. 40</v>
          </cell>
        </row>
        <row r="450">
          <cell r="D450" t="str">
            <v>2"  G.I. Coupling, sch. 40</v>
          </cell>
        </row>
        <row r="451">
          <cell r="D451" t="str">
            <v>2¼" G.I. Coupling, sch. 40</v>
          </cell>
        </row>
        <row r="452">
          <cell r="D452" t="str">
            <v>3" G.I. Coupling, sch. 40</v>
          </cell>
        </row>
        <row r="453">
          <cell r="D453" t="str">
            <v>4"  G.I. Coupling, sch. 40</v>
          </cell>
        </row>
        <row r="454">
          <cell r="D454" t="str">
            <v>2½" G.I. Coupling, sch. 40</v>
          </cell>
        </row>
        <row r="455">
          <cell r="D455" t="str">
            <v>½" G.I. Elbow 45°, sch. 40</v>
          </cell>
        </row>
        <row r="456">
          <cell r="D456" t="str">
            <v>1"G.I. Elbow 45°, sch. 40</v>
          </cell>
        </row>
        <row r="457">
          <cell r="D457" t="str">
            <v>1¼"G.I. Elbow 45°, sch. 40</v>
          </cell>
        </row>
        <row r="458">
          <cell r="D458" t="str">
            <v>1½"G.I. Elbow 45°, sch. 40</v>
          </cell>
        </row>
        <row r="459">
          <cell r="D459" t="str">
            <v>2"G.I. Elbow 45°, sch. 40</v>
          </cell>
        </row>
        <row r="460">
          <cell r="D460" t="str">
            <v>2½" G.I. Elbow 45°, sch. 40</v>
          </cell>
        </row>
        <row r="461">
          <cell r="D461" t="str">
            <v>3" G.I. Elbow 45°, sch. 40</v>
          </cell>
        </row>
        <row r="462">
          <cell r="D462" t="str">
            <v>4" G.I. Elbow 45°, sch. 40</v>
          </cell>
        </row>
        <row r="463">
          <cell r="D463" t="str">
            <v>½" G.I. Elbow 90°, sch 40</v>
          </cell>
        </row>
        <row r="464">
          <cell r="D464" t="str">
            <v>1" G.I. Elbow 90°, sch 40</v>
          </cell>
        </row>
        <row r="465">
          <cell r="D465" t="str">
            <v>1¼" G.I. Elbow 90°, sch 40</v>
          </cell>
        </row>
        <row r="466">
          <cell r="D466" t="str">
            <v>1½"  G.I. Elbow 90°, sch 40</v>
          </cell>
        </row>
        <row r="467">
          <cell r="D467" t="str">
            <v>2" G.I. Elbow 90°, sch 40</v>
          </cell>
        </row>
        <row r="468">
          <cell r="D468" t="str">
            <v>2½" G.I. Elbow 90°, sch 40</v>
          </cell>
        </row>
        <row r="469">
          <cell r="D469" t="str">
            <v>3" G.I. Elbow 90°, sch 40</v>
          </cell>
        </row>
        <row r="470">
          <cell r="D470" t="str">
            <v>4" G.I. Elbow 90°, sch 40</v>
          </cell>
        </row>
        <row r="471">
          <cell r="D471" t="str">
            <v>2" G.I. Street Elbow, sch 40</v>
          </cell>
        </row>
        <row r="472">
          <cell r="D472" t="str">
            <v>3/4"  G.I. Elbow 90°, sch 40</v>
          </cell>
        </row>
        <row r="473">
          <cell r="D473" t="str">
            <v>½" G.I. TEE, sch 40</v>
          </cell>
        </row>
        <row r="474">
          <cell r="D474" t="str">
            <v>1" G.I. TEE, sch 40</v>
          </cell>
        </row>
        <row r="475">
          <cell r="D475" t="str">
            <v>1¼" G.I. TEE, sch 40</v>
          </cell>
        </row>
        <row r="476">
          <cell r="D476" t="str">
            <v>1½" G.I. TEE, sch 40</v>
          </cell>
        </row>
        <row r="477">
          <cell r="D477" t="str">
            <v>2"  G.I. TEE, sch 40</v>
          </cell>
        </row>
        <row r="478">
          <cell r="D478" t="str">
            <v>2½" G.I. TEE, sch 40</v>
          </cell>
        </row>
        <row r="479">
          <cell r="D479" t="str">
            <v>3" G.I. TEE, sch 40</v>
          </cell>
        </row>
        <row r="480">
          <cell r="D480" t="str">
            <v>4" G.I. TEE, sch 40</v>
          </cell>
        </row>
        <row r="481">
          <cell r="D481" t="str">
            <v>½" G.I. Nipples, 12"</v>
          </cell>
        </row>
        <row r="482">
          <cell r="D482" t="str">
            <v>1" G.I. Nipples, 12"</v>
          </cell>
        </row>
        <row r="483">
          <cell r="D483" t="str">
            <v>1" G.I. Nipple, 10"</v>
          </cell>
        </row>
        <row r="484">
          <cell r="D484" t="str">
            <v>1¼" G.I. Nipples, 4"</v>
          </cell>
        </row>
        <row r="485">
          <cell r="D485" t="str">
            <v>1¼" G.I. Nipples, 12"</v>
          </cell>
        </row>
        <row r="486">
          <cell r="D486" t="str">
            <v>½" G.I. Nipples, 4"</v>
          </cell>
        </row>
        <row r="487">
          <cell r="D487" t="str">
            <v>½" G.I. Nipples, 8"</v>
          </cell>
        </row>
        <row r="488">
          <cell r="D488" t="str">
            <v>3/4"  G.I. Nipples, 4"</v>
          </cell>
        </row>
        <row r="489">
          <cell r="D489" t="str">
            <v>63mmØ Gate Valve</v>
          </cell>
        </row>
        <row r="490">
          <cell r="D490" t="str">
            <v>63mmØ x 90° G.I. Elbow</v>
          </cell>
        </row>
        <row r="491">
          <cell r="D491" t="str">
            <v>63mmØ x 63mmØ Female Adaptor</v>
          </cell>
        </row>
        <row r="492">
          <cell r="D492" t="str">
            <v>63mmØ GI Union Patente</v>
          </cell>
        </row>
        <row r="493">
          <cell r="D493" t="str">
            <v>63mmØ GI Pipe</v>
          </cell>
        </row>
        <row r="494">
          <cell r="D494" t="str">
            <v>50mmØ GI Pipe</v>
          </cell>
        </row>
        <row r="495">
          <cell r="D495" t="str">
            <v>50mmØ GI Union Patente</v>
          </cell>
        </row>
        <row r="496">
          <cell r="D496" t="str">
            <v>50mmØ x 90° G.I. Elbow</v>
          </cell>
        </row>
        <row r="497">
          <cell r="D497" t="str">
            <v>50mmØ G.I. Nipples x 600mm</v>
          </cell>
        </row>
        <row r="498">
          <cell r="D498" t="str">
            <v>50mmØ G.I. Nipples x 500mm</v>
          </cell>
        </row>
        <row r="499">
          <cell r="D499" t="str">
            <v>50mmØ G.I. Nipples x 300mm</v>
          </cell>
        </row>
        <row r="500">
          <cell r="D500" t="str">
            <v>50mmØ G.I. Nipples x 200mm</v>
          </cell>
        </row>
        <row r="501">
          <cell r="D501" t="str">
            <v>50mmØ G.I. Gate Valve</v>
          </cell>
        </row>
        <row r="502">
          <cell r="D502" t="str">
            <v>50mmØ G.I. End Cap</v>
          </cell>
        </row>
        <row r="503">
          <cell r="D503" t="str">
            <v>50mmØ G.I. Perforated w/ Strainer</v>
          </cell>
        </row>
        <row r="504">
          <cell r="D504" t="str">
            <v>40mmØ x 50mmØ Female Adaptor</v>
          </cell>
        </row>
        <row r="505">
          <cell r="D505" t="str">
            <v>40mmØ x 90° G.I. Elbow</v>
          </cell>
        </row>
        <row r="506">
          <cell r="D506" t="str">
            <v>40mmØ G.I. Gate Valve</v>
          </cell>
        </row>
        <row r="507">
          <cell r="D507" t="str">
            <v>40mmØ G.I. Tee</v>
          </cell>
        </row>
        <row r="508">
          <cell r="D508" t="str">
            <v>40mmØ G.I. Coupling</v>
          </cell>
        </row>
        <row r="509">
          <cell r="D509" t="str">
            <v>38mmØ G.I. Nipples x 400mm</v>
          </cell>
        </row>
        <row r="510">
          <cell r="D510" t="str">
            <v>38mmØ G.I. Nipples x 100mm</v>
          </cell>
        </row>
        <row r="511">
          <cell r="D511" t="str">
            <v>38mmØ x 90° G.I. Elbow</v>
          </cell>
        </row>
        <row r="512">
          <cell r="D512" t="str">
            <v>12mmØ Brass Faucet</v>
          </cell>
        </row>
        <row r="513">
          <cell r="D513" t="str">
            <v>12mmØ Globe Valve</v>
          </cell>
        </row>
        <row r="514">
          <cell r="D514" t="str">
            <v>12mmØ Gate Valve</v>
          </cell>
        </row>
        <row r="515">
          <cell r="D515" t="str">
            <v>12mmØ Saddle Clamp</v>
          </cell>
        </row>
        <row r="516">
          <cell r="D516" t="str">
            <v>12mmØ PE Pipe</v>
          </cell>
        </row>
        <row r="517">
          <cell r="D517" t="str">
            <v>12mmØ GI Pipe</v>
          </cell>
        </row>
        <row r="518">
          <cell r="D518" t="str">
            <v>12mmØ x 90° GI Elbow</v>
          </cell>
        </row>
        <row r="519">
          <cell r="D519" t="str">
            <v>100mmØ PVC Pipe</v>
          </cell>
        </row>
        <row r="521">
          <cell r="D521" t="str">
            <v>½" G.I. Cap</v>
          </cell>
        </row>
        <row r="522">
          <cell r="D522" t="str">
            <v>1¼" G.I. Cap</v>
          </cell>
        </row>
        <row r="523">
          <cell r="D523" t="str">
            <v>2" G.I. Cap</v>
          </cell>
        </row>
        <row r="524">
          <cell r="D524" t="str">
            <v>2"x3/4", Saddle Clamp</v>
          </cell>
        </row>
        <row r="525">
          <cell r="D525" t="str">
            <v>½" Gate Valve</v>
          </cell>
        </row>
        <row r="526">
          <cell r="D526" t="str">
            <v>2" Gate Valve</v>
          </cell>
        </row>
        <row r="527">
          <cell r="D527" t="str">
            <v>3/4"  Gate Valve</v>
          </cell>
        </row>
        <row r="528">
          <cell r="D528" t="str">
            <v>½" Check Valve</v>
          </cell>
        </row>
        <row r="529">
          <cell r="D529" t="str">
            <v xml:space="preserve">½"  G.I. Union Patent </v>
          </cell>
        </row>
        <row r="530">
          <cell r="D530" t="str">
            <v xml:space="preserve">2" G.I. Union Patent </v>
          </cell>
        </row>
        <row r="531">
          <cell r="D531" t="str">
            <v xml:space="preserve">2½" G.I. Union Patent </v>
          </cell>
        </row>
        <row r="532">
          <cell r="D532" t="str">
            <v xml:space="preserve">1¼" x 3/4"  G.I. Bushing </v>
          </cell>
        </row>
        <row r="533">
          <cell r="D533" t="str">
            <v xml:space="preserve">1"x2", G.I. Bushing </v>
          </cell>
        </row>
        <row r="534">
          <cell r="D534" t="str">
            <v>1½" GI Male Adapter</v>
          </cell>
        </row>
        <row r="535">
          <cell r="D535" t="str">
            <v xml:space="preserve">2" x ½"  G.I. Bushing </v>
          </cell>
        </row>
        <row r="536">
          <cell r="D536" t="str">
            <v>2" x 1½" Reducer, Bell Cap</v>
          </cell>
        </row>
        <row r="537">
          <cell r="D537" t="str">
            <v>3/4" x ½" Reducer, Bell Cap</v>
          </cell>
        </row>
        <row r="539">
          <cell r="D539" t="str">
            <v>PVC AND UPVC PIPES AND FITTINGS - Blue Pipes (WaterPipes)</v>
          </cell>
        </row>
        <row r="540">
          <cell r="D540" t="str">
            <v>1/2" PVC Blue Pipe</v>
          </cell>
        </row>
        <row r="542">
          <cell r="D542" t="str">
            <v>( PVC AND UPVC PIPES AND FITTINGS )</v>
          </cell>
        </row>
        <row r="543">
          <cell r="D543" t="str">
            <v>2" PVC Pipe</v>
          </cell>
        </row>
        <row r="544">
          <cell r="D544" t="str">
            <v>3" PVC Pipe</v>
          </cell>
        </row>
        <row r="545">
          <cell r="D545" t="str">
            <v>4" PVC Pipe</v>
          </cell>
        </row>
        <row r="546">
          <cell r="D546" t="str">
            <v>4" PVC Pipe (S-40)</v>
          </cell>
        </row>
        <row r="547">
          <cell r="D547" t="str">
            <v>2" PVC TEE</v>
          </cell>
        </row>
        <row r="548">
          <cell r="D548" t="str">
            <v>3" PVC TEE</v>
          </cell>
        </row>
        <row r="549">
          <cell r="D549" t="str">
            <v>4" PVC TEE</v>
          </cell>
        </row>
        <row r="550">
          <cell r="D550" t="str">
            <v>2" PVC Elbow 45°</v>
          </cell>
        </row>
        <row r="551">
          <cell r="D551" t="str">
            <v>3" PVC Elbow 45°</v>
          </cell>
        </row>
        <row r="552">
          <cell r="D552" t="str">
            <v>4" PVC Elbow 45°</v>
          </cell>
        </row>
        <row r="553">
          <cell r="D553" t="str">
            <v>2" PVC Elbow 90°</v>
          </cell>
        </row>
        <row r="554">
          <cell r="D554" t="str">
            <v>3" PVC Elbow 90°</v>
          </cell>
        </row>
        <row r="555">
          <cell r="D555" t="str">
            <v>4" PVC Elbow 90°</v>
          </cell>
        </row>
        <row r="556">
          <cell r="D556" t="str">
            <v>2" PVC WYE</v>
          </cell>
        </row>
        <row r="557">
          <cell r="D557" t="str">
            <v>3" PVC WYE</v>
          </cell>
        </row>
        <row r="558">
          <cell r="D558" t="str">
            <v>4"  PVC WYE</v>
          </cell>
        </row>
        <row r="559">
          <cell r="D559" t="str">
            <v>2" PVC 1/8" bend</v>
          </cell>
        </row>
        <row r="560">
          <cell r="D560" t="str">
            <v>3"  PVC 1/8" bend</v>
          </cell>
        </row>
        <row r="561">
          <cell r="D561" t="str">
            <v>4"  PVC 1/8" bend</v>
          </cell>
        </row>
        <row r="562">
          <cell r="D562" t="str">
            <v>2" PVC clean-out</v>
          </cell>
        </row>
        <row r="563">
          <cell r="D563" t="str">
            <v>3" PVC clean-out</v>
          </cell>
        </row>
        <row r="564">
          <cell r="D564" t="str">
            <v>4" PVC clean-out</v>
          </cell>
        </row>
        <row r="565">
          <cell r="D565" t="str">
            <v>4" PVC end cap</v>
          </cell>
        </row>
        <row r="566">
          <cell r="D566" t="str">
            <v>2" PVC P-Trap</v>
          </cell>
        </row>
        <row r="567">
          <cell r="D567" t="str">
            <v>3"  PVC P-Trap</v>
          </cell>
        </row>
        <row r="568">
          <cell r="D568" t="str">
            <v>4" PVC P-Trap</v>
          </cell>
        </row>
        <row r="569">
          <cell r="D569" t="str">
            <v>2"x3", PVC Reducer</v>
          </cell>
        </row>
        <row r="570">
          <cell r="D570" t="str">
            <v>3"x4", PVC Reducer</v>
          </cell>
        </row>
        <row r="571">
          <cell r="D571" t="str">
            <v>2"x4", PVC Reducer</v>
          </cell>
        </row>
        <row r="572">
          <cell r="D572" t="str">
            <v>4"x2", PVC TEE</v>
          </cell>
        </row>
        <row r="573">
          <cell r="D573" t="str">
            <v>4"x2", PVC  WYE</v>
          </cell>
        </row>
        <row r="574">
          <cell r="D574" t="str">
            <v>3"x4", PVC  WYE</v>
          </cell>
        </row>
        <row r="575">
          <cell r="D575" t="str">
            <v>3"x2", PVC  WYE</v>
          </cell>
        </row>
        <row r="576">
          <cell r="D576" t="str">
            <v>4" PVC Coupling</v>
          </cell>
        </row>
        <row r="577">
          <cell r="D577" t="str">
            <v>3/4" uPVC Elbow</v>
          </cell>
        </row>
        <row r="578">
          <cell r="D578" t="str">
            <v>3/4" uPVC Tee</v>
          </cell>
        </row>
        <row r="579">
          <cell r="D579" t="str">
            <v>3/4" uPVC Coupling</v>
          </cell>
        </row>
        <row r="580">
          <cell r="D580" t="str">
            <v>3" uPVC Coupling</v>
          </cell>
        </row>
        <row r="581">
          <cell r="D581" t="str">
            <v>4" uPVC Coupling</v>
          </cell>
        </row>
        <row r="582">
          <cell r="D582" t="str">
            <v>3/4" uPVC Nipple</v>
          </cell>
        </row>
        <row r="583">
          <cell r="D583" t="str">
            <v>½"x3/4", uPVC Reducer</v>
          </cell>
        </row>
        <row r="584">
          <cell r="D584" t="str">
            <v xml:space="preserve">½" uPVC Water Pipe </v>
          </cell>
        </row>
        <row r="585">
          <cell r="D585" t="str">
            <v xml:space="preserve">3/4" uPVC Water Pipe </v>
          </cell>
        </row>
        <row r="586">
          <cell r="D586" t="str">
            <v xml:space="preserve">4" uPVC Water Pipe </v>
          </cell>
        </row>
        <row r="587">
          <cell r="D587" t="str">
            <v xml:space="preserve">3" uPVC Water Pipe </v>
          </cell>
        </row>
        <row r="588">
          <cell r="D588" t="str">
            <v xml:space="preserve">2" uPVC Water Pipe </v>
          </cell>
        </row>
        <row r="589">
          <cell r="D589" t="str">
            <v xml:space="preserve">1-1/2" uPVC Water Pipe </v>
          </cell>
        </row>
        <row r="590">
          <cell r="D590" t="str">
            <v xml:space="preserve">1" uPVC Water Pipe </v>
          </cell>
        </row>
        <row r="591">
          <cell r="D591" t="str">
            <v xml:space="preserve">2-1/2" uPVC Water Pipe </v>
          </cell>
        </row>
        <row r="593">
          <cell r="D593" t="str">
            <v>( PE PIPES AND FITTINGS )</v>
          </cell>
        </row>
        <row r="594">
          <cell r="D594" t="str">
            <v>PE Pipe, SDR 9  3/8"</v>
          </cell>
        </row>
        <row r="595">
          <cell r="D595" t="str">
            <v>PE Pipe, SDR 9  1/2"</v>
          </cell>
        </row>
        <row r="596">
          <cell r="D596" t="str">
            <v>PE Pipe, SDR 9  3/4"</v>
          </cell>
        </row>
        <row r="597">
          <cell r="D597" t="str">
            <v>PE Pipe, SDR 9  1"</v>
          </cell>
        </row>
        <row r="598">
          <cell r="D598" t="str">
            <v>PE Pipe, SDR 9  1-1/4"</v>
          </cell>
        </row>
        <row r="599">
          <cell r="D599" t="str">
            <v>PE Pipe, SDR 9  1-1/2"</v>
          </cell>
        </row>
        <row r="600">
          <cell r="D600" t="str">
            <v>PE Pipe, SDR 9  2"</v>
          </cell>
        </row>
        <row r="601">
          <cell r="D601" t="str">
            <v>PE Pipe, SDR 9  2-1/2"</v>
          </cell>
        </row>
        <row r="602">
          <cell r="D602" t="str">
            <v>PE Pipe, SDR 9  3"</v>
          </cell>
        </row>
        <row r="603">
          <cell r="D603" t="str">
            <v>PE Pipe, SDR 9  4"</v>
          </cell>
        </row>
        <row r="604">
          <cell r="D604" t="str">
            <v>PE Pipe, SDR 9  6"</v>
          </cell>
        </row>
        <row r="605">
          <cell r="D605" t="str">
            <v>PE Pipe, SDR 11  3/8"</v>
          </cell>
        </row>
        <row r="606">
          <cell r="D606" t="str">
            <v>PE Pipe, SDR 11  1/2"</v>
          </cell>
        </row>
        <row r="607">
          <cell r="D607" t="str">
            <v>PE Pipe, SDR 11  3/4"</v>
          </cell>
        </row>
        <row r="608">
          <cell r="D608" t="str">
            <v>PE Pipe, SDR 11  1"</v>
          </cell>
        </row>
        <row r="609">
          <cell r="D609" t="str">
            <v>PE Pipe, SDR 11  1-1/4"</v>
          </cell>
        </row>
        <row r="610">
          <cell r="D610" t="str">
            <v>PE Pipe, SDR 11  1-1/2"</v>
          </cell>
        </row>
        <row r="611">
          <cell r="D611" t="str">
            <v>PE Pipe, SDR 11  2"</v>
          </cell>
        </row>
        <row r="612">
          <cell r="D612" t="str">
            <v>PE Pipe, SDR 11  2-1/2"</v>
          </cell>
        </row>
        <row r="613">
          <cell r="D613" t="str">
            <v>PE Pipe, SDR 11  3"</v>
          </cell>
        </row>
        <row r="614">
          <cell r="D614" t="str">
            <v>PE Pipe, SDR 11  4"</v>
          </cell>
        </row>
        <row r="615">
          <cell r="D615" t="str">
            <v>PE Pipe, SDR 11  6"</v>
          </cell>
        </row>
        <row r="616">
          <cell r="D616" t="str">
            <v>PE Pipe, SDR 13.5   3/8"</v>
          </cell>
        </row>
        <row r="617">
          <cell r="D617" t="str">
            <v>PE Pipe, SDR 13.5   1/2"</v>
          </cell>
        </row>
        <row r="618">
          <cell r="D618" t="str">
            <v>PE Pipe, SDR 13.5   3/4"</v>
          </cell>
        </row>
        <row r="619">
          <cell r="D619" t="str">
            <v>PE Pipe, SDR 13.5   1"</v>
          </cell>
        </row>
        <row r="620">
          <cell r="D620" t="str">
            <v>PE Pipe, SDR 13.5   1-1/4"</v>
          </cell>
        </row>
        <row r="621">
          <cell r="D621" t="str">
            <v>PE Pipe, SDR 13.5   1-1/2"</v>
          </cell>
        </row>
        <row r="622">
          <cell r="D622" t="str">
            <v>PE Pipe, SDR 13.5   2"</v>
          </cell>
        </row>
        <row r="623">
          <cell r="D623" t="str">
            <v>PE Pipe, SDR 13.5   2-1/2"</v>
          </cell>
        </row>
        <row r="624">
          <cell r="D624" t="str">
            <v>PE Pipe, SDR 13.5   3"</v>
          </cell>
        </row>
        <row r="625">
          <cell r="D625" t="str">
            <v>PE Pipe, SDR 13.5   4"</v>
          </cell>
        </row>
        <row r="626">
          <cell r="D626" t="str">
            <v>PE Pipe, SDR 13.5   6"</v>
          </cell>
        </row>
        <row r="627">
          <cell r="D627" t="str">
            <v>PE Pipe, SDR 17   3/8"</v>
          </cell>
        </row>
        <row r="628">
          <cell r="D628" t="str">
            <v>PE Pipe, SDR 17   1/2"</v>
          </cell>
        </row>
        <row r="629">
          <cell r="D629" t="str">
            <v>PE Pipe, SDR 17   3/4"</v>
          </cell>
        </row>
        <row r="630">
          <cell r="D630" t="str">
            <v>PE Pipe, SDR 17   1"</v>
          </cell>
        </row>
        <row r="631">
          <cell r="D631" t="str">
            <v>PE Pipe, SDR 17   1-1/4"</v>
          </cell>
        </row>
        <row r="632">
          <cell r="D632" t="str">
            <v>PE Pipe, SDR 17   1-1/2"</v>
          </cell>
        </row>
        <row r="633">
          <cell r="D633" t="str">
            <v>PE Pipe, SDR 17   2"</v>
          </cell>
        </row>
        <row r="634">
          <cell r="D634" t="str">
            <v>PE Pipe, SDR 17   2-1/2"</v>
          </cell>
        </row>
        <row r="635">
          <cell r="D635" t="str">
            <v>PE Pipe, SDR 17   3"</v>
          </cell>
        </row>
        <row r="636">
          <cell r="D636" t="str">
            <v>PE Pipe, SDR 17   4"</v>
          </cell>
        </row>
        <row r="637">
          <cell r="D637" t="str">
            <v>PE Pipe, SDR 17   6"</v>
          </cell>
        </row>
        <row r="639">
          <cell r="D639" t="str">
            <v>PE PIPES FITTINGS FACTOR =</v>
          </cell>
        </row>
        <row r="641">
          <cell r="D641" t="str">
            <v>PE PIPE MALE ADAPTOR</v>
          </cell>
        </row>
        <row r="642">
          <cell r="D642" t="str">
            <v>PE Pipe Male Thread Adaptor - 20mm x 1/2"</v>
          </cell>
        </row>
        <row r="643">
          <cell r="D643" t="str">
            <v>PE Pipe Male Thread Adaptor - 25mm x 3/4"</v>
          </cell>
        </row>
        <row r="644">
          <cell r="D644" t="str">
            <v>PE Pipe Male Thread Adaptor - 32mm x 1"</v>
          </cell>
        </row>
        <row r="645">
          <cell r="D645" t="str">
            <v>PE Pipe Male Thread Adaptor - 40mm x 1-1/4"</v>
          </cell>
        </row>
        <row r="646">
          <cell r="D646" t="str">
            <v>PE Pipe Male Thread Adaptor - 50mm x 1-1/2"</v>
          </cell>
        </row>
        <row r="647">
          <cell r="D647" t="str">
            <v>PE Pipe Male Thread Adaptor - 63mm x 2"</v>
          </cell>
        </row>
        <row r="648">
          <cell r="D648" t="str">
            <v>PE Pipe Male Thread Adaptor - 90mm x 3"</v>
          </cell>
        </row>
        <row r="650">
          <cell r="D650" t="str">
            <v>PE PIPE FEMALE ADAPTOR</v>
          </cell>
        </row>
        <row r="651">
          <cell r="D651" t="str">
            <v>PE Pipe Female Thread Adaptor - 20mm x 1/2"</v>
          </cell>
        </row>
        <row r="652">
          <cell r="D652" t="str">
            <v>PE Pipe Female Thread Adaptor - 25mm x 3/4"</v>
          </cell>
        </row>
        <row r="653">
          <cell r="D653" t="str">
            <v>PE Pipe Female Thread Adaptor - 32mm x 1"</v>
          </cell>
        </row>
        <row r="654">
          <cell r="D654" t="str">
            <v>PE Pipe Female Thread Adaptor - 50mm x 1-1/2"</v>
          </cell>
        </row>
        <row r="655">
          <cell r="D655" t="str">
            <v>PE Pipe Female Thread Adaptor - 63mm x 2"</v>
          </cell>
        </row>
        <row r="656">
          <cell r="D656" t="str">
            <v>PE Pipe Female Thread Adaptor - 90mm x 3"</v>
          </cell>
        </row>
        <row r="658">
          <cell r="D658" t="str">
            <v>STRAIGHT COUPLER</v>
          </cell>
        </row>
        <row r="659">
          <cell r="D659" t="str">
            <v>PE Pipe Straight Coupler - 20mm x 20mm</v>
          </cell>
        </row>
        <row r="660">
          <cell r="D660" t="str">
            <v>PE Pipe Straight Coupler - 25mm x 25mm</v>
          </cell>
        </row>
        <row r="661">
          <cell r="D661" t="str">
            <v>PE Pipe Straight Coupler - 32mm x 32mm</v>
          </cell>
        </row>
        <row r="662">
          <cell r="D662" t="str">
            <v>PE Pipe Straight Coupler - 40mm x 40mm</v>
          </cell>
        </row>
        <row r="663">
          <cell r="D663" t="str">
            <v>PE Pipe Straight Coupler - 50mm x 50mm</v>
          </cell>
        </row>
        <row r="664">
          <cell r="D664" t="str">
            <v>PE Pipe Straight Coupler - 63mm x 63mm</v>
          </cell>
        </row>
        <row r="665">
          <cell r="D665" t="str">
            <v>PE Pipe Straight Coupler - 75mm x 75mm</v>
          </cell>
        </row>
        <row r="666">
          <cell r="D666" t="str">
            <v>PE Pipe Straight Coupler - 90mm x 90mm</v>
          </cell>
        </row>
        <row r="668">
          <cell r="D668" t="str">
            <v>REDUCING COUPLER</v>
          </cell>
        </row>
        <row r="669">
          <cell r="D669" t="str">
            <v>PE Pipe Reducing Coupler - 25mm x 20mm</v>
          </cell>
        </row>
        <row r="670">
          <cell r="D670" t="str">
            <v>PE Pipe Reducing Coupler - 32mm x 20mm</v>
          </cell>
        </row>
        <row r="671">
          <cell r="D671" t="str">
            <v>PE Pipe Reducing Coupler - 32mm x 25mm</v>
          </cell>
        </row>
        <row r="672">
          <cell r="D672" t="str">
            <v>PE Pipe Reducing Coupler - 40mm x 32mm</v>
          </cell>
        </row>
        <row r="673">
          <cell r="D673" t="str">
            <v>PE Pipe Reducing Coupler - 50mm x 25mm</v>
          </cell>
        </row>
        <row r="674">
          <cell r="D674" t="str">
            <v>PE Pipe Reducing Coupler - 50mm x 32mm</v>
          </cell>
        </row>
        <row r="675">
          <cell r="D675" t="str">
            <v>PE Pipe Reducing Coupler - 50mm x 40mm</v>
          </cell>
        </row>
        <row r="676">
          <cell r="D676" t="str">
            <v>PE Pipe Reducing Coupler - 63mm x 32mm</v>
          </cell>
        </row>
        <row r="677">
          <cell r="D677" t="str">
            <v>PE Pipe Reducing Coupler - 63mm x 40mm</v>
          </cell>
        </row>
        <row r="678">
          <cell r="D678" t="str">
            <v>PE Pipe Reducing Coupler - 63mm x 50mm</v>
          </cell>
        </row>
        <row r="679">
          <cell r="D679" t="str">
            <v>PE Pipe Reducing Coupler - 90mm x 63mm</v>
          </cell>
        </row>
        <row r="681">
          <cell r="D681" t="str">
            <v>END CAP</v>
          </cell>
        </row>
        <row r="682">
          <cell r="D682" t="str">
            <v>PE Pipe End Cap - 20mm</v>
          </cell>
        </row>
        <row r="683">
          <cell r="D683" t="str">
            <v>PE Pipe End Cap - 25mm</v>
          </cell>
        </row>
        <row r="684">
          <cell r="D684" t="str">
            <v>PE Pipe End Cap - 32mm</v>
          </cell>
        </row>
        <row r="685">
          <cell r="D685" t="str">
            <v>PE Pipe End Cap - 40mm</v>
          </cell>
        </row>
        <row r="686">
          <cell r="D686" t="str">
            <v>PE Pipe End Cap - 50mm</v>
          </cell>
        </row>
        <row r="687">
          <cell r="D687" t="str">
            <v>PE Pipe End Cap - 63mm</v>
          </cell>
        </row>
        <row r="688">
          <cell r="D688" t="str">
            <v>PE Pipe End Cap - 90mm</v>
          </cell>
        </row>
        <row r="690">
          <cell r="D690" t="str">
            <v>MALE TEE</v>
          </cell>
        </row>
        <row r="691">
          <cell r="D691" t="str">
            <v>PE Pipe Male Tee - 20mm x 1/2"</v>
          </cell>
        </row>
        <row r="692">
          <cell r="D692" t="str">
            <v>PE Pipe Male Tee - 20mm x 3/4"</v>
          </cell>
        </row>
        <row r="693">
          <cell r="D693" t="str">
            <v>PE Pipe Male Tee - 25mm x 1/2"</v>
          </cell>
        </row>
        <row r="694">
          <cell r="D694" t="str">
            <v>PE Pipe Male Tee - 25mm x 3/4"</v>
          </cell>
        </row>
        <row r="695">
          <cell r="D695" t="str">
            <v>PE Pipe Male Tee - 32mm x 3/4"</v>
          </cell>
        </row>
        <row r="696">
          <cell r="D696" t="str">
            <v>PE Pipe Male Tee - 32mm x 1"</v>
          </cell>
        </row>
        <row r="697">
          <cell r="D697" t="str">
            <v>PE Pipe Male Tee - 50mm x 1-1/2"</v>
          </cell>
        </row>
        <row r="698">
          <cell r="D698" t="str">
            <v>PE Pipe Male Tee - 63mm x 2"</v>
          </cell>
        </row>
        <row r="699">
          <cell r="D699" t="str">
            <v>PE Pipe Male Tee - 90mm x 3"</v>
          </cell>
        </row>
        <row r="701">
          <cell r="D701" t="str">
            <v>FEMALE TEE</v>
          </cell>
        </row>
        <row r="702">
          <cell r="D702" t="str">
            <v>PE Pipe Female Tee - 20mm x 1/2"</v>
          </cell>
        </row>
        <row r="703">
          <cell r="D703" t="str">
            <v>PE Pipe Female Tee - 20mm x 3/4"</v>
          </cell>
        </row>
        <row r="704">
          <cell r="D704" t="str">
            <v>PE Pipe Female Tee - 25mm x 1/2"</v>
          </cell>
        </row>
        <row r="705">
          <cell r="D705" t="str">
            <v>PE Pipe Female Tee - 25mm x 3/4"</v>
          </cell>
        </row>
        <row r="706">
          <cell r="D706" t="str">
            <v>PE Pipe Female Tee - 32mm x 3/4"</v>
          </cell>
        </row>
        <row r="707">
          <cell r="D707" t="str">
            <v>PE Pipe Female Tee - 32mm x 1"</v>
          </cell>
        </row>
        <row r="708">
          <cell r="D708" t="str">
            <v>PE Pipe Female Tee - 50mm x 1-1/2"</v>
          </cell>
        </row>
        <row r="709">
          <cell r="D709" t="str">
            <v>PE Pipe Female Tee - 63mm x 2"</v>
          </cell>
        </row>
        <row r="710">
          <cell r="D710" t="str">
            <v>PE Pipe Female Tee - 90mm x 3"</v>
          </cell>
        </row>
        <row r="712">
          <cell r="D712" t="str">
            <v>REDUCING TEE</v>
          </cell>
        </row>
        <row r="713">
          <cell r="D713" t="str">
            <v>PE Pipe Reducing Tee - 25mm x 20mm</v>
          </cell>
        </row>
        <row r="714">
          <cell r="D714" t="str">
            <v>PE Pipe Reducing Tee - 32mm x 20mm</v>
          </cell>
        </row>
        <row r="715">
          <cell r="D715" t="str">
            <v>PE Pipe Reducing Tee - 32mm x 25mm</v>
          </cell>
        </row>
        <row r="716">
          <cell r="D716" t="str">
            <v>PE Pipe Reducing Tee - 40mm x 32mm</v>
          </cell>
        </row>
        <row r="717">
          <cell r="D717" t="str">
            <v>PE Pipe Reducing Tee - 50mm x 32mm</v>
          </cell>
        </row>
        <row r="718">
          <cell r="D718" t="str">
            <v>PE Pipe Reducing Tee - 50mm x 40mm</v>
          </cell>
        </row>
        <row r="719">
          <cell r="D719" t="str">
            <v>PE Pipe Reducing Tee - 63mm x 50mm</v>
          </cell>
        </row>
        <row r="721">
          <cell r="D721" t="str">
            <v>EQUAL TEE</v>
          </cell>
        </row>
        <row r="722">
          <cell r="D722" t="str">
            <v>PE Pipe Equal Tee - 20mm x 20mm</v>
          </cell>
        </row>
        <row r="723">
          <cell r="D723" t="str">
            <v>PE Pipe Equal Tee - 20mm x 25mm</v>
          </cell>
        </row>
        <row r="724">
          <cell r="D724" t="str">
            <v>PE Pipe Equal Tee - 32mm x 32mm</v>
          </cell>
        </row>
        <row r="725">
          <cell r="D725" t="str">
            <v>PE Pipe Equal Tee - 40mm x 40mm</v>
          </cell>
        </row>
        <row r="726">
          <cell r="D726" t="str">
            <v>PE Pipe Equal Tee - 50mm x 50mm</v>
          </cell>
        </row>
        <row r="727">
          <cell r="D727" t="str">
            <v>PE Pipe Equal Tee - 63mm x 63mm</v>
          </cell>
        </row>
        <row r="728">
          <cell r="D728" t="str">
            <v>PE Pipe Equal Tee - 90mm x 90mm</v>
          </cell>
        </row>
        <row r="730">
          <cell r="D730" t="str">
            <v>EQUAL BEND 90°</v>
          </cell>
        </row>
        <row r="731">
          <cell r="D731" t="str">
            <v>PE Pipe Equal Bend 90° - 20mm x 20mm</v>
          </cell>
        </row>
        <row r="732">
          <cell r="D732" t="str">
            <v>PE Pipe Equal Bend 90° - 20mm x 25mm</v>
          </cell>
        </row>
        <row r="733">
          <cell r="D733" t="str">
            <v>PE Pipe Equal Bend 90° - 32mm x 32mm</v>
          </cell>
        </row>
        <row r="734">
          <cell r="D734" t="str">
            <v>PE Pipe Equal Bend 90° - 40mm x 40mm</v>
          </cell>
        </row>
        <row r="735">
          <cell r="D735" t="str">
            <v>PE Pipe Equal Bend 90° - 50mm x 50mm</v>
          </cell>
        </row>
        <row r="736">
          <cell r="D736" t="str">
            <v>PE Pipe Equal Bend 90° - 63mm x 63mm</v>
          </cell>
        </row>
        <row r="737">
          <cell r="D737" t="str">
            <v>PE Pipe Equal Bend 90° - 90mm x 90mm</v>
          </cell>
        </row>
        <row r="739">
          <cell r="D739" t="str">
            <v>FEMALE BEND 90°</v>
          </cell>
        </row>
        <row r="740">
          <cell r="D740" t="str">
            <v>PE Pipe Female Bend 90° - 20mm x 1/2"</v>
          </cell>
        </row>
        <row r="741">
          <cell r="D741" t="str">
            <v>PE Pipe Female Bend 90° - 20mm x 3/4"</v>
          </cell>
        </row>
        <row r="742">
          <cell r="D742" t="str">
            <v>PE Pipe Female Bend 90° - 25mm x 1/2"</v>
          </cell>
        </row>
        <row r="743">
          <cell r="D743" t="str">
            <v>PE Pipe Female Bend 90° - 25mm x 3/4"</v>
          </cell>
        </row>
        <row r="744">
          <cell r="D744" t="str">
            <v>PE Pipe Female Bend 90° - 25mm x 1"</v>
          </cell>
        </row>
        <row r="745">
          <cell r="D745" t="str">
            <v>PE Pipe Female Bend 90° - 32mm x 3/4"</v>
          </cell>
        </row>
        <row r="746">
          <cell r="D746" t="str">
            <v>PE Pipe Female Bend 90° - 32mm x 1"</v>
          </cell>
        </row>
        <row r="747">
          <cell r="D747" t="str">
            <v>PE Pipe Female Bend 90° - 50mm x 1-1/2"</v>
          </cell>
        </row>
        <row r="748">
          <cell r="D748" t="str">
            <v>PE Pipe Female Bend 90° - 63mm x 2"</v>
          </cell>
        </row>
        <row r="749">
          <cell r="D749" t="str">
            <v>PE Pipe Female Bend 90° - 90mm x 3"</v>
          </cell>
        </row>
        <row r="751">
          <cell r="D751" t="str">
            <v>MALE BEND 90°</v>
          </cell>
        </row>
        <row r="752">
          <cell r="D752" t="str">
            <v>PE Pipe Male Bend 90° - 20mm x 1/2"</v>
          </cell>
        </row>
        <row r="753">
          <cell r="D753" t="str">
            <v>PE Pipe Male Bend 90° - 20mm x 3/4"</v>
          </cell>
        </row>
        <row r="754">
          <cell r="D754" t="str">
            <v>PE Pipe Male Bend 90° - 25mm x 1/2"</v>
          </cell>
        </row>
        <row r="755">
          <cell r="D755" t="str">
            <v>PE Pipe Male Bend 90° - 25mm x 3/4"</v>
          </cell>
        </row>
        <row r="756">
          <cell r="D756" t="str">
            <v>PE Pipe Male Bend 90° - 25mm x 1"</v>
          </cell>
        </row>
        <row r="757">
          <cell r="D757" t="str">
            <v>PE Pipe Male Bend 90° - 32mm x 3/4"</v>
          </cell>
        </row>
        <row r="758">
          <cell r="D758" t="str">
            <v>PE Pipe Male Bend 90° - 32mm x 1"</v>
          </cell>
        </row>
        <row r="759">
          <cell r="D759" t="str">
            <v>PE Pipe Male Bend 90° - 50mm x 1-1/2"</v>
          </cell>
        </row>
        <row r="760">
          <cell r="D760" t="str">
            <v>PE Pipe Male Bend 90° - 63mm x 2"</v>
          </cell>
        </row>
        <row r="761">
          <cell r="D761" t="str">
            <v>PE Pipe Male Bend 90° - 90mm x 3"</v>
          </cell>
        </row>
        <row r="763">
          <cell r="D763" t="str">
            <v>SINGLE OUTLET SADDLE CLAMP</v>
          </cell>
        </row>
        <row r="764">
          <cell r="D764" t="str">
            <v>PE Pipe Single Outlet Saddle Clamp - 32mm x 3/4"</v>
          </cell>
        </row>
        <row r="765">
          <cell r="D765" t="str">
            <v>PE Pipe Single Outlet Saddle Clamp - 32mm x 1"</v>
          </cell>
        </row>
        <row r="766">
          <cell r="D766" t="str">
            <v>PE Pipe Single Outlet Saddle Clamp - 40mm x 1"</v>
          </cell>
        </row>
        <row r="767">
          <cell r="D767" t="str">
            <v>PE Pipe Single Outlet Saddle Clamp - 50mm x 3/4"</v>
          </cell>
        </row>
        <row r="768">
          <cell r="D768" t="str">
            <v>PE Pipe Single Outlet Saddle Clamp - 50mm x 1"</v>
          </cell>
        </row>
        <row r="769">
          <cell r="D769" t="str">
            <v>PE Pipe Single Outlet Saddle Clamp - 63mm x 3/4"</v>
          </cell>
        </row>
        <row r="770">
          <cell r="D770" t="str">
            <v>PE Pipe Single Outlet Saddle Clamp - 63mm x 1"</v>
          </cell>
        </row>
        <row r="771">
          <cell r="D771" t="str">
            <v>PE Pipe Single Outlet Saddle Clamp - 73mm x 1"</v>
          </cell>
        </row>
        <row r="772">
          <cell r="D772" t="str">
            <v>PE Pipe Single Outlet Saddle Clamp - 90mm x 3/4"</v>
          </cell>
        </row>
        <row r="773">
          <cell r="D773" t="str">
            <v>PE Pipe Single Outlet Saddle Clamp - 90mm x 1"</v>
          </cell>
        </row>
        <row r="774">
          <cell r="D774" t="str">
            <v>PE Pipe Single Outlet Saddle Clamp - 90mm x 2"</v>
          </cell>
        </row>
        <row r="775">
          <cell r="D775" t="str">
            <v>PE Pipe Single Outlet Saddle Clamp - 110mm x 3/4"</v>
          </cell>
        </row>
        <row r="776">
          <cell r="D776" t="str">
            <v>PE Pipe Single Outlet Saddle Clamp - 110mm x 1"</v>
          </cell>
        </row>
        <row r="777">
          <cell r="D777" t="str">
            <v>PE Pipe Single Outlet Saddle Clamp - 110mm x 1-1/4"</v>
          </cell>
        </row>
        <row r="778">
          <cell r="D778" t="str">
            <v>PE Pipe Single Outlet Saddle Clamp - 110mm x 2"</v>
          </cell>
        </row>
        <row r="779">
          <cell r="D779" t="str">
            <v>PE Pipe Single Outlet Saddle Clamp - 160mm x 3/4"</v>
          </cell>
        </row>
        <row r="780">
          <cell r="D780" t="str">
            <v>PE Pipe Single Outlet Saddle Clamp - 160mm x 1"</v>
          </cell>
        </row>
        <row r="781">
          <cell r="D781" t="str">
            <v>PE Pipe Single Outlet Saddle Clamp - 160mm x 2"</v>
          </cell>
        </row>
        <row r="783">
          <cell r="D783" t="str">
            <v>DOUBLE OUTLET SADDLE CLAMP</v>
          </cell>
        </row>
        <row r="784">
          <cell r="D784" t="str">
            <v>PE Pipe Double Outlet Saddle Clamp - 32mm x 3/4" x 3/4"</v>
          </cell>
        </row>
        <row r="785">
          <cell r="D785" t="str">
            <v>PE Pipe Double Outlet Saddle Clamp - 32mm x 1" x 1"</v>
          </cell>
        </row>
        <row r="786">
          <cell r="D786" t="str">
            <v>PE Pipe Double Outlet Saddle Clamp - 50mm x 3/4" x 3/4"</v>
          </cell>
        </row>
        <row r="787">
          <cell r="D787" t="str">
            <v>PE Pipe Double Outlet Saddle Clamp - 50mm x 1" x 1"</v>
          </cell>
        </row>
        <row r="788">
          <cell r="D788" t="str">
            <v>PE Pipe Double Outlet Saddle Clamp - 63mm x 3/4" x 3/4"</v>
          </cell>
        </row>
        <row r="789">
          <cell r="D789" t="str">
            <v>PE Pipe Double Outlet Saddle Clamp - 63mm x 1" x 1"</v>
          </cell>
        </row>
        <row r="790">
          <cell r="D790" t="str">
            <v>PE Pipe Double Outlet Saddle Clamp - 90mm x 3/4" x 3/4"</v>
          </cell>
        </row>
        <row r="791">
          <cell r="D791" t="str">
            <v>PE Pipe Double Outlet Saddle Clamp - 90mm x 1" x 1"</v>
          </cell>
        </row>
        <row r="792">
          <cell r="D792" t="str">
            <v>PE Pipe Double Outlet Saddle Clamp - 90mm x 2" x 2"</v>
          </cell>
        </row>
        <row r="793">
          <cell r="D793" t="str">
            <v>PE Pipe Double Outlet Saddle Clamp - 110mm x 3/4" x 3/4"</v>
          </cell>
        </row>
        <row r="794">
          <cell r="D794" t="str">
            <v>PE Pipe Double Outlet Saddle Clamp - 110mm x 1" x 1"</v>
          </cell>
        </row>
        <row r="795">
          <cell r="D795" t="str">
            <v>PE Pipe Double Outlet Saddle Clamp - 110mm x 2" x 2"</v>
          </cell>
        </row>
        <row r="796">
          <cell r="D796" t="str">
            <v>PE Pipe Double Outlet Saddle Clamp - 160mm x 3/4" x 3/4"</v>
          </cell>
        </row>
        <row r="797">
          <cell r="D797" t="str">
            <v>PE Pipe Double Outlet Saddle Clamp - 160mm x 1" x 1"</v>
          </cell>
        </row>
        <row r="798">
          <cell r="D798" t="str">
            <v>PE Pipe Double Outlet Saddle Clamp - 160mm x 2" x 2"</v>
          </cell>
        </row>
        <row r="800">
          <cell r="D800" t="str">
            <v>SPIGOT - Stub End</v>
          </cell>
        </row>
        <row r="801">
          <cell r="D801" t="str">
            <v>PE Pipe Stub End Long Collar - 90mm x 63mm</v>
          </cell>
        </row>
        <row r="802">
          <cell r="D802" t="str">
            <v>PE Pipe Stub End Long Collar - 110mm x 63mm</v>
          </cell>
        </row>
        <row r="803">
          <cell r="D803" t="str">
            <v>PE Pipe Stub End Long Collar - 160mm x 63mm</v>
          </cell>
        </row>
        <row r="804">
          <cell r="D804" t="str">
            <v>PE Pipe Stub End Long Collar - 160mm x 110mm</v>
          </cell>
        </row>
        <row r="806">
          <cell r="D806" t="str">
            <v>SPIGOT - Reducer</v>
          </cell>
        </row>
        <row r="807">
          <cell r="D807" t="str">
            <v>PE Pipe (Spigot) Reducer - 63mm</v>
          </cell>
        </row>
        <row r="808">
          <cell r="D808" t="str">
            <v>PE Pipe (Spigot) Reducer - 90mm</v>
          </cell>
        </row>
        <row r="809">
          <cell r="D809" t="str">
            <v>PE Pipe (Spigot) Reducer - 110mm</v>
          </cell>
        </row>
        <row r="810">
          <cell r="D810" t="str">
            <v>PE Pipe (Spigot) Reducer - 160mm</v>
          </cell>
        </row>
        <row r="814">
          <cell r="D814" t="str">
            <v>PE Pipe Male Thread Adaptor - 40mm x 1-1/4"</v>
          </cell>
        </row>
        <row r="815">
          <cell r="D815" t="str">
            <v>PE Pipe Male Thread Adaptor - 50mm x 1-1/2"</v>
          </cell>
        </row>
        <row r="816">
          <cell r="D816" t="str">
            <v>PE Pipe Male Thread Adaptor - 63mm x 2"</v>
          </cell>
        </row>
        <row r="817">
          <cell r="D817" t="str">
            <v>PE Pipe Male Thread Adaptor - 90mm x 3"</v>
          </cell>
        </row>
        <row r="819">
          <cell r="D819" t="str">
            <v>PE Pipe, SDR 17   25mmØ</v>
          </cell>
        </row>
        <row r="820">
          <cell r="D820" t="str">
            <v>PE Pipe, SDR 17   32mmØ</v>
          </cell>
        </row>
        <row r="821">
          <cell r="D821" t="str">
            <v>PE Pipe, SDR 17   40mmØ</v>
          </cell>
        </row>
        <row r="822">
          <cell r="D822" t="str">
            <v>PE Pipe, SDR 17   50mmØ</v>
          </cell>
        </row>
        <row r="823">
          <cell r="D823" t="str">
            <v>PE Pipe, SDR 17   63mmØ</v>
          </cell>
        </row>
        <row r="824">
          <cell r="D824" t="str">
            <v>PE Pipe, SDR 17  75mmØ</v>
          </cell>
        </row>
        <row r="825">
          <cell r="D825" t="str">
            <v>PE Pipe, SDR 17  90mmØ</v>
          </cell>
        </row>
        <row r="827">
          <cell r="D827" t="str">
            <v>3/8" PE Pipe Coupling/Connector</v>
          </cell>
        </row>
        <row r="828">
          <cell r="D828" t="str">
            <v>½" PE Pipe Coupling/Connector</v>
          </cell>
        </row>
        <row r="829">
          <cell r="D829" t="str">
            <v>3/4" PE Pipe Coupling/Connector</v>
          </cell>
        </row>
        <row r="830">
          <cell r="D830" t="str">
            <v>1" PE Pipe Coupling/Connector</v>
          </cell>
        </row>
        <row r="831">
          <cell r="D831" t="str">
            <v>1¼" PE Pipe Coupling/Connector</v>
          </cell>
        </row>
        <row r="832">
          <cell r="D832" t="str">
            <v>1½" PE Pipe Coupling/Connector</v>
          </cell>
        </row>
        <row r="833">
          <cell r="D833" t="str">
            <v>2" PE Pipe Coupling/Connector</v>
          </cell>
        </row>
        <row r="834">
          <cell r="D834" t="str">
            <v>2½" PE Pipe Coupling/Connector</v>
          </cell>
        </row>
        <row r="835">
          <cell r="D835" t="str">
            <v>3" PE Pipe Coupling/Connector</v>
          </cell>
        </row>
        <row r="836">
          <cell r="D836" t="str">
            <v>63mm X 2"dia. Male Adaptor, PLASSON</v>
          </cell>
        </row>
        <row r="837">
          <cell r="D837" t="str">
            <v>75mm X 2½"dia. Male Adaptor, PLASSON</v>
          </cell>
        </row>
        <row r="839">
          <cell r="D839" t="str">
            <v>Butt Fusion</v>
          </cell>
        </row>
        <row r="840">
          <cell r="D840" t="str">
            <v>PE Pipe Butt Fussion - 25mmØ</v>
          </cell>
        </row>
        <row r="841">
          <cell r="D841" t="str">
            <v>PE Pipe Butt Fussion - 32mmØ</v>
          </cell>
        </row>
        <row r="842">
          <cell r="D842" t="str">
            <v>PE Pipe Butt Fussion - 40mmØ</v>
          </cell>
        </row>
        <row r="843">
          <cell r="D843" t="str">
            <v>PE Pipe Butt Fussion - 50mmØ</v>
          </cell>
        </row>
        <row r="844">
          <cell r="D844" t="str">
            <v>PE Pipe Butt Fussion - 63mmØ</v>
          </cell>
        </row>
        <row r="845">
          <cell r="D845" t="str">
            <v>PE Pipe Butt Fussion - 75mmØ</v>
          </cell>
        </row>
        <row r="846">
          <cell r="D846" t="str">
            <v>PE Pipe Butt Fussion - 90mmØ</v>
          </cell>
        </row>
        <row r="848">
          <cell r="D848" t="str">
            <v>PE Pipe Butt Fussion - 25mm x 20mm</v>
          </cell>
        </row>
        <row r="849">
          <cell r="D849" t="str">
            <v>PE Pipe Butt Fussion - 32mm x 20mm</v>
          </cell>
        </row>
        <row r="850">
          <cell r="D850" t="str">
            <v>PE Pipe Butt Fussion - 32mm x 25mm</v>
          </cell>
        </row>
        <row r="851">
          <cell r="D851" t="str">
            <v>PE Pipe Butt Fussion - 50mm x 25mm</v>
          </cell>
        </row>
        <row r="852">
          <cell r="D852" t="str">
            <v>PE Pipe Butt Fussion - 50mm x 32mm</v>
          </cell>
        </row>
        <row r="853">
          <cell r="D853" t="str">
            <v>PE Pipe Butt Fussion - 50mm x 40mm</v>
          </cell>
        </row>
        <row r="854">
          <cell r="D854" t="str">
            <v>PE Pipe Butt Fussion - 63mm x 32mm</v>
          </cell>
        </row>
        <row r="855">
          <cell r="D855" t="str">
            <v>PE Pipe Butt Fussion - 63mm x 40mm</v>
          </cell>
        </row>
        <row r="856">
          <cell r="D856" t="str">
            <v>PE Pipe Butt Fussion - 63mm x 50mm</v>
          </cell>
        </row>
        <row r="857">
          <cell r="D857" t="str">
            <v>PE Pipe Butt Fussion - 90mm x 63mm</v>
          </cell>
        </row>
        <row r="864">
          <cell r="D864" t="str">
            <v>( SANITARY FIXTURES )</v>
          </cell>
        </row>
        <row r="865">
          <cell r="D865" t="str">
            <v>½" Brass Faucet, Plain Bibb</v>
          </cell>
        </row>
        <row r="866">
          <cell r="D866" t="str">
            <v>Water closet (ordinary)</v>
          </cell>
        </row>
        <row r="867">
          <cell r="D867" t="str">
            <v>Water closet</v>
          </cell>
        </row>
        <row r="868">
          <cell r="D868" t="str">
            <v>Water seal bowl (Pail Flush)</v>
          </cell>
        </row>
        <row r="869">
          <cell r="D869" t="str">
            <v>Lavatory, porcelain</v>
          </cell>
        </row>
        <row r="870">
          <cell r="D870" t="str">
            <v>Kitchen sink ( Aluminum)</v>
          </cell>
        </row>
        <row r="871">
          <cell r="D871" t="str">
            <v>Soap Holder (ceramic)</v>
          </cell>
        </row>
        <row r="872">
          <cell r="D872" t="str">
            <v>Paper Holder (ceramic)</v>
          </cell>
        </row>
        <row r="873">
          <cell r="D873" t="str">
            <v>4x4 Floor drain plate</v>
          </cell>
        </row>
        <row r="874">
          <cell r="D874" t="str">
            <v>6x6 Floor drain plate</v>
          </cell>
        </row>
        <row r="875">
          <cell r="D875" t="str">
            <v>1¼" Jetmatic Pump, Heavy Duty</v>
          </cell>
        </row>
        <row r="876">
          <cell r="D876" t="str">
            <v>Sink Strainer</v>
          </cell>
        </row>
        <row r="877">
          <cell r="D877" t="str">
            <v>Dome Type Roof Drain</v>
          </cell>
        </row>
        <row r="878">
          <cell r="D878" t="str">
            <v>Kitchen sink (Stainless)</v>
          </cell>
        </row>
        <row r="879">
          <cell r="D879" t="str">
            <v>Brass Faucet</v>
          </cell>
        </row>
        <row r="880">
          <cell r="D880" t="str">
            <v>Stainless Lavatory Faucet</v>
          </cell>
        </row>
        <row r="881">
          <cell r="D881" t="str">
            <v>150mm PVC Sanitary/Sewer Pipe x 3000</v>
          </cell>
        </row>
        <row r="883">
          <cell r="D883" t="str">
            <v>( ELECTRICAL WIRES &amp; APURTENANCES )</v>
          </cell>
        </row>
        <row r="884">
          <cell r="D884" t="str">
            <v>#8 AWG TW Wire solid</v>
          </cell>
        </row>
        <row r="885">
          <cell r="D885" t="str">
            <v>#10 AWG TW Wire solid</v>
          </cell>
        </row>
        <row r="886">
          <cell r="D886" t="str">
            <v>#12 AWG TW Wire solid</v>
          </cell>
        </row>
        <row r="887">
          <cell r="D887" t="str">
            <v>#14 AWG TW Wire solid</v>
          </cell>
        </row>
        <row r="888">
          <cell r="D888" t="str">
            <v>#10 AWG TW Wire stranded</v>
          </cell>
        </row>
        <row r="889">
          <cell r="D889" t="str">
            <v>#12 AWG TW Wire stranded</v>
          </cell>
        </row>
        <row r="890">
          <cell r="D890" t="str">
            <v>#14 AWG TW Wire stranded</v>
          </cell>
        </row>
        <row r="891">
          <cell r="D891" t="str">
            <v>#10  PDX Wire</v>
          </cell>
        </row>
        <row r="892">
          <cell r="D892" t="str">
            <v>#12 PDX Wire</v>
          </cell>
        </row>
        <row r="893">
          <cell r="D893" t="str">
            <v>#14 PDX Wire</v>
          </cell>
        </row>
        <row r="894">
          <cell r="D894" t="str">
            <v>3/4" PolyFlex Pipe</v>
          </cell>
        </row>
        <row r="895">
          <cell r="D895" t="str">
            <v>½" Flexible conduit</v>
          </cell>
        </row>
        <row r="896">
          <cell r="D896" t="str">
            <v>1" Flexible conduit</v>
          </cell>
        </row>
        <row r="897">
          <cell r="D897" t="str">
            <v>½" Entrance Cap</v>
          </cell>
        </row>
        <row r="898">
          <cell r="D898" t="str">
            <v>20A Circuit Breakers</v>
          </cell>
        </row>
        <row r="899">
          <cell r="D899" t="str">
            <v>30A Circuit Breakers</v>
          </cell>
        </row>
        <row r="900">
          <cell r="D900" t="str">
            <v>40A Circuit Breakers</v>
          </cell>
        </row>
        <row r="901">
          <cell r="D901" t="str">
            <v>60ACircuit Breakers</v>
          </cell>
        </row>
        <row r="902">
          <cell r="D902" t="str">
            <v>100A Circuit Breakers</v>
          </cell>
        </row>
        <row r="903">
          <cell r="D903" t="str">
            <v>15A Fuse</v>
          </cell>
        </row>
        <row r="904">
          <cell r="D904" t="str">
            <v>20A Fuse</v>
          </cell>
        </row>
        <row r="905">
          <cell r="D905" t="str">
            <v>30A Fuse</v>
          </cell>
        </row>
        <row r="906">
          <cell r="D906" t="str">
            <v>60A Fuse</v>
          </cell>
        </row>
        <row r="907">
          <cell r="D907" t="str">
            <v>30A kWh Meter</v>
          </cell>
        </row>
        <row r="908">
          <cell r="D908" t="str">
            <v>60A kWh Meter</v>
          </cell>
        </row>
        <row r="909">
          <cell r="D909" t="str">
            <v>100A kWh Meter</v>
          </cell>
        </row>
        <row r="910">
          <cell r="D910" t="str">
            <v>2X4, Utility Box</v>
          </cell>
        </row>
        <row r="911">
          <cell r="D911" t="str">
            <v>4X4, Junction Box with cover</v>
          </cell>
        </row>
        <row r="912">
          <cell r="D912" t="str">
            <v>Porcelain Ceiling Outlet</v>
          </cell>
        </row>
        <row r="913">
          <cell r="D913" t="str">
            <v>Duplex convenience outlet (surface type)</v>
          </cell>
        </row>
        <row r="914">
          <cell r="D914" t="str">
            <v>Rubber female plug</v>
          </cell>
        </row>
        <row r="915">
          <cell r="D915" t="str">
            <v>Electrical Tape</v>
          </cell>
        </row>
        <row r="916">
          <cell r="D916" t="str">
            <v>Panel Board, 6-Breakers</v>
          </cell>
        </row>
        <row r="917">
          <cell r="D917" t="str">
            <v>One Gang Switch (flush type)</v>
          </cell>
        </row>
        <row r="918">
          <cell r="D918" t="str">
            <v>Two Gang Swicth (flush type)</v>
          </cell>
        </row>
        <row r="919">
          <cell r="D919" t="str">
            <v>Three Gang Swicth (flush type)</v>
          </cell>
        </row>
        <row r="920">
          <cell r="D920" t="str">
            <v>One Gang Outlet (flush type)</v>
          </cell>
        </row>
        <row r="921">
          <cell r="D921" t="str">
            <v>Two Gang Outlet (flush type)</v>
          </cell>
        </row>
        <row r="922">
          <cell r="D922" t="str">
            <v>Three Gang Outlet (flush type)</v>
          </cell>
        </row>
        <row r="923">
          <cell r="D923" t="str">
            <v>1/2" Metal Conduit Pipe, 3.0m</v>
          </cell>
        </row>
        <row r="924">
          <cell r="D924" t="str">
            <v>20mmØ PVC Conduit Pipes, 3.0m</v>
          </cell>
        </row>
        <row r="925">
          <cell r="D925" t="str">
            <v>Main Switch Box, 2P, Double-Throw</v>
          </cell>
        </row>
        <row r="926">
          <cell r="D926" t="str">
            <v>Porcelain Wire Holder</v>
          </cell>
        </row>
        <row r="928">
          <cell r="D928" t="str">
            <v>( LIGHTS AND LAMPS )</v>
          </cell>
        </row>
        <row r="929">
          <cell r="D929" t="str">
            <v>20W 220 V Flourescent Lamp</v>
          </cell>
        </row>
        <row r="930">
          <cell r="D930" t="str">
            <v>40W 220 V Flourescent Lamp</v>
          </cell>
        </row>
        <row r="931">
          <cell r="D931" t="str">
            <v>20W 220 V Reflectorized Flourescent Lamp, Single Housing</v>
          </cell>
        </row>
        <row r="932">
          <cell r="D932" t="str">
            <v>10W Incandescent Bulb</v>
          </cell>
        </row>
        <row r="933">
          <cell r="D933" t="str">
            <v>20W Incandescent Bulb</v>
          </cell>
        </row>
        <row r="934">
          <cell r="D934" t="str">
            <v>50W Incandescent Bulb</v>
          </cell>
        </row>
        <row r="935">
          <cell r="D935" t="str">
            <v>100W Incandescent Bulb</v>
          </cell>
        </row>
        <row r="936">
          <cell r="D936" t="str">
            <v>18 W SL 2000 Flourescent Bulb</v>
          </cell>
        </row>
        <row r="937">
          <cell r="D937" t="str">
            <v>18 W SL 2000 Flourescent Bulb</v>
          </cell>
        </row>
        <row r="938">
          <cell r="D938" t="str">
            <v>( PAINTS &amp; ACCESSORIES )</v>
          </cell>
        </row>
        <row r="939">
          <cell r="D939" t="str">
            <v>Latex Paint Flat</v>
          </cell>
        </row>
        <row r="940">
          <cell r="D940" t="str">
            <v>Acrylic Latex Paint Flat</v>
          </cell>
        </row>
        <row r="941">
          <cell r="D941" t="str">
            <v>Acrylic Semi-Gloss Paint Latex</v>
          </cell>
        </row>
        <row r="942">
          <cell r="D942" t="str">
            <v>Acrylic Gloss Latex</v>
          </cell>
        </row>
        <row r="943">
          <cell r="D943" t="str">
            <v>Acrylic Clear Gloss Emulsion</v>
          </cell>
        </row>
        <row r="944">
          <cell r="D944" t="str">
            <v>Latex High Gloss Enamel</v>
          </cell>
        </row>
        <row r="945">
          <cell r="D945" t="str">
            <v>Latex Tinting Color (Water-based)</v>
          </cell>
        </row>
        <row r="946">
          <cell r="D946" t="str">
            <v>Quick Drying Enamel</v>
          </cell>
        </row>
        <row r="947">
          <cell r="D947" t="str">
            <v>Interior Semi-Gloss Enamel</v>
          </cell>
        </row>
        <row r="948">
          <cell r="D948" t="str">
            <v>Flat Wall Enamel</v>
          </cell>
        </row>
        <row r="949">
          <cell r="D949" t="str">
            <v>Conc. Primer Sealer</v>
          </cell>
        </row>
        <row r="950">
          <cell r="D950" t="str">
            <v>Interior Primer Sealer</v>
          </cell>
        </row>
        <row r="951">
          <cell r="D951" t="str">
            <v>Exterior Wood Primer</v>
          </cell>
        </row>
        <row r="952">
          <cell r="D952" t="str">
            <v>Prepakote Red Oxide Primer</v>
          </cell>
        </row>
        <row r="953">
          <cell r="D953" t="str">
            <v>Zinc Chromate Primer.</v>
          </cell>
        </row>
        <row r="954">
          <cell r="D954" t="str">
            <v>Red Lead Primer</v>
          </cell>
        </row>
        <row r="955">
          <cell r="D955" t="str">
            <v>Blackboard Paint green</v>
          </cell>
        </row>
        <row r="956">
          <cell r="D956" t="str">
            <v>Portland Roofing Paint</v>
          </cell>
        </row>
        <row r="957">
          <cell r="D957" t="str">
            <v>Galva wash zinc remover</v>
          </cell>
        </row>
        <row r="958">
          <cell r="D958" t="str">
            <v>Sanding Sealer</v>
          </cell>
        </row>
        <row r="959">
          <cell r="D959" t="str">
            <v>Clear Gloss Lacquer</v>
          </cell>
        </row>
        <row r="960">
          <cell r="D960" t="str">
            <v>Paint Thinner</v>
          </cell>
        </row>
        <row r="961">
          <cell r="D961" t="str">
            <v>Concrete Neutralizer</v>
          </cell>
        </row>
        <row r="962">
          <cell r="D962" t="str">
            <v>Coal Tar</v>
          </cell>
        </row>
        <row r="963">
          <cell r="D963" t="str">
            <v>Wood Stain</v>
          </cell>
        </row>
        <row r="964">
          <cell r="D964" t="str">
            <v>Kalsomine powder</v>
          </cell>
        </row>
        <row r="965">
          <cell r="D965" t="str">
            <v>Sanding Paper</v>
          </cell>
        </row>
        <row r="966">
          <cell r="D966" t="str">
            <v>Epoxy Primer, Boysen</v>
          </cell>
        </row>
        <row r="967">
          <cell r="D967" t="str">
            <v>Roller Brush w/ Tray</v>
          </cell>
        </row>
        <row r="968">
          <cell r="D968" t="str">
            <v>Paint Brush</v>
          </cell>
        </row>
        <row r="969">
          <cell r="D969" t="str">
            <v>Reflectorized Paint</v>
          </cell>
        </row>
        <row r="970">
          <cell r="D970" t="str">
            <v>Marine Paint</v>
          </cell>
        </row>
        <row r="972">
          <cell r="D972" t="str">
            <v>( PRESERVATIVES )</v>
          </cell>
        </row>
        <row r="973">
          <cell r="D973" t="str">
            <v>Wood preservative</v>
          </cell>
        </row>
        <row r="975">
          <cell r="D975" t="str">
            <v>( TILES )</v>
          </cell>
        </row>
        <row r="976">
          <cell r="D976" t="str">
            <v>Unglazed Tiles  4-1/4" x 4-1/4"</v>
          </cell>
        </row>
        <row r="977">
          <cell r="D977" t="str">
            <v>Glazed Tile (Plain Color)  4-1/4" x 4-1/4"</v>
          </cell>
        </row>
        <row r="978">
          <cell r="D978" t="str">
            <v>Mosaic Floor Tiles  12 x 12</v>
          </cell>
        </row>
        <row r="979">
          <cell r="D979" t="str">
            <v>Glazed Tiles  4" x 4"</v>
          </cell>
        </row>
        <row r="980">
          <cell r="D980" t="str">
            <v>Vitirified Tiles  4" x 8"</v>
          </cell>
        </row>
        <row r="981">
          <cell r="D981" t="str">
            <v>Floor Tiles (Plain Color)  8" x 8"</v>
          </cell>
        </row>
        <row r="982">
          <cell r="D982" t="str">
            <v>Glazed Tiles (Plain Color)  8" x 8"</v>
          </cell>
        </row>
        <row r="983">
          <cell r="D983" t="str">
            <v>Vinyl Tiles  8" x 8"</v>
          </cell>
        </row>
        <row r="984">
          <cell r="D984" t="str">
            <v>Capping</v>
          </cell>
        </row>
        <row r="985">
          <cell r="D985" t="str">
            <v>Internal Bead  4"</v>
          </cell>
        </row>
        <row r="986">
          <cell r="D986" t="str">
            <v xml:space="preserve">External Bead  4" </v>
          </cell>
        </row>
        <row r="987">
          <cell r="D987" t="str">
            <v>Internal Corner bead</v>
          </cell>
        </row>
        <row r="988">
          <cell r="D988" t="str">
            <v>External Corner bead</v>
          </cell>
        </row>
        <row r="989">
          <cell r="D989" t="str">
            <v>Unglazed Tiles  4" x 4"</v>
          </cell>
        </row>
        <row r="991">
          <cell r="D991" t="str">
            <v>( INSTRUMENTS )</v>
          </cell>
        </row>
        <row r="992">
          <cell r="D992" t="str">
            <v>Weighing Scale w Ht Measurement (Adult)</v>
          </cell>
        </row>
        <row r="993">
          <cell r="D993" t="str">
            <v>Weighing Scale (Newborn)</v>
          </cell>
        </row>
        <row r="994">
          <cell r="D994" t="str">
            <v>Stethoscope</v>
          </cell>
        </row>
        <row r="995">
          <cell r="D995" t="str">
            <v>Medical Trolley w/glass container</v>
          </cell>
        </row>
        <row r="996">
          <cell r="D996" t="str">
            <v>Sphygmomanometer (Mercury)</v>
          </cell>
        </row>
        <row r="997">
          <cell r="D997" t="str">
            <v>Thermometer</v>
          </cell>
        </row>
        <row r="998">
          <cell r="D998" t="str">
            <v>Scissors (Surgical)</v>
          </cell>
        </row>
        <row r="999">
          <cell r="D999" t="str">
            <v>Scissors (Bandage)</v>
          </cell>
        </row>
        <row r="1000">
          <cell r="D1000" t="str">
            <v>Forceps (Curve)</v>
          </cell>
        </row>
        <row r="1001">
          <cell r="D1001" t="str">
            <v>Forceps (Straight)</v>
          </cell>
        </row>
        <row r="1002">
          <cell r="D1002" t="str">
            <v>Kidney Basin (Stainless)</v>
          </cell>
        </row>
        <row r="1003">
          <cell r="D1003" t="str">
            <v>Bed Pan (Metal)</v>
          </cell>
        </row>
        <row r="1004">
          <cell r="D1004" t="str">
            <v>Male Urinal</v>
          </cell>
        </row>
        <row r="1005">
          <cell r="D1005" t="str">
            <v>O.B. Bed with Stirrups</v>
          </cell>
        </row>
        <row r="1006">
          <cell r="D1006" t="str">
            <v>Hot Water Bag</v>
          </cell>
        </row>
        <row r="1008">
          <cell r="D1008" t="str">
            <v>( FURNITURES )</v>
          </cell>
        </row>
        <row r="1009">
          <cell r="D1009" t="str">
            <v>Monoblock Student Chair</v>
          </cell>
        </row>
        <row r="1010">
          <cell r="D1010" t="str">
            <v>Monoblock Chair</v>
          </cell>
        </row>
        <row r="1011">
          <cell r="D1011" t="str">
            <v>Standard Office Table, Wood (SZOPAD Standard)</v>
          </cell>
        </row>
        <row r="1012">
          <cell r="D1012" t="str">
            <v>Blackboard</v>
          </cell>
        </row>
        <row r="1013">
          <cell r="D1013" t="str">
            <v>Kitchen Table, Wood (SZOPAD Standard)</v>
          </cell>
        </row>
        <row r="1014">
          <cell r="D1014" t="str">
            <v>Monoblock Bench (2-seater)</v>
          </cell>
        </row>
        <row r="1016">
          <cell r="D1016" t="str">
            <v>( MOORING &amp; FENDERS )</v>
          </cell>
        </row>
        <row r="1017">
          <cell r="D1017" t="str">
            <v>Mooring Bollard 25T</v>
          </cell>
        </row>
        <row r="1018">
          <cell r="D1018" t="str">
            <v>Mooring Bollard 15T</v>
          </cell>
        </row>
        <row r="1019">
          <cell r="D1019" t="str">
            <v>Mooring Bitt 10T</v>
          </cell>
        </row>
        <row r="1020">
          <cell r="D1020" t="str">
            <v>Mooring Bitt 15T</v>
          </cell>
        </row>
        <row r="1021">
          <cell r="D1021" t="str">
            <v>Mooring Cleat 5T</v>
          </cell>
        </row>
        <row r="1022">
          <cell r="D1022" t="str">
            <v>V-Type Rubber Fender (200x1500) incl. its appurtenances</v>
          </cell>
        </row>
        <row r="1023">
          <cell r="D1023" t="str">
            <v>V-Type Rubber Fender (300x1500) incl. its appurtenances</v>
          </cell>
        </row>
        <row r="1024">
          <cell r="D1024" t="str">
            <v>V-Type Rubber Fender (400x1000) incl. its appurtenances</v>
          </cell>
        </row>
        <row r="1025">
          <cell r="D1025" t="str">
            <v>V-Type Rubber Fender (400x2000) incl. its appurtenances</v>
          </cell>
        </row>
        <row r="1026">
          <cell r="D1026" t="str">
            <v>L Corner Type Rubber Fender (250Hx1000Lx1000L) incl. its appurtenances</v>
          </cell>
        </row>
        <row r="1027">
          <cell r="D1027" t="str">
            <v>Used Tires (800mmØ)</v>
          </cell>
        </row>
        <row r="1028">
          <cell r="D1028" t="str">
            <v>Used Tires (1000mmØ) and its appurtenances</v>
          </cell>
        </row>
        <row r="1031">
          <cell r="D1031" t="str">
            <v>( LUBRICANT AND OIL )</v>
          </cell>
        </row>
        <row r="1032">
          <cell r="D1032" t="str">
            <v>Used Oil</v>
          </cell>
        </row>
        <row r="1033">
          <cell r="D1033" t="str">
            <v>Oil, No. 110</v>
          </cell>
        </row>
        <row r="1034">
          <cell r="D1034" t="str">
            <v>Gasoline, Regular</v>
          </cell>
        </row>
        <row r="1036">
          <cell r="D1036" t="str">
            <v>( JUNKS &amp; JOB ORDER )</v>
          </cell>
        </row>
        <row r="1037">
          <cell r="D1037" t="str">
            <v>Tension Rod</v>
          </cell>
        </row>
        <row r="1038">
          <cell r="D1038" t="str">
            <v>Steel Plate Cover 0.65 X 0.65 m</v>
          </cell>
        </row>
        <row r="1039">
          <cell r="D1039" t="str">
            <v>Window Grill, Steel</v>
          </cell>
        </row>
        <row r="1040">
          <cell r="D1040" t="str">
            <v xml:space="preserve">Shop-made Door Lock, 5/8" Plain Bar </v>
          </cell>
        </row>
        <row r="1041">
          <cell r="D1041" t="str">
            <v>Fabricated Clamp, 5mm thk x 3"</v>
          </cell>
        </row>
        <row r="1042">
          <cell r="D1042" t="str">
            <v>Used Tires</v>
          </cell>
        </row>
        <row r="1043">
          <cell r="D1043" t="str">
            <v>2.0m X 2.40m  GI Vertical Roll-Up Door</v>
          </cell>
        </row>
        <row r="1044">
          <cell r="D1044" t="str">
            <v>30"  Spherical Roof Vent, Turbine Type</v>
          </cell>
        </row>
        <row r="1045">
          <cell r="D1045" t="str">
            <v>Ga#24 GI Sht Caps</v>
          </cell>
        </row>
        <row r="1046">
          <cell r="D1046" t="str">
            <v>Hard Asphalt Filler</v>
          </cell>
        </row>
        <row r="1047">
          <cell r="D1047" t="str">
            <v>250 x 250 x 3000 Rubbing Timber (Yakal)</v>
          </cell>
        </row>
        <row r="1048">
          <cell r="D1048" t="str">
            <v>Creosoted Wooden Pole 300mmØ x 15m.</v>
          </cell>
        </row>
        <row r="1049">
          <cell r="D1049" t="str">
            <v>Creosoted Wooden Pole 300mmØ x 18m.</v>
          </cell>
        </row>
        <row r="1050">
          <cell r="D1050" t="str">
            <v>Steel Stapples 10mmØ</v>
          </cell>
        </row>
        <row r="1051">
          <cell r="D1051" t="str">
            <v>Fire Extinguishers</v>
          </cell>
        </row>
        <row r="1052">
          <cell r="D1052" t="str">
            <v>Water Proofing Compound &amp; Accessories</v>
          </cell>
        </row>
        <row r="1053">
          <cell r="D1053" t="str">
            <v>Gate Accessories</v>
          </cell>
        </row>
        <row r="1054">
          <cell r="D1054" t="str">
            <v>Electrical &amp; Fixtures</v>
          </cell>
        </row>
        <row r="1055">
          <cell r="D1055" t="str">
            <v>Regulatory Sign</v>
          </cell>
        </row>
        <row r="1056">
          <cell r="D1056" t="str">
            <v>Elastomeric Bearing Pad Duro 60 (Complete Set)</v>
          </cell>
        </row>
        <row r="1057">
          <cell r="D1057" t="str">
            <v>Restrainer Bolt (25mmØx800</v>
          </cell>
        </row>
        <row r="1058">
          <cell r="D1058" t="str">
            <v>Ga#10 GI Pre-Fab Steel Flex Beam</v>
          </cell>
        </row>
        <row r="1059">
          <cell r="D1059" t="str">
            <v>Ga#10 GI Pre-Fab Steel Flex Beam end</v>
          </cell>
        </row>
        <row r="1060">
          <cell r="D1060" t="str">
            <v>Restrainer Bolt (25mmØx800)</v>
          </cell>
        </row>
        <row r="1061">
          <cell r="D1061" t="str">
            <v>Water Meter</v>
          </cell>
        </row>
        <row r="1062">
          <cell r="D1062" t="str">
            <v>Filter Fabric</v>
          </cell>
        </row>
        <row r="1063">
          <cell r="D1063" t="str">
            <v>Ga# 18 Stainless Steel Tank and Accessories</v>
          </cell>
        </row>
        <row r="1066">
          <cell r="D1066" t="str">
            <v>FENESTRATION</v>
          </cell>
        </row>
        <row r="1067">
          <cell r="D1067" t="str">
            <v>Door 1 - Community Center 1</v>
          </cell>
        </row>
        <row r="1068">
          <cell r="D1068" t="str">
            <v>Door 2 - Community Center 1</v>
          </cell>
        </row>
        <row r="1069">
          <cell r="D1069" t="str">
            <v>Window 1 - Community Center 1</v>
          </cell>
        </row>
        <row r="1070">
          <cell r="D1070" t="str">
            <v>Window 2 - Community Center 1</v>
          </cell>
        </row>
        <row r="1071">
          <cell r="D1071" t="str">
            <v>Window 3 - Community Center 1</v>
          </cell>
        </row>
        <row r="1073">
          <cell r="D1073" t="str">
            <v>Door 1 - Community Center 2</v>
          </cell>
        </row>
        <row r="1074">
          <cell r="D1074" t="str">
            <v>Door 2 - Community Center 2</v>
          </cell>
        </row>
        <row r="1075">
          <cell r="D1075" t="str">
            <v>Window 1 - Community Center 2</v>
          </cell>
        </row>
        <row r="1076">
          <cell r="D1076" t="str">
            <v>Window 2 - Community Center 2</v>
          </cell>
        </row>
        <row r="1077">
          <cell r="D1077" t="str">
            <v>Window 3 - Community Center 2</v>
          </cell>
        </row>
        <row r="1079">
          <cell r="D1079" t="str">
            <v xml:space="preserve">Door 1 - Trading Center </v>
          </cell>
        </row>
        <row r="1080">
          <cell r="D1080" t="str">
            <v xml:space="preserve">Door 2 - Trading Center </v>
          </cell>
        </row>
        <row r="1081">
          <cell r="D1081" t="str">
            <v xml:space="preserve">Panel Door  - Trading Center </v>
          </cell>
        </row>
        <row r="1082">
          <cell r="D1082" t="str">
            <v>Window 1 - Trading Center</v>
          </cell>
        </row>
        <row r="1083">
          <cell r="D1083" t="str">
            <v>Window 2 - Trading Center</v>
          </cell>
        </row>
        <row r="1084">
          <cell r="D1084" t="str">
            <v>Window 3 - Trading Center</v>
          </cell>
        </row>
        <row r="1086">
          <cell r="D1086" t="str">
            <v>FACILITIES FOR ENGINEER</v>
          </cell>
        </row>
        <row r="1087">
          <cell r="D1087" t="str">
            <v>Temporary Field Office/Quarter (2 Container Van w/ Shed)</v>
          </cell>
        </row>
        <row r="1088">
          <cell r="D1088" t="str">
            <v>Temporary Field Office/Quarter</v>
          </cell>
        </row>
        <row r="1089">
          <cell r="D1089" t="str">
            <v>Airconditioning Unit</v>
          </cell>
        </row>
        <row r="1090">
          <cell r="D1090" t="str">
            <v>Computer Pentium 4 w/ HP Deskject Printer (Latest Model)</v>
          </cell>
        </row>
        <row r="1091">
          <cell r="D1091" t="str">
            <v>Office Furnitures/Equipment (Items 81.70, 81.80 and 81.90)</v>
          </cell>
        </row>
        <row r="1092">
          <cell r="D1092" t="str">
            <v>Office Supplies/Water/Electricity</v>
          </cell>
        </row>
        <row r="1093">
          <cell r="D1093" t="str">
            <v>Furnishing on Rental Basis (Mat'ls Laboratory, Operations &amp; Maintenance)</v>
          </cell>
        </row>
        <row r="1094">
          <cell r="D1094" t="str">
            <v>Progress Photographed</v>
          </cell>
        </row>
        <row r="1096">
          <cell r="D1096" t="str">
            <v>OFFICE FURNITURES</v>
          </cell>
        </row>
        <row r="1097">
          <cell r="D1097" t="str">
            <v>Office Table</v>
          </cell>
        </row>
        <row r="1098">
          <cell r="D1098" t="str">
            <v>Office Chairs</v>
          </cell>
        </row>
        <row r="1099">
          <cell r="D1099" t="str">
            <v>Bench</v>
          </cell>
        </row>
        <row r="1100">
          <cell r="D1100" t="str">
            <v>Plywood Board</v>
          </cell>
        </row>
        <row r="1102">
          <cell r="D1102" t="str">
            <v>SIGNAGES</v>
          </cell>
        </row>
        <row r="1103">
          <cell r="D1103" t="str">
            <v>Plate Marker</v>
          </cell>
        </row>
        <row r="1104">
          <cell r="D1104" t="str">
            <v>Marker Pedestal</v>
          </cell>
        </row>
        <row r="1105">
          <cell r="D1105" t="str">
            <v>Stainless Steel Plaque</v>
          </cell>
        </row>
        <row r="1106">
          <cell r="D1106" t="str">
            <v>Stainless Steel Plaque w/ Concrete Pedestal</v>
          </cell>
        </row>
        <row r="1107">
          <cell r="D1107" t="str">
            <v>Wooden Type Project Information Signboard</v>
          </cell>
        </row>
        <row r="1108">
          <cell r="D1108" t="str">
            <v>Steel Type Project Information Signboard</v>
          </cell>
        </row>
        <row r="1109">
          <cell r="D1109" t="str">
            <v>Signage</v>
          </cell>
        </row>
        <row r="1110">
          <cell r="D1110" t="str">
            <v>Plate Marker w/ Pedestal</v>
          </cell>
        </row>
        <row r="1113">
          <cell r="D1113" t="str">
            <v>PERMITS &amp; LICENSES</v>
          </cell>
        </row>
        <row r="1114">
          <cell r="D1114" t="str">
            <v>Warehouse</v>
          </cell>
        </row>
        <row r="1115">
          <cell r="D1115" t="str">
            <v>Solar Dryer</v>
          </cell>
        </row>
        <row r="1116">
          <cell r="D1116" t="str">
            <v>Community Center 1</v>
          </cell>
        </row>
        <row r="1118">
          <cell r="D1118" t="str">
            <v>( LIQUIFIED AND PRESSURE GASES )</v>
          </cell>
        </row>
        <row r="1119">
          <cell r="D1119" t="str">
            <v>Oxygen Gas</v>
          </cell>
        </row>
        <row r="1120">
          <cell r="D1120" t="str">
            <v>Acetylene Gas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s"/>
      <sheetName val="Source"/>
    </sheetNames>
    <sheetDataSet>
      <sheetData sheetId="0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ank"/>
      <sheetName val="Scope of Works"/>
      <sheetName val="Compo Bill"/>
      <sheetName val="Detailed"/>
      <sheetName val="Counterpart-Lato2x"/>
      <sheetName val="01Detailed counterpart"/>
      <sheetName val="Counterpart- bATO2X"/>
      <sheetName val="Counterpart"/>
      <sheetName val="Qty Calculation"/>
      <sheetName val="Concrete FENDER PILE"/>
      <sheetName val="BAR CHART"/>
      <sheetName val="Detailed counterpart ref"/>
      <sheetName val="Cost Data Base"/>
      <sheetName val="Menu"/>
      <sheetName val="Materials"/>
      <sheetName val="Manpower"/>
      <sheetName val="Transport"/>
      <sheetName val="Equipment"/>
      <sheetName val="Project List"/>
      <sheetName val="VBA_UsageExample"/>
      <sheetName val="VBA_Wrapper"/>
      <sheetName val="VBA_32bit"/>
      <sheetName val="VBA_16bit"/>
      <sheetName val="CCenter"/>
      <sheetName val="Update"/>
      <sheetName val="Transport Result"/>
      <sheetName val="Aggregates"/>
      <sheetName val="Rod"/>
      <sheetName val="Andrew"/>
      <sheetName val="Bebot"/>
      <sheetName val="Anna"/>
      <sheetName val="Elmer"/>
      <sheetName val="Ruben"/>
      <sheetName val="Rod (7)"/>
      <sheetName val="Rod (8)"/>
      <sheetName val="Sheet1"/>
      <sheetName val="Glenn"/>
      <sheetName val="orig-less det"/>
      <sheetName val="Counterpart-Sitio Kalubian"/>
      <sheetName val="detcount"/>
      <sheetName val="Detailed-orig"/>
      <sheetName val="Qty Take-off"/>
      <sheetName val="ER"/>
      <sheetName val="SWA"/>
      <sheetName val="S-CURVE"/>
      <sheetName val="RCBC RSB QTY "/>
      <sheetName val="Extracted Information"/>
      <sheetName val="Data"/>
      <sheetName val="Numbers"/>
      <sheetName val="Others"/>
      <sheetName val="BOQ"/>
      <sheetName val="Detailed estimate"/>
      <sheetName val="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1">
          <cell r="D11" t="str">
            <v xml:space="preserve">[C-??? ] - Kanaway Seaweed Solar Dryer Construction </v>
          </cell>
        </row>
        <row r="13">
          <cell r="D13" t="str">
            <v>( AGGREGATES )</v>
          </cell>
        </row>
        <row r="14">
          <cell r="D14" t="str">
            <v>Sand</v>
          </cell>
        </row>
        <row r="15">
          <cell r="D15" t="str">
            <v>Fine Sand</v>
          </cell>
        </row>
        <row r="16">
          <cell r="D16" t="str">
            <v>Gravel</v>
          </cell>
        </row>
        <row r="17">
          <cell r="D17" t="str">
            <v>Gravel Bedding</v>
          </cell>
        </row>
        <row r="18">
          <cell r="D18" t="str">
            <v>Stone</v>
          </cell>
        </row>
        <row r="19">
          <cell r="D19" t="str">
            <v>Boulders / Stone</v>
          </cell>
        </row>
        <row r="20">
          <cell r="D20" t="str">
            <v>Boulders (20-30 cm dia.)</v>
          </cell>
        </row>
        <row r="21">
          <cell r="D21" t="str">
            <v>Filling Materials</v>
          </cell>
        </row>
        <row r="22">
          <cell r="D22" t="str">
            <v>Aggregate Surface Course (Item 300)</v>
          </cell>
        </row>
        <row r="23">
          <cell r="D23" t="str">
            <v>Aggregate Sub Base Course (Item 200)</v>
          </cell>
        </row>
        <row r="24">
          <cell r="D24" t="str">
            <v>Aggregate Base Course (Item 201)</v>
          </cell>
        </row>
        <row r="25">
          <cell r="D25" t="str">
            <v>Crushed Aggregate Base Course (Item 202)</v>
          </cell>
        </row>
        <row r="26">
          <cell r="D26" t="str">
            <v>Surface Base Course</v>
          </cell>
        </row>
        <row r="27">
          <cell r="D27" t="str">
            <v>Common Borrow</v>
          </cell>
        </row>
        <row r="28">
          <cell r="D28" t="str">
            <v>Gravelfill</v>
          </cell>
        </row>
        <row r="29">
          <cell r="D29" t="str">
            <v>Sand Fill</v>
          </cell>
        </row>
        <row r="30">
          <cell r="D30" t="str">
            <v>Granular Fill</v>
          </cell>
        </row>
        <row r="31">
          <cell r="D31" t="str">
            <v>Rock / Boulder (50-200 kg)</v>
          </cell>
        </row>
        <row r="32">
          <cell r="D32" t="str">
            <v>Rock / Boulder (100-200 kg)</v>
          </cell>
        </row>
        <row r="33">
          <cell r="D33" t="str">
            <v>2" Mixed Gravel</v>
          </cell>
        </row>
        <row r="34">
          <cell r="D34" t="str">
            <v>1" Mixed Gravel</v>
          </cell>
        </row>
        <row r="35">
          <cell r="D35" t="str">
            <v>Screened Pebbles</v>
          </cell>
        </row>
        <row r="37">
          <cell r="D37" t="str">
            <v>( WATER )</v>
          </cell>
        </row>
        <row r="38">
          <cell r="D38" t="str">
            <v>( WATER )</v>
          </cell>
        </row>
        <row r="39">
          <cell r="D39" t="str">
            <v>Water</v>
          </cell>
        </row>
        <row r="40">
          <cell r="D40" t="str">
            <v>( CEMENT )</v>
          </cell>
        </row>
        <row r="41">
          <cell r="D41" t="str">
            <v>( CEMENT )</v>
          </cell>
        </row>
        <row r="42">
          <cell r="D42" t="str">
            <v>Portland Cement 40kg</v>
          </cell>
        </row>
        <row r="43">
          <cell r="D43" t="str">
            <v>Pozzoland Cement 40 kg</v>
          </cell>
        </row>
        <row r="44">
          <cell r="D44" t="str">
            <v>Cement Accelerator (Plasticizer 1000P)</v>
          </cell>
        </row>
        <row r="45">
          <cell r="D45" t="str">
            <v>Waterproofing Cement (Flexcon)</v>
          </cell>
        </row>
        <row r="46">
          <cell r="D46" t="str">
            <v>Red cement</v>
          </cell>
        </row>
        <row r="47">
          <cell r="D47" t="str">
            <v>White Cement</v>
          </cell>
        </row>
        <row r="48">
          <cell r="D48" t="str">
            <v>Water Sealant Cement</v>
          </cell>
        </row>
        <row r="49">
          <cell r="D49" t="str">
            <v>Bentonite</v>
          </cell>
        </row>
        <row r="50">
          <cell r="D50" t="str">
            <v>Epoxy Grout</v>
          </cell>
        </row>
        <row r="51">
          <cell r="D51" t="str">
            <v>Epoxy Resin</v>
          </cell>
        </row>
        <row r="52">
          <cell r="D52" t="str">
            <v>Non-Shrink Grout</v>
          </cell>
        </row>
        <row r="53">
          <cell r="D53" t="str">
            <v>Emulsified Asphalt</v>
          </cell>
        </row>
        <row r="54">
          <cell r="D54" t="str">
            <v>Bituminous Asphalt</v>
          </cell>
        </row>
        <row r="55">
          <cell r="D55" t="str">
            <v>Curing Compound</v>
          </cell>
        </row>
        <row r="56">
          <cell r="D56" t="str">
            <v>( CEMENT PRODUCTS )</v>
          </cell>
        </row>
        <row r="57">
          <cell r="D57" t="str">
            <v>( CEMENT PRODUCTS )</v>
          </cell>
        </row>
        <row r="58">
          <cell r="D58" t="str">
            <v>100mm Conc. Hollow Block</v>
          </cell>
        </row>
        <row r="59">
          <cell r="D59" t="str">
            <v>150mm Conc. Hollow Block</v>
          </cell>
        </row>
        <row r="60">
          <cell r="D60" t="str">
            <v>Decorative Concrete Block (Louver Type)</v>
          </cell>
        </row>
        <row r="61">
          <cell r="D61" t="str">
            <v>250mm x 250mm Decorative Concrete Block</v>
          </cell>
        </row>
        <row r="62">
          <cell r="D62" t="str">
            <v>300mmØ RC Pipe Culvert</v>
          </cell>
        </row>
        <row r="63">
          <cell r="D63" t="str">
            <v>460mmØ RC Pipe Culvert</v>
          </cell>
        </row>
        <row r="64">
          <cell r="D64" t="str">
            <v>610mmØ RC Pipe Culvert</v>
          </cell>
        </row>
        <row r="65">
          <cell r="D65" t="str">
            <v>760mmØ RC Pipe Culvert</v>
          </cell>
        </row>
        <row r="66">
          <cell r="D66" t="str">
            <v>910mmØ RC Pipe Culvert</v>
          </cell>
        </row>
        <row r="67">
          <cell r="D67" t="str">
            <v>1220mmØ RC Pipe Culvert</v>
          </cell>
        </row>
        <row r="68">
          <cell r="D68" t="str">
            <v>1520mmØ RC Pipe Culvert</v>
          </cell>
        </row>
        <row r="69">
          <cell r="D69" t="str">
            <v>3"dia. Conc. Baluster, 18"</v>
          </cell>
        </row>
        <row r="70">
          <cell r="D70" t="str">
            <v>PRESTRESSED PILES</v>
          </cell>
        </row>
        <row r="71">
          <cell r="D71" t="str">
            <v>PRESTRESSED PILES</v>
          </cell>
        </row>
        <row r="72">
          <cell r="D72" t="str">
            <v>PSC Piles, 400mm x 400mm x 10m.</v>
          </cell>
        </row>
        <row r="73">
          <cell r="D73" t="str">
            <v>PSC Piles, 400mm x 400mm x 10m.</v>
          </cell>
        </row>
        <row r="74">
          <cell r="D74" t="str">
            <v>PSC Piles, 400mm x 400mm x 12m.</v>
          </cell>
        </row>
        <row r="75">
          <cell r="D75" t="str">
            <v>PSC Piles, 400mm x 400mm x 14m.</v>
          </cell>
        </row>
        <row r="76">
          <cell r="D76" t="str">
            <v>PSC Piles, 400mm x 400mm x 21m.</v>
          </cell>
        </row>
        <row r="77">
          <cell r="D77" t="str">
            <v>PSC Piles, 400mm x 400mm x 22m.</v>
          </cell>
        </row>
        <row r="78">
          <cell r="D78" t="str">
            <v>PSC Piles, 400mm x 400mm x 24m.</v>
          </cell>
        </row>
        <row r="79">
          <cell r="D79" t="str">
            <v>PSC Test Piles, 400mm x 400mm x 10m.</v>
          </cell>
        </row>
        <row r="80">
          <cell r="D80" t="str">
            <v>PSC Test Piles, 400mm x 400mm x 10m.</v>
          </cell>
        </row>
        <row r="81">
          <cell r="D81" t="str">
            <v>PSC Test Piles, 400mm x 400mm x 12m.</v>
          </cell>
        </row>
        <row r="82">
          <cell r="D82" t="str">
            <v>PSC Test Piles, 400mm x 400mm x 14m.</v>
          </cell>
        </row>
        <row r="83">
          <cell r="D83" t="str">
            <v>PSC Test Piles, 400mm x 400mm x 21m.</v>
          </cell>
        </row>
        <row r="84">
          <cell r="D84" t="str">
            <v>PSC Test Piles, 400mm x 400mm x 22m.</v>
          </cell>
        </row>
        <row r="85">
          <cell r="D85" t="str">
            <v xml:space="preserve">PSC Test Piles, 400mm x 400mm x 24m. </v>
          </cell>
        </row>
        <row r="87">
          <cell r="D87" t="str">
            <v xml:space="preserve">PSC Test Piles, 450mm x 450mm x 35m. </v>
          </cell>
        </row>
        <row r="88">
          <cell r="D88" t="str">
            <v xml:space="preserve">PSC Test Piles, 450mm x 450mm x 35m. </v>
          </cell>
        </row>
        <row r="89">
          <cell r="D89" t="str">
            <v>PSC Piles, 450mm x 450mm x 35m.</v>
          </cell>
        </row>
        <row r="90">
          <cell r="D90" t="str">
            <v xml:space="preserve">PSC Test Piles, 450mm x 450mm x 25m. </v>
          </cell>
        </row>
        <row r="91">
          <cell r="D91" t="str">
            <v>PSC Piles, 450mm x 450mm x 25m.</v>
          </cell>
        </row>
        <row r="93">
          <cell r="D93" t="str">
            <v xml:space="preserve">PSC Test Piles, 400mm x 400mm x 40m. </v>
          </cell>
        </row>
        <row r="94">
          <cell r="D94" t="str">
            <v xml:space="preserve">PSC Test Piles, 400mm x 400mm x 40m. </v>
          </cell>
        </row>
        <row r="95">
          <cell r="D95" t="str">
            <v>PSC Piles, 400mm x 400mm x 40m.</v>
          </cell>
        </row>
        <row r="97">
          <cell r="D97" t="str">
            <v xml:space="preserve">PSC Test Piles - 400mm x 400mm x 24m. </v>
          </cell>
        </row>
        <row r="98">
          <cell r="D98" t="str">
            <v xml:space="preserve">PSC Test Piles - 400mm x 400mm x 24m. </v>
          </cell>
        </row>
        <row r="99">
          <cell r="D99" t="str">
            <v>PSC Piles - 400mm x 400mm x 24m.</v>
          </cell>
        </row>
        <row r="102">
          <cell r="D102" t="str">
            <v>Steel Piles</v>
          </cell>
        </row>
        <row r="103">
          <cell r="D103" t="str">
            <v>Steel Piles</v>
          </cell>
        </row>
        <row r="104">
          <cell r="D104" t="str">
            <v>Steel Sheet Pile (PZ27)</v>
          </cell>
        </row>
        <row r="105">
          <cell r="D105" t="str">
            <v>Steel Sheet Piles (PZ27)</v>
          </cell>
        </row>
        <row r="106">
          <cell r="D106" t="str">
            <v>Steel Pipe Pile (Ø 450 x 12t x 18m. - SKK400)</v>
          </cell>
        </row>
        <row r="107">
          <cell r="D107" t="str">
            <v>Steel Pipe Pile (Ø 150 x 12t x 6m. - SKK400)</v>
          </cell>
        </row>
        <row r="108">
          <cell r="D108" t="str">
            <v>Steel Sheet Pile (for Cofferdam)</v>
          </cell>
        </row>
        <row r="110">
          <cell r="D110" t="str">
            <v>( TIMBER and INDIGENOUS MATERIALS )</v>
          </cell>
        </row>
        <row r="111">
          <cell r="D111" t="str">
            <v>( TIMBER and INDIGENOUS MATERIALS )</v>
          </cell>
        </row>
        <row r="112">
          <cell r="D112" t="str">
            <v>Yakal Specie</v>
          </cell>
        </row>
        <row r="113">
          <cell r="D113" t="str">
            <v>1" x 6" (Yakal)</v>
          </cell>
        </row>
        <row r="114">
          <cell r="D114" t="str">
            <v>1" x 8" (Yakal)</v>
          </cell>
        </row>
        <row r="115">
          <cell r="D115" t="str">
            <v>2" x 2" (Yakal)</v>
          </cell>
        </row>
        <row r="116">
          <cell r="D116" t="str">
            <v>2" x 6" (Yakal)</v>
          </cell>
        </row>
        <row r="117">
          <cell r="D117" t="str">
            <v>2" x 4" (Yakal or equivalent)</v>
          </cell>
        </row>
        <row r="118">
          <cell r="D118" t="str">
            <v>2" x 4" (Yakal)</v>
          </cell>
        </row>
        <row r="119">
          <cell r="D119" t="str">
            <v>2" x 3" (Yakal)</v>
          </cell>
        </row>
        <row r="120">
          <cell r="D120" t="str">
            <v>2" x 3" (Yakal or equivalent)</v>
          </cell>
        </row>
        <row r="121">
          <cell r="D121" t="str">
            <v>2" x 6" (Yakal or equivalent)</v>
          </cell>
        </row>
        <row r="122">
          <cell r="D122" t="str">
            <v>2" x 6" x 6' (Yakal)</v>
          </cell>
        </row>
        <row r="123">
          <cell r="D123" t="str">
            <v>2" x 6" x 6' (Yakal or equivalent)</v>
          </cell>
        </row>
        <row r="124">
          <cell r="D124" t="str">
            <v>2" x 6" x 8' (Yakal)</v>
          </cell>
        </row>
        <row r="125">
          <cell r="D125" t="str">
            <v>2" x 6" x 10' (Yakal)</v>
          </cell>
        </row>
        <row r="126">
          <cell r="D126" t="str">
            <v>2" x 6" x 12' (Yakal)</v>
          </cell>
        </row>
        <row r="127">
          <cell r="D127" t="str">
            <v>2" x 6" x 14' (Yakal)</v>
          </cell>
        </row>
        <row r="128">
          <cell r="D128" t="str">
            <v>3" x 4" (Yakal)</v>
          </cell>
        </row>
        <row r="129">
          <cell r="D129" t="str">
            <v>4" x 4" (Yakal)</v>
          </cell>
        </row>
        <row r="130">
          <cell r="D130" t="str">
            <v>3" x 4" (Yakal or equivalent)</v>
          </cell>
        </row>
        <row r="131">
          <cell r="D131" t="str">
            <v>3" x 4" x 8' (Yakal)</v>
          </cell>
        </row>
        <row r="132">
          <cell r="D132" t="str">
            <v>3" x 4" x 10' (Yakal)</v>
          </cell>
        </row>
        <row r="133">
          <cell r="D133" t="str">
            <v>6" x 6" (Yakal)</v>
          </cell>
        </row>
        <row r="134">
          <cell r="D134" t="str">
            <v>6" x 6" (Yakal or equivalent)</v>
          </cell>
        </row>
        <row r="135">
          <cell r="D135" t="str">
            <v>Yakal</v>
          </cell>
        </row>
        <row r="138">
          <cell r="D138" t="str">
            <v>Molave Specie</v>
          </cell>
        </row>
        <row r="139">
          <cell r="D139" t="str">
            <v>Molave Specie</v>
          </cell>
        </row>
        <row r="140">
          <cell r="D140" t="str">
            <v>6" x 6" (Molave)</v>
          </cell>
        </row>
        <row r="141">
          <cell r="D141" t="str">
            <v>6" x 6" (Molave or equivalent)</v>
          </cell>
        </row>
        <row r="142">
          <cell r="D142" t="str">
            <v>6" x 6" x 10' (Yakal)</v>
          </cell>
        </row>
        <row r="143">
          <cell r="D143" t="str">
            <v>6" x 6" x 8' (Molave)</v>
          </cell>
        </row>
        <row r="144">
          <cell r="D144" t="str">
            <v>6" x 6" x 10' (Molave)</v>
          </cell>
        </row>
        <row r="145">
          <cell r="D145" t="str">
            <v>6" x 6" x 14' (Molave)</v>
          </cell>
        </row>
        <row r="146">
          <cell r="D146" t="str">
            <v>6" x 6" x 16' (Molave)</v>
          </cell>
        </row>
        <row r="147">
          <cell r="D147" t="str">
            <v>6" x 6" x 18' (Molave)</v>
          </cell>
        </row>
        <row r="148">
          <cell r="D148" t="str">
            <v>6" x 6" x 20' (Molave)</v>
          </cell>
        </row>
        <row r="149">
          <cell r="D149" t="str">
            <v>6" x 6" x 22' (Molave)</v>
          </cell>
        </row>
        <row r="150">
          <cell r="D150" t="str">
            <v>8" Ø Molave Pile</v>
          </cell>
        </row>
        <row r="151">
          <cell r="D151" t="str">
            <v>Tambulian Specie</v>
          </cell>
        </row>
        <row r="152">
          <cell r="D152" t="str">
            <v>Tambulian Specie</v>
          </cell>
        </row>
        <row r="153">
          <cell r="D153" t="str">
            <v>Tambulian</v>
          </cell>
        </row>
        <row r="155">
          <cell r="D155" t="str">
            <v>Gullum Specie</v>
          </cell>
        </row>
        <row r="156">
          <cell r="D156" t="str">
            <v>Gullum Specie</v>
          </cell>
        </row>
        <row r="157">
          <cell r="D157" t="str">
            <v>Gullum</v>
          </cell>
        </row>
        <row r="158">
          <cell r="D158" t="str">
            <v>Lauan Specie</v>
          </cell>
        </row>
        <row r="159">
          <cell r="D159" t="str">
            <v>Lauan Specie</v>
          </cell>
        </row>
        <row r="160">
          <cell r="D160" t="str">
            <v>Lauan</v>
          </cell>
        </row>
        <row r="162">
          <cell r="D162" t="str">
            <v>Others Specie</v>
          </cell>
        </row>
        <row r="163">
          <cell r="D163" t="str">
            <v>Others Specie</v>
          </cell>
        </row>
        <row r="164">
          <cell r="D164" t="str">
            <v>Guijo</v>
          </cell>
        </row>
        <row r="165">
          <cell r="D165" t="str">
            <v>Apitong</v>
          </cell>
        </row>
        <row r="166">
          <cell r="D166" t="str">
            <v>Coco Trunks</v>
          </cell>
        </row>
        <row r="167">
          <cell r="D167" t="str">
            <v>Coco Lumber</v>
          </cell>
        </row>
        <row r="168">
          <cell r="D168" t="str">
            <v>Coco Lumber (Miscut)</v>
          </cell>
        </row>
        <row r="169">
          <cell r="D169" t="str">
            <v>Falsework &amp; Scaffolds (Coco Lumber)</v>
          </cell>
        </row>
        <row r="170">
          <cell r="D170" t="str">
            <v>Falsework, Scaffolds &amp; Formworks (Coco Lumber)</v>
          </cell>
        </row>
        <row r="171">
          <cell r="D171" t="str">
            <v>Bamboo Poles</v>
          </cell>
        </row>
        <row r="172">
          <cell r="D172" t="str">
            <v>1½"   Bamboo Slats</v>
          </cell>
        </row>
        <row r="173">
          <cell r="D173" t="str">
            <v>Bamboo Slats</v>
          </cell>
        </row>
        <row r="174">
          <cell r="D174" t="str">
            <v>Bacauan</v>
          </cell>
        </row>
        <row r="175">
          <cell r="D175" t="str">
            <v>Tambulian or Equivalent</v>
          </cell>
        </row>
        <row r="176">
          <cell r="D176" t="str">
            <v>Nipa Shingles</v>
          </cell>
        </row>
        <row r="177">
          <cell r="D177" t="str">
            <v>Gemilina</v>
          </cell>
        </row>
        <row r="178">
          <cell r="D178" t="str">
            <v>( TIMBER PRODUCTS )</v>
          </cell>
        </row>
        <row r="179">
          <cell r="D179" t="str">
            <v>( TIMBER PRODUCTS )</v>
          </cell>
        </row>
        <row r="180">
          <cell r="D180" t="str">
            <v>Mouldings and Slats</v>
          </cell>
        </row>
        <row r="181">
          <cell r="D181" t="str">
            <v>S-Type Mouldings/Cornice</v>
          </cell>
        </row>
        <row r="182">
          <cell r="D182" t="str">
            <v>0.70 x 1.00 fixed Louvers</v>
          </cell>
        </row>
        <row r="183">
          <cell r="D183" t="str">
            <v>Wall Boards, T&amp;G, stone-cut, etc.</v>
          </cell>
        </row>
        <row r="184">
          <cell r="D184" t="str">
            <v>¼" thk, Ordinary Plywood</v>
          </cell>
        </row>
        <row r="185">
          <cell r="D185" t="str">
            <v>3/8" thk, Ordinary Plywood</v>
          </cell>
        </row>
        <row r="186">
          <cell r="D186" t="str">
            <v>½" thk, Ordinary Plywood</v>
          </cell>
        </row>
        <row r="187">
          <cell r="D187" t="str">
            <v>½" thk, Hardiflex</v>
          </cell>
        </row>
        <row r="188">
          <cell r="D188" t="str">
            <v>3/4" thk,  Ordinary Plywood</v>
          </cell>
        </row>
        <row r="189">
          <cell r="D189" t="str">
            <v>¼" thk,  Marine Plywood</v>
          </cell>
        </row>
        <row r="190">
          <cell r="D190" t="str">
            <v>½" thk,  Marine Plywood</v>
          </cell>
        </row>
        <row r="191">
          <cell r="D191" t="str">
            <v>3/8" thk,  Form Plywood</v>
          </cell>
        </row>
        <row r="192">
          <cell r="D192" t="str">
            <v>4" x 8' Stone-Cut T&amp;G</v>
          </cell>
        </row>
        <row r="193">
          <cell r="D193" t="str">
            <v>4" x 8' Stone-Cut T&amp;G</v>
          </cell>
        </row>
        <row r="194">
          <cell r="D194" t="str">
            <v>Wooden Door Set</v>
          </cell>
        </row>
        <row r="195">
          <cell r="D195" t="str">
            <v>Wooden Window Set w/ Steel Grilles</v>
          </cell>
        </row>
        <row r="196">
          <cell r="D196" t="str">
            <v>Wooden Window-1 Set w/ Steel Grilles</v>
          </cell>
        </row>
        <row r="197">
          <cell r="D197" t="str">
            <v>Wooden Window-2 Set w/ Steel Grilles</v>
          </cell>
        </row>
        <row r="198">
          <cell r="D198" t="str">
            <v>Wooden Window-2 Set w/ Steel Grilles</v>
          </cell>
        </row>
        <row r="199">
          <cell r="D199" t="str">
            <v>Wooden Door-1 Set</v>
          </cell>
        </row>
        <row r="200">
          <cell r="D200" t="str">
            <v>Wooden Door-2 Set</v>
          </cell>
        </row>
        <row r="201">
          <cell r="D201" t="str">
            <v>Wooden Door-3 Set</v>
          </cell>
        </row>
        <row r="202">
          <cell r="D202" t="str">
            <v>Wooden Window Set</v>
          </cell>
        </row>
        <row r="203">
          <cell r="D203" t="str">
            <v>Wooden Window Set</v>
          </cell>
        </row>
        <row r="204">
          <cell r="D204" t="str">
            <v>Wooden Window Set w/ Steel Grilles</v>
          </cell>
        </row>
        <row r="205">
          <cell r="D205" t="str">
            <v>Wooden Window Set w/ Steel Grilles</v>
          </cell>
        </row>
        <row r="206">
          <cell r="D206" t="str">
            <v>Wooden Window-1 Set w/ Steel Grilles</v>
          </cell>
        </row>
        <row r="207">
          <cell r="D207" t="str">
            <v>Wooden Window-2 Set w/ Steel Grilles</v>
          </cell>
        </row>
        <row r="208">
          <cell r="D208" t="str">
            <v>Wooden Window-2 Set w/ Steel Grilles</v>
          </cell>
        </row>
        <row r="209">
          <cell r="D209" t="str">
            <v>( FLAT &amp; ROUND STEEL BARS )</v>
          </cell>
        </row>
        <row r="210">
          <cell r="D210" t="str">
            <v>( FLAT &amp; ROUND STEEL BARS )</v>
          </cell>
        </row>
        <row r="211">
          <cell r="D211" t="str">
            <v>Deformed Bars, Grade 60</v>
          </cell>
        </row>
        <row r="212">
          <cell r="D212" t="str">
            <v>Deformed Bars, Grade 40</v>
          </cell>
        </row>
        <row r="213">
          <cell r="D213" t="str">
            <v>Deformed Bars, Grade 33</v>
          </cell>
        </row>
        <row r="214">
          <cell r="D214" t="str">
            <v xml:space="preserve">6mmØ x 6m. RSB </v>
          </cell>
        </row>
        <row r="215">
          <cell r="D215" t="str">
            <v xml:space="preserve">8mmØ x 6m. RSB </v>
          </cell>
        </row>
        <row r="216">
          <cell r="D216" t="str">
            <v xml:space="preserve">10mmØ x 6m. RSB </v>
          </cell>
        </row>
        <row r="217">
          <cell r="D217" t="str">
            <v xml:space="preserve">12mmØ x 6m. RSB </v>
          </cell>
        </row>
        <row r="218">
          <cell r="D218" t="str">
            <v>Deformed Bars, (414 Mpa)</v>
          </cell>
        </row>
        <row r="219">
          <cell r="D219" t="str">
            <v>Deformed Bars, Grade 33</v>
          </cell>
        </row>
        <row r="220">
          <cell r="D220" t="str">
            <v>Deformed Bars, (230 Mpa)</v>
          </cell>
        </row>
        <row r="221">
          <cell r="D221" t="str">
            <v>Plain Round Bars, Grade 33</v>
          </cell>
        </row>
        <row r="222">
          <cell r="D222" t="str">
            <v>12mm  Suction Rod with Threaded Coupling</v>
          </cell>
        </row>
        <row r="223">
          <cell r="D223" t="str">
            <v>Square Bar</v>
          </cell>
        </row>
        <row r="224">
          <cell r="D224" t="str">
            <v>¼" X 2½" Flat Bar</v>
          </cell>
        </row>
        <row r="225">
          <cell r="D225" t="str">
            <v>3mm x 40mm Flat Bar</v>
          </cell>
        </row>
        <row r="226">
          <cell r="D226" t="str">
            <v>63mm x 4.5mm Flat Bar</v>
          </cell>
        </row>
        <row r="227">
          <cell r="D227" t="str">
            <v>36mmØ Splicing Bar</v>
          </cell>
        </row>
        <row r="228">
          <cell r="D228" t="str">
            <v>36mmØ Splicing Bar</v>
          </cell>
        </row>
        <row r="229">
          <cell r="D229" t="str">
            <v>10mmØ x 6m. RSB Grade 33</v>
          </cell>
        </row>
        <row r="230">
          <cell r="D230" t="str">
            <v>10mmØ x 6m. RSB Grade 33</v>
          </cell>
        </row>
        <row r="231">
          <cell r="D231" t="str">
            <v>10mmØ x 9m. RSB Grade 33</v>
          </cell>
        </row>
        <row r="232">
          <cell r="D232" t="str">
            <v>12mmØ x 6m. RSB Grade 33</v>
          </cell>
        </row>
        <row r="233">
          <cell r="D233" t="str">
            <v>12mmØ x 7.5m. RSB Grade 33</v>
          </cell>
        </row>
        <row r="234">
          <cell r="D234" t="str">
            <v>12mmØ x 9m. RSB Grade 33</v>
          </cell>
        </row>
        <row r="235">
          <cell r="D235" t="str">
            <v>16mmØ x 6m. RSB Grade 33</v>
          </cell>
        </row>
        <row r="236">
          <cell r="D236" t="str">
            <v>16mmØ x 7.5m. RSB Grade 33</v>
          </cell>
        </row>
        <row r="237">
          <cell r="D237" t="str">
            <v>16mmØ x 9m. RSB Grade 33</v>
          </cell>
        </row>
        <row r="238">
          <cell r="D238" t="str">
            <v>20mmØ x 6m. RSB Grade 33</v>
          </cell>
        </row>
        <row r="239">
          <cell r="D239" t="str">
            <v>20mmØ x 7.5m. RSB Grade 33</v>
          </cell>
        </row>
        <row r="240">
          <cell r="D240" t="str">
            <v>20mmØ x 9m. RSB Grade 33</v>
          </cell>
        </row>
        <row r="241">
          <cell r="D241" t="str">
            <v>25mmØ x 6m. RSB Grade 33</v>
          </cell>
        </row>
        <row r="242">
          <cell r="D242" t="str">
            <v>25mmØ x 7.5m. RSB Grade 33</v>
          </cell>
        </row>
        <row r="243">
          <cell r="D243" t="str">
            <v>25mmØ x 9m. RSB Grade 33</v>
          </cell>
        </row>
        <row r="244">
          <cell r="D244" t="str">
            <v>25mmØ x 9m. RSB Grade 33</v>
          </cell>
        </row>
        <row r="245">
          <cell r="D245" t="str">
            <v>6mmØ - Grade 33</v>
          </cell>
        </row>
        <row r="246">
          <cell r="D246" t="str">
            <v>8mmØ - Grade 33</v>
          </cell>
        </row>
        <row r="247">
          <cell r="D247" t="str">
            <v>10mmØ - Grade 33</v>
          </cell>
        </row>
        <row r="248">
          <cell r="D248" t="str">
            <v>12mmØ - Grade 33</v>
          </cell>
        </row>
        <row r="249">
          <cell r="D249" t="str">
            <v>16mmØ - Grade 33</v>
          </cell>
        </row>
        <row r="250">
          <cell r="D250" t="str">
            <v>20mmØ - Grade 33</v>
          </cell>
        </row>
        <row r="251">
          <cell r="D251" t="str">
            <v>25mmØ - Grade 33</v>
          </cell>
        </row>
        <row r="252">
          <cell r="D252" t="str">
            <v>Reinforcing Bars - Grade 33</v>
          </cell>
        </row>
        <row r="253">
          <cell r="D253" t="str">
            <v>Reinforcing Bars - Grade 33</v>
          </cell>
        </row>
        <row r="254">
          <cell r="D254" t="str">
            <v>6mmØ - Grade 40</v>
          </cell>
        </row>
        <row r="255">
          <cell r="D255" t="str">
            <v>8mmØ - Grade 40</v>
          </cell>
        </row>
        <row r="256">
          <cell r="D256" t="str">
            <v>10mmØ - Grade 40</v>
          </cell>
        </row>
        <row r="257">
          <cell r="D257" t="str">
            <v>12mmØ - Grade 40</v>
          </cell>
        </row>
        <row r="258">
          <cell r="D258" t="str">
            <v>16mmØ - Grade 40</v>
          </cell>
        </row>
        <row r="259">
          <cell r="D259" t="str">
            <v>20mmØ - Grade 40</v>
          </cell>
        </row>
        <row r="260">
          <cell r="D260" t="str">
            <v>25mmØ - Grade 40</v>
          </cell>
        </row>
        <row r="261">
          <cell r="D261" t="str">
            <v>25mmØ - Grade 40</v>
          </cell>
        </row>
        <row r="262">
          <cell r="D262" t="str">
            <v>10mmØ - Stainless Steel Rod Grade 30</v>
          </cell>
        </row>
        <row r="263">
          <cell r="D263" t="str">
            <v>10mmØ - Stainless Steel Turn Buckle Grade 30</v>
          </cell>
        </row>
        <row r="264">
          <cell r="D264" t="str">
            <v>10mmØ - Stainless Steel Hook Bar Grade 30</v>
          </cell>
        </row>
        <row r="265">
          <cell r="D265" t="str">
            <v>12mmØ - Stainless Steel Rod Grade 30</v>
          </cell>
        </row>
        <row r="266">
          <cell r="D266" t="str">
            <v>12mmØ - Stainless Steel Turn Buckle Grade 30</v>
          </cell>
        </row>
        <row r="267">
          <cell r="D267" t="str">
            <v>12mmØ - Stainless Steel Hook Bar Grade 30</v>
          </cell>
        </row>
        <row r="268">
          <cell r="D268" t="str">
            <v>12mmØ - Stainless Steel Hook Bar Grade 30</v>
          </cell>
        </row>
        <row r="269">
          <cell r="D269" t="str">
            <v>1/8" x 3/4" x 3/4" Angle Bar</v>
          </cell>
        </row>
        <row r="270">
          <cell r="D270" t="str">
            <v>( STRUCTURAL STEEL )</v>
          </cell>
        </row>
        <row r="271">
          <cell r="D271" t="str">
            <v>3/16"x1½"x1½" Angle Bar</v>
          </cell>
        </row>
        <row r="272">
          <cell r="D272" t="str">
            <v>1/8" x 3/4" x 3/4" Angle Bar</v>
          </cell>
        </row>
        <row r="273">
          <cell r="D273" t="str">
            <v>1/8" x 2" x 2" Angle Bar</v>
          </cell>
        </row>
        <row r="274">
          <cell r="D274" t="str">
            <v>3/16" x 2" x 2" Angle Bar</v>
          </cell>
        </row>
        <row r="275">
          <cell r="D275" t="str">
            <v>3/16" x 1" x1" Angle Bar</v>
          </cell>
        </row>
        <row r="276">
          <cell r="D276" t="str">
            <v>3/16" x 1" x1" Angle Bar</v>
          </cell>
        </row>
        <row r="277">
          <cell r="D277" t="str">
            <v>38mm x 38mmx 5mm Angle Bar</v>
          </cell>
        </row>
        <row r="278">
          <cell r="D278" t="str">
            <v>50mm x 50mm x 6mm Angle Bar</v>
          </cell>
        </row>
        <row r="279">
          <cell r="D279" t="str">
            <v>Steel Plate/Bar</v>
          </cell>
        </row>
        <row r="280">
          <cell r="D280" t="str">
            <v>50mm x 50mm x 5.5mm Angle Bar</v>
          </cell>
        </row>
        <row r="281">
          <cell r="D281" t="str">
            <v>1" x 1/4" Flat Bar</v>
          </cell>
        </row>
        <row r="282">
          <cell r="D282" t="str">
            <v>6mm x 50mm Flat Bar</v>
          </cell>
        </row>
        <row r="283">
          <cell r="D283" t="str">
            <v>38mm x 38mmx 5mm Angle Bar</v>
          </cell>
        </row>
        <row r="284">
          <cell r="D284" t="str">
            <v>38mm x 38mmx 6mm Angle Bar</v>
          </cell>
        </row>
        <row r="285">
          <cell r="D285" t="str">
            <v>38mm x 38mmx 5.2mm Angle Bar</v>
          </cell>
        </row>
        <row r="286">
          <cell r="D286" t="str">
            <v>40mm x 40mmx 6mm Angle Bar</v>
          </cell>
        </row>
        <row r="287">
          <cell r="D287" t="str">
            <v>40mm x 40mmx 5.5mm Angle Bar</v>
          </cell>
        </row>
        <row r="288">
          <cell r="D288" t="str">
            <v>25mm x 25mm x 3mm Angle Bar</v>
          </cell>
        </row>
        <row r="289">
          <cell r="D289" t="str">
            <v>25mm x 25mm x 6mm Angle Bar</v>
          </cell>
        </row>
        <row r="290">
          <cell r="D290" t="str">
            <v>50mm x 50mm x 4.5mm Angle Bar</v>
          </cell>
        </row>
        <row r="291">
          <cell r="D291" t="str">
            <v>50mm x 50mm x 5.5mm Angle Bar</v>
          </cell>
        </row>
        <row r="292">
          <cell r="D292" t="str">
            <v>63mm x 63mm x 4.5mm Angle Bar</v>
          </cell>
        </row>
        <row r="293">
          <cell r="D293" t="str">
            <v>3/16" x 2½" x2½" Angle Bar</v>
          </cell>
        </row>
        <row r="294">
          <cell r="D294" t="str">
            <v>100mm x 100mm x 8mm Angle Bar</v>
          </cell>
        </row>
        <row r="295">
          <cell r="D295" t="str">
            <v>100mm x 100mm x 10mm Angle Bar</v>
          </cell>
        </row>
        <row r="296">
          <cell r="D296" t="str">
            <v>100mm x 100mm x 12mm Angle Bar</v>
          </cell>
        </row>
        <row r="297">
          <cell r="D297" t="str">
            <v>Structural Steel, ASTM A36</v>
          </cell>
        </row>
        <row r="298">
          <cell r="D298" t="str">
            <v>Structural Steel Plate 9mm thk., ASTM A36</v>
          </cell>
        </row>
        <row r="299">
          <cell r="D299" t="str">
            <v>Structural Steel Plate 12mm thk., ASTM A36</v>
          </cell>
        </row>
        <row r="300">
          <cell r="D300" t="str">
            <v>Structural Steel Plate 16mm thk., ASTM A36</v>
          </cell>
        </row>
        <row r="301">
          <cell r="D301" t="str">
            <v>Structural Steel Plate 25mm thk., ASTM A36</v>
          </cell>
        </row>
        <row r="302">
          <cell r="D302" t="str">
            <v>Structural Steel 50mm x 50mm x 6m., ASTM A36</v>
          </cell>
        </row>
        <row r="303">
          <cell r="D303" t="str">
            <v>Steel Channel, 4 x 7.25</v>
          </cell>
        </row>
        <row r="304">
          <cell r="D304" t="str">
            <v>Steel Channel, 6 x 13</v>
          </cell>
        </row>
        <row r="305">
          <cell r="D305" t="str">
            <v>Steel Channel, C10 x 30</v>
          </cell>
        </row>
        <row r="306">
          <cell r="D306" t="str">
            <v>2" x 4" C-Purlin, Ga.16</v>
          </cell>
        </row>
        <row r="307">
          <cell r="D307" t="str">
            <v>LC 100x50x15x2.0 Purlins</v>
          </cell>
        </row>
        <row r="308">
          <cell r="D308" t="str">
            <v>LC 100x50x15x2.0 Studdings</v>
          </cell>
        </row>
        <row r="309">
          <cell r="D309" t="str">
            <v>12mmØ x 210mm A325 Bolts</v>
          </cell>
        </row>
        <row r="310">
          <cell r="D310" t="str">
            <v>20mmØ x 210mm A325 Bolts</v>
          </cell>
        </row>
        <row r="311">
          <cell r="D311" t="str">
            <v>25mmØ x 300mm A325 Bolts</v>
          </cell>
        </row>
        <row r="312">
          <cell r="D312" t="str">
            <v>32mmØ Standard Turn Buckle</v>
          </cell>
        </row>
        <row r="313">
          <cell r="D313" t="str">
            <v>32mmØ Standard Ring Joint</v>
          </cell>
        </row>
        <row r="314">
          <cell r="D314" t="str">
            <v>32mmØ Tie Rod</v>
          </cell>
        </row>
        <row r="315">
          <cell r="D315" t="str">
            <v>25mmØ x 500mm A325 Bolts</v>
          </cell>
        </row>
        <row r="316">
          <cell r="D316" t="str">
            <v>16mmØ x 250mm A325 Bolts</v>
          </cell>
        </row>
        <row r="317">
          <cell r="D317" t="str">
            <v>16mmØ x 50mm A325 Bolts</v>
          </cell>
        </row>
        <row r="318">
          <cell r="D318" t="str">
            <v>12mmØ x 75mm A325 Bolts</v>
          </cell>
        </row>
        <row r="319">
          <cell r="D319" t="str">
            <v>16mmØ x 50mm A325 Bolts</v>
          </cell>
        </row>
        <row r="320">
          <cell r="D320" t="str">
            <v>Steel Plate</v>
          </cell>
        </row>
        <row r="321">
          <cell r="D321" t="str">
            <v>Consumables</v>
          </cell>
        </row>
        <row r="322">
          <cell r="D322" t="str">
            <v>Joint Sealer</v>
          </cell>
        </row>
        <row r="323">
          <cell r="D323" t="str">
            <v>Joint Filler, hot poured</v>
          </cell>
        </row>
        <row r="324">
          <cell r="D324" t="str">
            <v>Filler Board</v>
          </cell>
        </row>
        <row r="325">
          <cell r="D325" t="str">
            <v>Filter Cloth</v>
          </cell>
        </row>
        <row r="326">
          <cell r="D326" t="str">
            <v>Filler Board</v>
          </cell>
        </row>
        <row r="327">
          <cell r="D327" t="str">
            <v>( NAILS, BOLTS and FASTENERS )</v>
          </cell>
        </row>
        <row r="328">
          <cell r="D328" t="str">
            <v>Common Wire Nails</v>
          </cell>
        </row>
        <row r="329">
          <cell r="D329" t="str">
            <v>Common Wire Nails (Keg)</v>
          </cell>
        </row>
        <row r="330">
          <cell r="D330" t="str">
            <v>Finishing Nails</v>
          </cell>
        </row>
        <row r="331">
          <cell r="D331" t="str">
            <v>Roofing Nails umbrella type</v>
          </cell>
        </row>
        <row r="332">
          <cell r="D332" t="str">
            <v>Concrete Nail</v>
          </cell>
        </row>
        <row r="333">
          <cell r="D333" t="str">
            <v>13mm, High-Strength Bolt, 4"</v>
          </cell>
        </row>
        <row r="334">
          <cell r="D334" t="str">
            <v>Machine Bolt w/ nut &amp; washer</v>
          </cell>
        </row>
        <row r="335">
          <cell r="D335" t="str">
            <v>16mmØ x 300mm Stainless Machine Bolt w/ nut &amp; washer</v>
          </cell>
        </row>
        <row r="336">
          <cell r="D336" t="str">
            <v>16mmØ x 250mm Stainless Machine Bolt w/ nut &amp; washer</v>
          </cell>
        </row>
        <row r="337">
          <cell r="D337" t="str">
            <v>16mmØ x 150mm Stainless Machine Bolt w/ nut &amp; washer</v>
          </cell>
        </row>
        <row r="338">
          <cell r="D338" t="str">
            <v>16mmØ x 200mm Stainless Machine Bolt w/ nut &amp; washer</v>
          </cell>
        </row>
        <row r="339">
          <cell r="D339" t="str">
            <v>12mmØ x 150mm Stainless Machine Bolt w/ nut &amp; washer</v>
          </cell>
        </row>
        <row r="340">
          <cell r="D340" t="str">
            <v>12mmØ x 200mm Stainless Machine Bolt w/ nut &amp; washer</v>
          </cell>
        </row>
        <row r="341">
          <cell r="D341" t="str">
            <v>12mmØ x 250mm Stainless Machine Bolt w/ nut &amp; washer</v>
          </cell>
        </row>
        <row r="342">
          <cell r="D342" t="str">
            <v>12mmØ x 200mm Stainless Machine Bolt w/ nut &amp; washer</v>
          </cell>
        </row>
        <row r="343">
          <cell r="D343" t="str">
            <v>16mmØ x 229 Machine Bolt w/ nut &amp; washer</v>
          </cell>
        </row>
        <row r="344">
          <cell r="D344" t="str">
            <v>20mmØ GI Machine Bolt w/ nut &amp; washer</v>
          </cell>
        </row>
        <row r="345">
          <cell r="D345" t="str">
            <v>16mmØ GI Machine Bolt w/ nut &amp; washer</v>
          </cell>
        </row>
        <row r="346">
          <cell r="D346" t="str">
            <v>12mmØ GI Machine Bolt w/ nut &amp; washer</v>
          </cell>
        </row>
        <row r="347">
          <cell r="D347" t="str">
            <v>16mmØ x 250mm GI Machine Bolt w/ nut &amp; washer</v>
          </cell>
        </row>
        <row r="348">
          <cell r="D348" t="str">
            <v>16mmØ x 300mm GI Machine Bolt w/ nut &amp; washer</v>
          </cell>
        </row>
        <row r="349">
          <cell r="D349" t="str">
            <v>12mmØ x 400mm GI Machine Bolt w/ nut &amp; washer</v>
          </cell>
        </row>
        <row r="350">
          <cell r="D350" t="str">
            <v>12mmØ x 150mm GI Machine Bolt w/ nut &amp; washer</v>
          </cell>
        </row>
        <row r="351">
          <cell r="D351" t="str">
            <v>12mmØ x 75mm GI Machine Bolt w/ nut &amp; washer</v>
          </cell>
        </row>
        <row r="352">
          <cell r="D352" t="str">
            <v>12mmØ GI Machine Bolt w/ nut &amp; washers</v>
          </cell>
        </row>
        <row r="353">
          <cell r="D353" t="str">
            <v>12mmØ GI Bolt w/ nut &amp; washers</v>
          </cell>
        </row>
        <row r="354">
          <cell r="D354" t="str">
            <v>10mmØ GI Machine Bolt w/ nut &amp; washers</v>
          </cell>
        </row>
        <row r="355">
          <cell r="D355" t="str">
            <v>12mmØ GI Bolt w/ nut &amp; washers</v>
          </cell>
        </row>
        <row r="356">
          <cell r="D356" t="str">
            <v>Boat Spike (Nail)</v>
          </cell>
        </row>
        <row r="357">
          <cell r="D357" t="str">
            <v>7/8" Anchor Bolt, 10"</v>
          </cell>
        </row>
        <row r="358">
          <cell r="D358" t="str">
            <v>16mmØ x 250mm Anchor Bolt</v>
          </cell>
        </row>
        <row r="359">
          <cell r="D359" t="str">
            <v>16mmØ x 300mm Anchor Bolt</v>
          </cell>
        </row>
        <row r="360">
          <cell r="D360" t="str">
            <v>20mmØ x 300mm Anchor Bolt</v>
          </cell>
        </row>
        <row r="361">
          <cell r="D361" t="str">
            <v>12mmØ x 38mm Anchor Bolt</v>
          </cell>
        </row>
        <row r="362">
          <cell r="D362" t="str">
            <v>20mm, Turn Buckle</v>
          </cell>
        </row>
        <row r="363">
          <cell r="D363" t="str">
            <v>16mm, Turn Buckle</v>
          </cell>
        </row>
        <row r="364">
          <cell r="D364" t="str">
            <v>12mm  Turnbuckle</v>
          </cell>
        </row>
        <row r="365">
          <cell r="D365" t="str">
            <v>13mm, U-Bolt</v>
          </cell>
        </row>
        <row r="366">
          <cell r="D366" t="str">
            <v>16mm, U-Bolt w/ nuts and washers</v>
          </cell>
        </row>
        <row r="367">
          <cell r="D367" t="str">
            <v>13mm, Cable Clip</v>
          </cell>
        </row>
        <row r="368">
          <cell r="D368" t="str">
            <v>32mm, Cable Clip</v>
          </cell>
        </row>
        <row r="369">
          <cell r="D369" t="str">
            <v>13mm,  Thimble</v>
          </cell>
        </row>
        <row r="370">
          <cell r="D370" t="str">
            <v>12mm  Stainless Screw, 1/2"</v>
          </cell>
        </row>
        <row r="371">
          <cell r="D371" t="str">
            <v>Tekscrew</v>
          </cell>
        </row>
        <row r="372">
          <cell r="D372" t="str">
            <v>Post Strap Flat Bar</v>
          </cell>
        </row>
        <row r="373">
          <cell r="D373" t="str">
            <v>GI Post Strap 1/4" x 2"</v>
          </cell>
        </row>
        <row r="374">
          <cell r="D374" t="str">
            <v>Post Strap Flat Bar</v>
          </cell>
        </row>
        <row r="375">
          <cell r="D375" t="str">
            <v>( GI WIRES )</v>
          </cell>
        </row>
        <row r="376">
          <cell r="D376" t="str">
            <v>Ga.16 GI Tie Wire</v>
          </cell>
        </row>
        <row r="377">
          <cell r="D377" t="str">
            <v>G.I. Rivets</v>
          </cell>
        </row>
        <row r="378">
          <cell r="D378" t="str">
            <v>20mmØ G.I. Chain</v>
          </cell>
        </row>
        <row r="379">
          <cell r="D379" t="str">
            <v>G.I. Rivets</v>
          </cell>
        </row>
        <row r="380">
          <cell r="D380" t="str">
            <v>( ROOFING SHEET )</v>
          </cell>
        </row>
        <row r="381">
          <cell r="D381" t="str">
            <v>GI Sheet Roofing</v>
          </cell>
        </row>
        <row r="382">
          <cell r="D382" t="str">
            <v>CORR. G.I.sheets, Ga.26</v>
          </cell>
        </row>
        <row r="383">
          <cell r="D383" t="str">
            <v>CORR. G.I.sheets, Ga.31</v>
          </cell>
        </row>
        <row r="384">
          <cell r="D384" t="str">
            <v>CORR. G.I.sheets x 6' , Ga.26</v>
          </cell>
        </row>
        <row r="385">
          <cell r="D385" t="str">
            <v>CORR. G.I.sheets x 8' , Ga.26</v>
          </cell>
        </row>
        <row r="386">
          <cell r="D386" t="str">
            <v>3' x 8' Plain G.I. Sheet, Ga.26</v>
          </cell>
        </row>
        <row r="387">
          <cell r="D387" t="str">
            <v>3' x 8' Plain G.I. Sheet, Ga.31</v>
          </cell>
        </row>
        <row r="388">
          <cell r="D388" t="str">
            <v>Plain G.I. Sheet, Ga.26</v>
          </cell>
        </row>
        <row r="389">
          <cell r="D389" t="str">
            <v>Pre-Painted Corr. GI Sht, Ga.26</v>
          </cell>
        </row>
        <row r="390">
          <cell r="D390" t="str">
            <v>24" Prefab GI Gutter</v>
          </cell>
        </row>
        <row r="391">
          <cell r="D391" t="str">
            <v>12" Prefab GI Ridge Roll</v>
          </cell>
        </row>
        <row r="392">
          <cell r="D392" t="str">
            <v>18" Prefab GI Flashing</v>
          </cell>
        </row>
        <row r="393">
          <cell r="D393" t="str">
            <v>3' x 8' Plain G.I. Sheet, Ga.24</v>
          </cell>
        </row>
        <row r="394">
          <cell r="D394" t="str">
            <v>0.40mm x 0.830m Durawide Rib Type Roofing Sheet (Phil Metal)</v>
          </cell>
        </row>
        <row r="395">
          <cell r="D395" t="str">
            <v>0.40mm x 0.45m x 3.66m) Pre-painted ridge roll (Phil Metal)</v>
          </cell>
        </row>
        <row r="396">
          <cell r="D396" t="str">
            <v>0.40mm x 0.915 x 3.66m) Spanish End Flashing (Phil Metal)</v>
          </cell>
        </row>
        <row r="397">
          <cell r="D397" t="str">
            <v>0.40mm x 0.915 x 3.66m) Spanish Gutter (Phil Metal)</v>
          </cell>
        </row>
        <row r="398">
          <cell r="D398" t="str">
            <v>Teks 4 #12-24 x 45mm Hex w/ Neo</v>
          </cell>
        </row>
        <row r="399">
          <cell r="D399" t="str">
            <v>Prepainted Galvallum Corr..sheets , 0.30mm thk.</v>
          </cell>
        </row>
        <row r="400">
          <cell r="D400" t="str">
            <v>Prepainted Galvalume 55 Corr..sheets , 4.0ft wide x 0.3mm thk.</v>
          </cell>
        </row>
        <row r="401">
          <cell r="D401" t="str">
            <v>Prepainted Galvalume 55 Corr..sheets , 3.0ft wide x 0.3mm thk.</v>
          </cell>
        </row>
        <row r="402">
          <cell r="D402" t="str">
            <v>Prepainted Galvalume 55 Plain..sheets , 3.0ft wide x 0.35mm thk.</v>
          </cell>
        </row>
        <row r="403">
          <cell r="D403" t="str">
            <v>Prepainted Galvallum Plain sheets, 0.35mm thk.</v>
          </cell>
        </row>
        <row r="404">
          <cell r="D404" t="str">
            <v>Prepainted Galvallum Corr..sheets x 6' , 0.35mm thk.</v>
          </cell>
        </row>
        <row r="405">
          <cell r="D405" t="str">
            <v>Prepainted Galvallum Corr..sheets x 8' , 0.35mm thk.</v>
          </cell>
        </row>
        <row r="406">
          <cell r="D406" t="str">
            <v>Prepainted Galvallum Plain sheets x 10' , 0.35mm thk.</v>
          </cell>
        </row>
        <row r="407">
          <cell r="D407" t="str">
            <v>Galvalume 55 Plain sheets x 10' , 0.35mm thk.</v>
          </cell>
        </row>
        <row r="408">
          <cell r="D408" t="str">
            <v>Galvalume 55 Corr. sheets x 12' , 0.35mm thk.</v>
          </cell>
        </row>
        <row r="409">
          <cell r="D409" t="str">
            <v>Galvalume 55 Corr. sheets x 10' , 0.35mm thk.</v>
          </cell>
        </row>
        <row r="410">
          <cell r="D410" t="str">
            <v>Galvalume 55 Corr. sheets x 9' , 0.35mm thk.</v>
          </cell>
        </row>
        <row r="411">
          <cell r="D411" t="str">
            <v>Galvalume 55 Corr. sheets x 8' , 0.35mm thk.</v>
          </cell>
        </row>
        <row r="412">
          <cell r="D412" t="str">
            <v>Galvalume 55 Corr. sheets x 7' , 0.35mm thk.</v>
          </cell>
        </row>
        <row r="413">
          <cell r="D413" t="str">
            <v>Galvalume 55 Corr. sheets x 6' , 0.35mm thk.</v>
          </cell>
        </row>
        <row r="414">
          <cell r="D414" t="str">
            <v>Galvalume 55 Corr. sheets x 6' , 0.35mm thk.</v>
          </cell>
        </row>
        <row r="415">
          <cell r="D415" t="str">
            <v>0.30mm thk x 4.0ft. wide Unpainted Galvallum 55</v>
          </cell>
        </row>
        <row r="416">
          <cell r="D416" t="str">
            <v>0.30mmthk x 0.610m x 2.44m Ridge Roll Unpainted Galvallum 55 (4ft x 8ft)</v>
          </cell>
        </row>
        <row r="417">
          <cell r="D417" t="str">
            <v>0.30mm thk x 4.0ft. wide Unpainted Galvallum 55</v>
          </cell>
        </row>
        <row r="418">
          <cell r="D418" t="str">
            <v>0.30mm thk x 4.0ft. wide Unpainted Galvallum 55 (End Flashing)</v>
          </cell>
        </row>
        <row r="419">
          <cell r="D419" t="str">
            <v>0.30mm thk x 4.0ft. wide Unpainted Galvallum 55 (Ridge Roll)</v>
          </cell>
        </row>
        <row r="420">
          <cell r="D420" t="str">
            <v>0.30mm thk x 4.0ft. wide Unpainted Galvallum 55 (End Flashing)</v>
          </cell>
        </row>
        <row r="421">
          <cell r="D421" t="str">
            <v>Metalplas Corr. Roofing (1.5mm thk)</v>
          </cell>
        </row>
        <row r="422">
          <cell r="D422" t="str">
            <v>Metalplas Ridge Roll</v>
          </cell>
        </row>
        <row r="423">
          <cell r="D423" t="str">
            <v>Metalplas End Flashing</v>
          </cell>
        </row>
        <row r="424">
          <cell r="D424" t="str">
            <v>Metalplas Ridge Roll</v>
          </cell>
        </row>
        <row r="425">
          <cell r="D425" t="str">
            <v>Blind Rivets</v>
          </cell>
        </row>
        <row r="426">
          <cell r="D426" t="str">
            <v>Silicon Rubber Sealant</v>
          </cell>
        </row>
        <row r="427">
          <cell r="D427" t="str">
            <v>Touch-up Acrylic Paint</v>
          </cell>
        </row>
        <row r="428">
          <cell r="D428" t="str">
            <v>Silicon Rubber Sealant</v>
          </cell>
        </row>
        <row r="429">
          <cell r="D429" t="str">
            <v>( HARDWARES )</v>
          </cell>
        </row>
        <row r="430">
          <cell r="D430" t="str">
            <v>Gutter seal</v>
          </cell>
        </row>
        <row r="431">
          <cell r="D431" t="str">
            <v>4'-wide Cyclone  Wire</v>
          </cell>
        </row>
        <row r="432">
          <cell r="D432" t="str">
            <v>1¼ "dia. X 6" Double Type Pulley Level</v>
          </cell>
        </row>
        <row r="433">
          <cell r="D433" t="str">
            <v>1¼ "dia. X 6" Steel Ring Bolt Adaptor</v>
          </cell>
        </row>
        <row r="434">
          <cell r="D434" t="str">
            <v>1¼ "dia. X 1¼" Steel Ring Bolt Adaptor</v>
          </cell>
        </row>
        <row r="435">
          <cell r="D435" t="str">
            <v>1" Cylindrical Ejector Assembly, 32"</v>
          </cell>
        </row>
        <row r="436">
          <cell r="D436" t="str">
            <v>1½" " Cylindrical Ejector Assembly, 32"</v>
          </cell>
        </row>
        <row r="437">
          <cell r="D437" t="str">
            <v>Cylindrical Door Knob</v>
          </cell>
        </row>
        <row r="438">
          <cell r="D438" t="str">
            <v>4" Barrel Bolts</v>
          </cell>
        </row>
        <row r="439">
          <cell r="D439" t="str">
            <v>4" x 4" Loose Pin Butt Hinges</v>
          </cell>
        </row>
        <row r="440">
          <cell r="D440" t="str">
            <v>3" x 3" Loose Pin Butt Hinges</v>
          </cell>
        </row>
        <row r="441">
          <cell r="D441" t="str">
            <v>4" Hasp Lock Hinges</v>
          </cell>
        </row>
        <row r="442">
          <cell r="D442" t="str">
            <v>Alum. Mesh Wire, 1/8" eye x 3'</v>
          </cell>
        </row>
        <row r="443">
          <cell r="D443" t="str">
            <v>Alum. Mesh Wire, 1/2" eye x 3'</v>
          </cell>
        </row>
        <row r="444">
          <cell r="D444" t="str">
            <v>Alum. Mesh Wire, 1" eye x 3'</v>
          </cell>
        </row>
        <row r="445">
          <cell r="D445" t="str">
            <v>Aluminum Mosquito Screen, 3ft-wide</v>
          </cell>
        </row>
        <row r="446">
          <cell r="D446" t="str">
            <v>Aukom Rug</v>
          </cell>
        </row>
        <row r="447">
          <cell r="D447" t="str">
            <v>Welding Rods 1/8"ø E60</v>
          </cell>
        </row>
        <row r="448">
          <cell r="D448" t="str">
            <v>Welding Rods 1/8"ø E70XX</v>
          </cell>
        </row>
        <row r="449">
          <cell r="D449" t="str">
            <v>Welwood Glue</v>
          </cell>
        </row>
        <row r="450">
          <cell r="D450" t="str">
            <v>Solvent Cement</v>
          </cell>
        </row>
        <row r="451">
          <cell r="D451" t="str">
            <v xml:space="preserve">1½"   Cylindrical Ejector Assmbly, CLAYTON USA </v>
          </cell>
        </row>
        <row r="452">
          <cell r="D452" t="str">
            <v xml:space="preserve">1¼" Cylindrical Ejector Assmbly, CLAYTON USA </v>
          </cell>
        </row>
        <row r="453">
          <cell r="D453" t="str">
            <v>½" Teflon Tape</v>
          </cell>
        </row>
        <row r="454">
          <cell r="D454" t="str">
            <v>¾" Teflon Tape</v>
          </cell>
        </row>
        <row r="455">
          <cell r="D455" t="str">
            <v>1"  Teflon Tape</v>
          </cell>
        </row>
        <row r="456">
          <cell r="D456" t="str">
            <v>Cabinet Door Handle</v>
          </cell>
        </row>
        <row r="457">
          <cell r="D457" t="str">
            <v>½" dia. x 3/4"  Pillow Block</v>
          </cell>
        </row>
        <row r="458">
          <cell r="D458" t="str">
            <v>#6203  Bearing</v>
          </cell>
        </row>
        <row r="459">
          <cell r="D459" t="str">
            <v>3/4"dia. x 4"  Steel Spring</v>
          </cell>
        </row>
        <row r="460">
          <cell r="D460" t="str">
            <v>1¼" Foot Valve, Brass</v>
          </cell>
        </row>
        <row r="461">
          <cell r="D461" t="str">
            <v>1" x 2" Cabinet Hinges</v>
          </cell>
        </row>
        <row r="462">
          <cell r="D462" t="str">
            <v>Gabion Mattress</v>
          </cell>
        </row>
        <row r="463">
          <cell r="D463" t="str">
            <v>20mmØ Chain and Other Accessories</v>
          </cell>
        </row>
        <row r="464">
          <cell r="D464" t="str">
            <v>Gabion Mattress</v>
          </cell>
        </row>
        <row r="465">
          <cell r="D465" t="str">
            <v>( STRUCTURAL STEEL WIRES AND CABLES )</v>
          </cell>
        </row>
        <row r="466">
          <cell r="D466" t="str">
            <v>6mm,  IWRC (6 x  25)</v>
          </cell>
        </row>
        <row r="467">
          <cell r="D467" t="str">
            <v>8mm,  IWRC (6 x  25)</v>
          </cell>
        </row>
        <row r="468">
          <cell r="D468" t="str">
            <v>10mm,  IWRC (6 x  25)</v>
          </cell>
        </row>
        <row r="469">
          <cell r="D469" t="str">
            <v>11mm,  IWRC (6 x  25)</v>
          </cell>
        </row>
        <row r="470">
          <cell r="D470" t="str">
            <v>13mm,  IWRC (6 x  25)</v>
          </cell>
        </row>
        <row r="471">
          <cell r="D471" t="str">
            <v>14mm,  IWRC (6 x  25)</v>
          </cell>
        </row>
        <row r="472">
          <cell r="D472" t="str">
            <v>16mm,  IWRC (6 x  25)</v>
          </cell>
        </row>
        <row r="473">
          <cell r="D473" t="str">
            <v>20mm,  IWRC (6 x  25)</v>
          </cell>
        </row>
        <row r="474">
          <cell r="D474" t="str">
            <v>22mm,  IWRC (6 x  25)</v>
          </cell>
        </row>
        <row r="475">
          <cell r="D475" t="str">
            <v>25mm,  IWRC (6 x  25)</v>
          </cell>
        </row>
        <row r="476">
          <cell r="D476" t="str">
            <v>29mm,  IWRC (6 x  25)</v>
          </cell>
        </row>
        <row r="477">
          <cell r="D477" t="str">
            <v>32mm,  IWRC (6 x  25)</v>
          </cell>
        </row>
        <row r="478">
          <cell r="D478" t="str">
            <v>35mm, ,  IWRC (6 x  25)</v>
          </cell>
        </row>
        <row r="479">
          <cell r="D479" t="str">
            <v>38mm,  IWRC (6 x  25)</v>
          </cell>
        </row>
        <row r="480">
          <cell r="D480" t="str">
            <v>41mm,  IWRC (6 x  25)</v>
          </cell>
        </row>
        <row r="481">
          <cell r="D481" t="str">
            <v>44mm,  IWRC (6 x  25)</v>
          </cell>
        </row>
        <row r="482">
          <cell r="D482" t="str">
            <v>48mm,  IWRC (6 x  25)</v>
          </cell>
        </row>
        <row r="483">
          <cell r="D483" t="str">
            <v>51mm,  IWRC (6 x  25)</v>
          </cell>
        </row>
        <row r="484">
          <cell r="D484" t="str">
            <v>54mm,  IWRC (6 x  25)</v>
          </cell>
        </row>
        <row r="485">
          <cell r="D485" t="str">
            <v>57mm,  IWRC (6 x  25)</v>
          </cell>
        </row>
        <row r="486">
          <cell r="D486" t="str">
            <v>5mm, Wire Rope Fiber Core (6 x 25)</v>
          </cell>
        </row>
        <row r="487">
          <cell r="D487" t="str">
            <v>6mm, Wire Rope Fiber Core (6 x 25)</v>
          </cell>
        </row>
        <row r="488">
          <cell r="D488" t="str">
            <v>8mm, Wire Rope Fiber Core (6 x 25)</v>
          </cell>
        </row>
        <row r="489">
          <cell r="D489" t="str">
            <v>10mm, Wire Rope Fiber Core (6 x 25)</v>
          </cell>
        </row>
        <row r="490">
          <cell r="D490" t="str">
            <v>11mm, Wire Rope Fiber Core (6 x 25)</v>
          </cell>
        </row>
        <row r="491">
          <cell r="D491" t="str">
            <v>13mm, Wire Rope Fiber Core (6 x 25)</v>
          </cell>
        </row>
        <row r="492">
          <cell r="D492" t="str">
            <v>14mm, Wire Rope Fiber Core (6 x 25)</v>
          </cell>
        </row>
        <row r="493">
          <cell r="D493" t="str">
            <v>16mm, Wire Rope Fiber Core (6 x 25)</v>
          </cell>
        </row>
        <row r="494">
          <cell r="D494" t="str">
            <v>20mm, Wire Rope Fiber Core (6 x 25)</v>
          </cell>
        </row>
        <row r="495">
          <cell r="D495" t="str">
            <v>22mm, Wire Rope Fiber Core (6 x 25)</v>
          </cell>
        </row>
        <row r="496">
          <cell r="D496" t="str">
            <v>25mm, Wire Rope Fiber Core (6 x 25)</v>
          </cell>
        </row>
        <row r="497">
          <cell r="D497" t="str">
            <v>29mm, Wire Rope Fiber Core (6 x 25)</v>
          </cell>
        </row>
        <row r="498">
          <cell r="D498" t="str">
            <v>32mm, Wire Rope Fiber Core (6 x 25)</v>
          </cell>
        </row>
        <row r="499">
          <cell r="D499" t="str">
            <v>35mm, , Wire Rope Fiber Core (6 x 25)</v>
          </cell>
        </row>
        <row r="500">
          <cell r="D500" t="str">
            <v>38mm, Wire Rope Fiber Core (6 x 25)</v>
          </cell>
        </row>
        <row r="501">
          <cell r="D501" t="str">
            <v>41mm, Wire Rope Fiber Core (6 x 25)</v>
          </cell>
        </row>
        <row r="502">
          <cell r="D502" t="str">
            <v>44mm, Wire Rope Fiber Core (6 x 25)</v>
          </cell>
        </row>
        <row r="503">
          <cell r="D503" t="str">
            <v>48mm, Wire Rope Fiber Core (6 x 25)</v>
          </cell>
        </row>
        <row r="504">
          <cell r="D504" t="str">
            <v>51mm, Wire Rope Fiber Core (6 x 25)</v>
          </cell>
        </row>
        <row r="505">
          <cell r="D505" t="str">
            <v>54mm, Wire Rope Fiber Core (6 x 25)</v>
          </cell>
        </row>
        <row r="506">
          <cell r="D506" t="str">
            <v>57mm, Wire Rope Fiber Core (6 x 25)</v>
          </cell>
        </row>
        <row r="507">
          <cell r="D507" t="str">
            <v>10mm, High Grade Steel Cable</v>
          </cell>
        </row>
        <row r="508">
          <cell r="D508" t="str">
            <v>6mmØ Cable Clips</v>
          </cell>
        </row>
        <row r="509">
          <cell r="D509" t="str">
            <v>10mmØ Cable Clips</v>
          </cell>
        </row>
        <row r="510">
          <cell r="D510" t="str">
            <v>20mmØ Cable Clips</v>
          </cell>
        </row>
        <row r="511">
          <cell r="D511" t="str">
            <v>41mm, Wire Rope Fiber Core (6 x 25)</v>
          </cell>
        </row>
        <row r="512">
          <cell r="D512" t="str">
            <v>( STEEL PLATES )</v>
          </cell>
        </row>
        <row r="513">
          <cell r="D513" t="str">
            <v>6mm, Expanded Metal Mesh</v>
          </cell>
        </row>
        <row r="514">
          <cell r="D514" t="str">
            <v>10mm, Steel Plate</v>
          </cell>
        </row>
        <row r="515">
          <cell r="D515" t="str">
            <v>8mm, Steel Plate</v>
          </cell>
        </row>
        <row r="516">
          <cell r="D516" t="str">
            <v>6mm, Steel Plate</v>
          </cell>
        </row>
        <row r="517">
          <cell r="D517" t="str">
            <v>200mm x 200mm x 6mm, Steel Plate</v>
          </cell>
        </row>
        <row r="518">
          <cell r="D518" t="str">
            <v>300mm x 300mm x 6mm, Steel Plate</v>
          </cell>
        </row>
        <row r="519">
          <cell r="D519" t="str">
            <v>180mm x 180mm x 16mm, Steel Plate</v>
          </cell>
        </row>
        <row r="520">
          <cell r="D520" t="str">
            <v>180mm x 180mm x 16mm, Steel Plate</v>
          </cell>
        </row>
        <row r="521">
          <cell r="D521" t="str">
            <v>Steel Plate'</v>
          </cell>
        </row>
        <row r="522">
          <cell r="D522" t="str">
            <v>Steel Block</v>
          </cell>
        </row>
        <row r="523">
          <cell r="D523" t="str">
            <v>6mm, Expanded Metal Mesh</v>
          </cell>
        </row>
        <row r="524">
          <cell r="D524" t="str">
            <v>( STAINLESS STEEL CYLINDRICAL TANK )</v>
          </cell>
        </row>
        <row r="525">
          <cell r="D525" t="str">
            <v>600L Ga. 18 Cylindrical H2O Tank</v>
          </cell>
        </row>
        <row r="526">
          <cell r="D526" t="str">
            <v>800L Ga. 18 Cylindrical H2O Tank</v>
          </cell>
        </row>
        <row r="527">
          <cell r="D527" t="str">
            <v>1000L Ga. 18 Cylindrical H2O Tank</v>
          </cell>
        </row>
        <row r="528">
          <cell r="D528" t="str">
            <v>300mm x 300mm x 6mm, Steel Plate</v>
          </cell>
        </row>
        <row r="529">
          <cell r="D529" t="str">
            <v>( ALUMINUM AND GLASS )</v>
          </cell>
        </row>
        <row r="530">
          <cell r="D530" t="str">
            <v>Jalousie Glass Blade w/ Alum. Frame</v>
          </cell>
        </row>
        <row r="531">
          <cell r="D531" t="str">
            <v>Clear Glass</v>
          </cell>
        </row>
        <row r="532">
          <cell r="D532" t="str">
            <v>Smoke Glass</v>
          </cell>
        </row>
        <row r="533">
          <cell r="D533" t="str">
            <v>16 blades 4" Alum. Jal. Frame</v>
          </cell>
        </row>
        <row r="534">
          <cell r="D534" t="str">
            <v>14 blades 4" Alum. Jal. Frame</v>
          </cell>
        </row>
        <row r="535">
          <cell r="D535" t="str">
            <v>7 blades 4" Alum. Jal. Frame</v>
          </cell>
        </row>
        <row r="536">
          <cell r="D536" t="str">
            <v>800L Ga. 18 Cylindrical H2O Tank</v>
          </cell>
        </row>
        <row r="537">
          <cell r="D537" t="str">
            <v>( PLASTIC PRODUCTS )</v>
          </cell>
        </row>
        <row r="538">
          <cell r="D538" t="str">
            <v>25mm  Plastic Stranded Rope</v>
          </cell>
        </row>
        <row r="539">
          <cell r="D539" t="str">
            <v>( ALUMINUM AND GLASS )</v>
          </cell>
        </row>
        <row r="540">
          <cell r="D540" t="str">
            <v>PIPING &amp; EQUIPMENTS</v>
          </cell>
        </row>
        <row r="541">
          <cell r="D541" t="str">
            <v>Submersible Pumps &amp; its accessories</v>
          </cell>
        </row>
        <row r="542">
          <cell r="D542" t="str">
            <v>Submersible Pumps &amp; its accessories (3HP - 186S3.412)</v>
          </cell>
        </row>
        <row r="543">
          <cell r="D543" t="str">
            <v>Submersible Pumps &amp; its accessories (1HP - 136S10412)</v>
          </cell>
        </row>
        <row r="544">
          <cell r="D544" t="str">
            <v>14 blades 4" Alum. Jal. Frame</v>
          </cell>
        </row>
        <row r="545">
          <cell r="D545" t="str">
            <v>GI PIPES AND FITTINGS</v>
          </cell>
        </row>
        <row r="546">
          <cell r="D546" t="str">
            <v>ø12mm sch 40 GI Pipe</v>
          </cell>
        </row>
        <row r="547">
          <cell r="D547" t="str">
            <v>ø25mm sch 40 GI Pipe</v>
          </cell>
        </row>
        <row r="548">
          <cell r="D548" t="str">
            <v>ø38mm sch 40 GI Pipe</v>
          </cell>
        </row>
        <row r="549">
          <cell r="D549" t="str">
            <v>ø50mm SCH 40 GI Pipe</v>
          </cell>
        </row>
        <row r="550">
          <cell r="D550" t="str">
            <v>ø63mm SCH 40 GI Pipe</v>
          </cell>
        </row>
        <row r="551">
          <cell r="D551" t="str">
            <v>ø65mm SCH 40 GI Pipe</v>
          </cell>
        </row>
        <row r="552">
          <cell r="D552" t="str">
            <v>ø75mm SCH 40 GI Pipe</v>
          </cell>
        </row>
        <row r="553">
          <cell r="D553" t="str">
            <v>Submersible Pumps &amp; its accessories (1HP - 136S10412)</v>
          </cell>
        </row>
        <row r="554">
          <cell r="D554" t="str">
            <v>½" G.I. Pipe, sch. 40</v>
          </cell>
        </row>
        <row r="555">
          <cell r="D555" t="str">
            <v>3/4" G.I. Pipe, sch. 40</v>
          </cell>
        </row>
        <row r="556">
          <cell r="D556" t="str">
            <v>1" G.I. Pipe, sch. 40</v>
          </cell>
        </row>
        <row r="557">
          <cell r="D557" t="str">
            <v>1¼" G.I. Pipe, sch. 40</v>
          </cell>
        </row>
        <row r="558">
          <cell r="D558" t="str">
            <v>1½" G.I. Pipe, sch. 40</v>
          </cell>
        </row>
        <row r="559">
          <cell r="D559" t="str">
            <v>2" G.I. Pipe, sch. 40</v>
          </cell>
        </row>
        <row r="560">
          <cell r="D560" t="str">
            <v>2¼" G.I. Pipe, sch. 40</v>
          </cell>
        </row>
        <row r="561">
          <cell r="D561" t="str">
            <v>3" G.I. Pipe, sch. 40</v>
          </cell>
        </row>
        <row r="562">
          <cell r="D562" t="str">
            <v>4" G.I. Pipe, sch. 40</v>
          </cell>
        </row>
        <row r="563">
          <cell r="D563" t="str">
            <v>2½" G.I. Pipe, sch. 40</v>
          </cell>
        </row>
        <row r="564">
          <cell r="D564" t="str">
            <v>4" G.I. Pipe ,sch. 20</v>
          </cell>
        </row>
        <row r="565">
          <cell r="D565" t="str">
            <v>1½" G.I. Pipe ,sch. 20</v>
          </cell>
        </row>
        <row r="566">
          <cell r="D566" t="str">
            <v>2" B.I. Pipe, sch. 40</v>
          </cell>
        </row>
        <row r="567">
          <cell r="D567" t="str">
            <v>1" B.I. Pipe, sch. 40</v>
          </cell>
        </row>
        <row r="568">
          <cell r="D568" t="str">
            <v>½" G.I. Coupling, sch. 40</v>
          </cell>
        </row>
        <row r="569">
          <cell r="D569" t="str">
            <v>1" G.I. Coupling, sch. 40</v>
          </cell>
        </row>
        <row r="570">
          <cell r="D570" t="str">
            <v>1¼" G.I. Coupling, sch. 40</v>
          </cell>
        </row>
        <row r="571">
          <cell r="D571" t="str">
            <v>1½" G.I. Coupling, sch. 40</v>
          </cell>
        </row>
        <row r="572">
          <cell r="D572" t="str">
            <v>2"  G.I. Coupling, sch. 40</v>
          </cell>
        </row>
        <row r="573">
          <cell r="D573" t="str">
            <v>2¼" G.I. Coupling, sch. 40</v>
          </cell>
        </row>
        <row r="574">
          <cell r="D574" t="str">
            <v>3" G.I. Coupling, sch. 40</v>
          </cell>
        </row>
        <row r="575">
          <cell r="D575" t="str">
            <v>4"  G.I. Coupling, sch. 40</v>
          </cell>
        </row>
        <row r="576">
          <cell r="D576" t="str">
            <v>2½" G.I. Coupling, sch. 40</v>
          </cell>
        </row>
        <row r="577">
          <cell r="D577" t="str">
            <v>½" G.I. Elbow 45°, sch. 40</v>
          </cell>
        </row>
        <row r="578">
          <cell r="D578" t="str">
            <v>1"G.I. Elbow 45°, sch. 40</v>
          </cell>
        </row>
        <row r="579">
          <cell r="D579" t="str">
            <v>1¼"G.I. Elbow 45°, sch. 40</v>
          </cell>
        </row>
        <row r="580">
          <cell r="D580" t="str">
            <v>1½"G.I. Elbow 45°, sch. 40</v>
          </cell>
        </row>
        <row r="581">
          <cell r="D581" t="str">
            <v>2"G.I. Elbow 45°, sch. 40</v>
          </cell>
        </row>
        <row r="582">
          <cell r="D582" t="str">
            <v>2½" G.I. Elbow 45°, sch. 40</v>
          </cell>
        </row>
        <row r="583">
          <cell r="D583" t="str">
            <v>3" G.I. Elbow 45°, sch. 40</v>
          </cell>
        </row>
        <row r="584">
          <cell r="D584" t="str">
            <v>4" G.I. Elbow 45°, sch. 40</v>
          </cell>
        </row>
        <row r="585">
          <cell r="D585" t="str">
            <v>½" G.I. Elbow 90°, sch 40</v>
          </cell>
        </row>
        <row r="586">
          <cell r="D586" t="str">
            <v>1" G.I. Elbow 90°, sch 40</v>
          </cell>
        </row>
        <row r="587">
          <cell r="D587" t="str">
            <v>1¼" G.I. Elbow 90°, sch 40</v>
          </cell>
        </row>
        <row r="588">
          <cell r="D588" t="str">
            <v>1½"  G.I. Elbow 90°, sch 40</v>
          </cell>
        </row>
        <row r="589">
          <cell r="D589" t="str">
            <v>2" G.I. Elbow 90°, sch 40</v>
          </cell>
        </row>
        <row r="590">
          <cell r="D590" t="str">
            <v>2½" G.I. Elbow 90°, sch 40</v>
          </cell>
        </row>
        <row r="591">
          <cell r="D591" t="str">
            <v>3" G.I. Elbow 90°, sch 40</v>
          </cell>
        </row>
        <row r="592">
          <cell r="D592" t="str">
            <v>4" G.I. Elbow 90°, sch 40</v>
          </cell>
        </row>
        <row r="593">
          <cell r="D593" t="str">
            <v>2" G.I. Street Elbow, sch 40</v>
          </cell>
        </row>
        <row r="594">
          <cell r="D594" t="str">
            <v>3/4"  G.I. Elbow 90°, sch 40</v>
          </cell>
        </row>
        <row r="595">
          <cell r="D595" t="str">
            <v>½" G.I. TEE, sch 40</v>
          </cell>
        </row>
        <row r="596">
          <cell r="D596" t="str">
            <v>1" G.I. TEE, sch 40</v>
          </cell>
        </row>
        <row r="597">
          <cell r="D597" t="str">
            <v>1¼" G.I. TEE, sch 40</v>
          </cell>
        </row>
        <row r="598">
          <cell r="D598" t="str">
            <v>1½" G.I. TEE, sch 40</v>
          </cell>
        </row>
        <row r="599">
          <cell r="D599" t="str">
            <v>2"  G.I. TEE, sch 40</v>
          </cell>
        </row>
        <row r="600">
          <cell r="D600" t="str">
            <v>2½" G.I. TEE, sch 40</v>
          </cell>
        </row>
        <row r="601">
          <cell r="D601" t="str">
            <v>3" G.I. TEE, sch 40</v>
          </cell>
        </row>
        <row r="602">
          <cell r="D602" t="str">
            <v>4" G.I. TEE, sch 40</v>
          </cell>
        </row>
        <row r="603">
          <cell r="D603" t="str">
            <v>½" G.I. Nipples, 12"</v>
          </cell>
        </row>
        <row r="604">
          <cell r="D604" t="str">
            <v>1" G.I. Nipples, 12"</v>
          </cell>
        </row>
        <row r="605">
          <cell r="D605" t="str">
            <v>1" G.I. Nipple, 10"</v>
          </cell>
        </row>
        <row r="606">
          <cell r="D606" t="str">
            <v>1¼" G.I. Nipples, 4"</v>
          </cell>
        </row>
        <row r="607">
          <cell r="D607" t="str">
            <v>1¼" G.I. Nipples, 12"</v>
          </cell>
        </row>
        <row r="608">
          <cell r="D608" t="str">
            <v>½" G.I. Nipples, 4"</v>
          </cell>
        </row>
        <row r="609">
          <cell r="D609" t="str">
            <v>½" G.I. Nipples, 8"</v>
          </cell>
        </row>
        <row r="610">
          <cell r="D610" t="str">
            <v>3/4"  G.I. Nipples, 4"</v>
          </cell>
        </row>
        <row r="611">
          <cell r="D611" t="str">
            <v>63mmØ Gate Valve</v>
          </cell>
        </row>
        <row r="612">
          <cell r="D612" t="str">
            <v>63mmØ x 90° G.I. Elbow</v>
          </cell>
        </row>
        <row r="613">
          <cell r="D613" t="str">
            <v>63mmØ x 63mmØ Female Adaptor</v>
          </cell>
        </row>
        <row r="614">
          <cell r="D614" t="str">
            <v>63mmØ GI Union Patente</v>
          </cell>
        </row>
        <row r="615">
          <cell r="D615" t="str">
            <v>63mmØ GI Pipe</v>
          </cell>
        </row>
        <row r="616">
          <cell r="D616" t="str">
            <v>50mmØ GI Pipe</v>
          </cell>
        </row>
        <row r="617">
          <cell r="D617" t="str">
            <v>50mmØ GI Union Patente</v>
          </cell>
        </row>
        <row r="618">
          <cell r="D618" t="str">
            <v>50mmØ x 90° G.I. Elbow</v>
          </cell>
        </row>
        <row r="619">
          <cell r="D619" t="str">
            <v>50mmØ G.I. Nipples x 600mm</v>
          </cell>
        </row>
        <row r="620">
          <cell r="D620" t="str">
            <v>50mmØ G.I. Nipples x 500mm</v>
          </cell>
        </row>
        <row r="621">
          <cell r="D621" t="str">
            <v>50mmØ G.I. Nipples x 300mm</v>
          </cell>
        </row>
        <row r="622">
          <cell r="D622" t="str">
            <v>50mmØ G.I. Nipples x 200mm</v>
          </cell>
        </row>
        <row r="623">
          <cell r="D623" t="str">
            <v>50mmØ G.I. Gate Valve</v>
          </cell>
        </row>
        <row r="624">
          <cell r="D624" t="str">
            <v>50mmØ G.I. End Cap</v>
          </cell>
        </row>
        <row r="625">
          <cell r="D625" t="str">
            <v>50mmØ G.I. Perforated w/ Strainer</v>
          </cell>
        </row>
        <row r="626">
          <cell r="D626" t="str">
            <v>40mmØ x 50mmØ Female Adaptor</v>
          </cell>
        </row>
        <row r="627">
          <cell r="D627" t="str">
            <v>40mmØ x 90° G.I. Elbow</v>
          </cell>
        </row>
        <row r="628">
          <cell r="D628" t="str">
            <v>40mmØ G.I. Gate Valve</v>
          </cell>
        </row>
        <row r="629">
          <cell r="D629" t="str">
            <v>40mmØ G.I. Tee</v>
          </cell>
        </row>
        <row r="630">
          <cell r="D630" t="str">
            <v>40mmØ G.I. Coupling</v>
          </cell>
        </row>
        <row r="631">
          <cell r="D631" t="str">
            <v>38mmØ G.I. Nipples x 400mm</v>
          </cell>
        </row>
        <row r="632">
          <cell r="D632" t="str">
            <v>38mmØ G.I. Nipples x 100mm</v>
          </cell>
        </row>
        <row r="633">
          <cell r="D633" t="str">
            <v>38mmØ x 90° G.I. Elbow</v>
          </cell>
        </row>
        <row r="634">
          <cell r="D634" t="str">
            <v>12mmØ Brass Faucet</v>
          </cell>
        </row>
        <row r="635">
          <cell r="D635" t="str">
            <v>12mmØ Globe Valve</v>
          </cell>
        </row>
        <row r="636">
          <cell r="D636" t="str">
            <v>12mmØ Gate Valve</v>
          </cell>
        </row>
        <row r="637">
          <cell r="D637" t="str">
            <v>12mmØ Saddle Clamp</v>
          </cell>
        </row>
        <row r="638">
          <cell r="D638" t="str">
            <v>12mmØ PE Pipe</v>
          </cell>
        </row>
        <row r="639">
          <cell r="D639" t="str">
            <v>12mmØ GI Pipe</v>
          </cell>
        </row>
        <row r="640">
          <cell r="D640" t="str">
            <v>12mmØ x 90° GI Elbow</v>
          </cell>
        </row>
        <row r="641">
          <cell r="D641" t="str">
            <v>100mmØ PVC Pipe</v>
          </cell>
        </row>
        <row r="642">
          <cell r="D642" t="str">
            <v>38mmØ G.I. Nipples x 100mm</v>
          </cell>
        </row>
        <row r="643">
          <cell r="D643" t="str">
            <v>½" G.I. Cap</v>
          </cell>
        </row>
        <row r="644">
          <cell r="D644" t="str">
            <v>1¼" G.I. Cap</v>
          </cell>
        </row>
        <row r="645">
          <cell r="D645" t="str">
            <v>2" G.I. Cap</v>
          </cell>
        </row>
        <row r="646">
          <cell r="D646" t="str">
            <v>2"x3/4", Saddle Clamp</v>
          </cell>
        </row>
        <row r="647">
          <cell r="D647" t="str">
            <v>½" Gate Valve</v>
          </cell>
        </row>
        <row r="648">
          <cell r="D648" t="str">
            <v>2" Gate Valve</v>
          </cell>
        </row>
        <row r="649">
          <cell r="D649" t="str">
            <v>3/4"  Gate Valve</v>
          </cell>
        </row>
        <row r="650">
          <cell r="D650" t="str">
            <v>½" Check Valve</v>
          </cell>
        </row>
        <row r="651">
          <cell r="D651" t="str">
            <v xml:space="preserve">½"  G.I. Union Patent </v>
          </cell>
        </row>
        <row r="652">
          <cell r="D652" t="str">
            <v xml:space="preserve">2" G.I. Union Patent </v>
          </cell>
        </row>
        <row r="653">
          <cell r="D653" t="str">
            <v xml:space="preserve">2½" G.I. Union Patent </v>
          </cell>
        </row>
        <row r="654">
          <cell r="D654" t="str">
            <v xml:space="preserve">1¼" x 3/4"  G.I. Bushing </v>
          </cell>
        </row>
        <row r="655">
          <cell r="D655" t="str">
            <v xml:space="preserve">1"x2", G.I. Bushing </v>
          </cell>
        </row>
        <row r="656">
          <cell r="D656" t="str">
            <v>1½" GI Male Adapter</v>
          </cell>
        </row>
        <row r="657">
          <cell r="D657" t="str">
            <v xml:space="preserve">2" x ½"  G.I. Bushing </v>
          </cell>
        </row>
        <row r="658">
          <cell r="D658" t="str">
            <v>2" x 1½" Reducer, Bell Cap</v>
          </cell>
        </row>
        <row r="659">
          <cell r="D659" t="str">
            <v>3/4"  Gate Valve</v>
          </cell>
        </row>
        <row r="660">
          <cell r="D660" t="str">
            <v>½" Check Valve</v>
          </cell>
        </row>
        <row r="661">
          <cell r="D661" t="str">
            <v>PVC AND UPVC PIPES AND FITTINGS - Blue Pipes (WaterPipes)</v>
          </cell>
        </row>
        <row r="662">
          <cell r="D662" t="str">
            <v>1/2" PVC Blue Pipe</v>
          </cell>
        </row>
        <row r="663">
          <cell r="D663" t="str">
            <v xml:space="preserve">2½" G.I. Union Patent </v>
          </cell>
        </row>
        <row r="664">
          <cell r="D664" t="str">
            <v>( PVC AND UPVC PIPES AND FITTINGS )</v>
          </cell>
        </row>
        <row r="665">
          <cell r="D665" t="str">
            <v>2" PVC Pipe</v>
          </cell>
        </row>
        <row r="666">
          <cell r="D666" t="str">
            <v>3" PVC Pipe</v>
          </cell>
        </row>
        <row r="667">
          <cell r="D667" t="str">
            <v>4" PVC Pipe</v>
          </cell>
        </row>
        <row r="668">
          <cell r="D668" t="str">
            <v>4" PVC Pipe (S-40)</v>
          </cell>
        </row>
        <row r="669">
          <cell r="D669" t="str">
            <v>2" PVC TEE</v>
          </cell>
        </row>
        <row r="670">
          <cell r="D670" t="str">
            <v>3" PVC TEE</v>
          </cell>
        </row>
        <row r="671">
          <cell r="D671" t="str">
            <v>4" PVC TEE</v>
          </cell>
        </row>
        <row r="672">
          <cell r="D672" t="str">
            <v>2" PVC Elbow 45°</v>
          </cell>
        </row>
        <row r="673">
          <cell r="D673" t="str">
            <v>3" PVC Elbow 45°</v>
          </cell>
        </row>
        <row r="674">
          <cell r="D674" t="str">
            <v>4" PVC Elbow 45°</v>
          </cell>
        </row>
        <row r="675">
          <cell r="D675" t="str">
            <v>2" PVC Elbow 90°</v>
          </cell>
        </row>
        <row r="676">
          <cell r="D676" t="str">
            <v>3" PVC Elbow 90°</v>
          </cell>
        </row>
        <row r="677">
          <cell r="D677" t="str">
            <v>4" PVC Elbow 90°</v>
          </cell>
        </row>
        <row r="678">
          <cell r="D678" t="str">
            <v>2" PVC WYE</v>
          </cell>
        </row>
        <row r="679">
          <cell r="D679" t="str">
            <v>3" PVC WYE</v>
          </cell>
        </row>
        <row r="680">
          <cell r="D680" t="str">
            <v>4"  PVC WYE</v>
          </cell>
        </row>
        <row r="681">
          <cell r="D681" t="str">
            <v>2" PVC 1/8" bend</v>
          </cell>
        </row>
        <row r="682">
          <cell r="D682" t="str">
            <v>3"  PVC 1/8" bend</v>
          </cell>
        </row>
        <row r="683">
          <cell r="D683" t="str">
            <v>4"  PVC 1/8" bend</v>
          </cell>
        </row>
        <row r="684">
          <cell r="D684" t="str">
            <v>2" PVC clean-out</v>
          </cell>
        </row>
        <row r="685">
          <cell r="D685" t="str">
            <v>3" PVC clean-out</v>
          </cell>
        </row>
        <row r="686">
          <cell r="D686" t="str">
            <v>4" PVC clean-out</v>
          </cell>
        </row>
        <row r="687">
          <cell r="D687" t="str">
            <v>4" PVC end cap</v>
          </cell>
        </row>
        <row r="688">
          <cell r="D688" t="str">
            <v>2" PVC P-Trap</v>
          </cell>
        </row>
        <row r="689">
          <cell r="D689" t="str">
            <v>3"  PVC P-Trap</v>
          </cell>
        </row>
        <row r="690">
          <cell r="D690" t="str">
            <v>4" PVC P-Trap</v>
          </cell>
        </row>
        <row r="691">
          <cell r="D691" t="str">
            <v>2"x3", PVC Reducer</v>
          </cell>
        </row>
        <row r="692">
          <cell r="D692" t="str">
            <v>3"x4", PVC Reducer</v>
          </cell>
        </row>
        <row r="693">
          <cell r="D693" t="str">
            <v>2"x4", PVC Reducer</v>
          </cell>
        </row>
        <row r="694">
          <cell r="D694" t="str">
            <v>4"x2", PVC TEE</v>
          </cell>
        </row>
        <row r="695">
          <cell r="D695" t="str">
            <v>4"x2", PVC  WYE</v>
          </cell>
        </row>
        <row r="696">
          <cell r="D696" t="str">
            <v>3"x4", PVC  WYE</v>
          </cell>
        </row>
        <row r="697">
          <cell r="D697" t="str">
            <v>3"x2", PVC  WYE</v>
          </cell>
        </row>
        <row r="698">
          <cell r="D698" t="str">
            <v>4" PVC Coupling</v>
          </cell>
        </row>
        <row r="699">
          <cell r="D699" t="str">
            <v>3/4" uPVC Elbow</v>
          </cell>
        </row>
        <row r="700">
          <cell r="D700" t="str">
            <v>3/4" uPVC Tee</v>
          </cell>
        </row>
        <row r="701">
          <cell r="D701" t="str">
            <v>3/4" uPVC Coupling</v>
          </cell>
        </row>
        <row r="702">
          <cell r="D702" t="str">
            <v>3" uPVC Coupling</v>
          </cell>
        </row>
        <row r="703">
          <cell r="D703" t="str">
            <v>4" uPVC Coupling</v>
          </cell>
        </row>
        <row r="704">
          <cell r="D704" t="str">
            <v>3/4" uPVC Nipple</v>
          </cell>
        </row>
        <row r="705">
          <cell r="D705" t="str">
            <v>½"x3/4", uPVC Reducer</v>
          </cell>
        </row>
        <row r="706">
          <cell r="D706" t="str">
            <v xml:space="preserve">½" uPVC Water Pipe </v>
          </cell>
        </row>
        <row r="707">
          <cell r="D707" t="str">
            <v xml:space="preserve">3/4" uPVC Water Pipe </v>
          </cell>
        </row>
        <row r="708">
          <cell r="D708" t="str">
            <v xml:space="preserve">4" uPVC Water Pipe </v>
          </cell>
        </row>
        <row r="709">
          <cell r="D709" t="str">
            <v xml:space="preserve">3" uPVC Water Pipe </v>
          </cell>
        </row>
        <row r="710">
          <cell r="D710" t="str">
            <v xml:space="preserve">2" uPVC Water Pipe </v>
          </cell>
        </row>
        <row r="711">
          <cell r="D711" t="str">
            <v xml:space="preserve">1-1/2" uPVC Water Pipe </v>
          </cell>
        </row>
        <row r="712">
          <cell r="D712" t="str">
            <v xml:space="preserve">1" uPVC Water Pipe </v>
          </cell>
        </row>
        <row r="713">
          <cell r="D713" t="str">
            <v xml:space="preserve">2-1/2" uPVC Water Pipe </v>
          </cell>
        </row>
        <row r="714">
          <cell r="D714" t="str">
            <v>3/4" uPVC Nipple</v>
          </cell>
        </row>
        <row r="715">
          <cell r="D715" t="str">
            <v>( PE PIPES AND FITTINGS )</v>
          </cell>
        </row>
        <row r="716">
          <cell r="D716" t="str">
            <v>PE Pipe, SDR 9  3/8"</v>
          </cell>
        </row>
        <row r="717">
          <cell r="D717" t="str">
            <v>PE Pipe, SDR 9  1/2"</v>
          </cell>
        </row>
        <row r="718">
          <cell r="D718" t="str">
            <v>PE Pipe, SDR 9  3/4"</v>
          </cell>
        </row>
        <row r="719">
          <cell r="D719" t="str">
            <v>PE Pipe, SDR 9  1"</v>
          </cell>
        </row>
        <row r="720">
          <cell r="D720" t="str">
            <v>PE Pipe, SDR 9  1-1/4"</v>
          </cell>
        </row>
        <row r="721">
          <cell r="D721" t="str">
            <v>PE Pipe, SDR 9  1-1/2"</v>
          </cell>
        </row>
        <row r="722">
          <cell r="D722" t="str">
            <v>PE Pipe, SDR 9  2"</v>
          </cell>
        </row>
        <row r="723">
          <cell r="D723" t="str">
            <v>PE Pipe, SDR 9  2-1/2"</v>
          </cell>
        </row>
        <row r="724">
          <cell r="D724" t="str">
            <v>PE Pipe, SDR 9  3"</v>
          </cell>
        </row>
        <row r="725">
          <cell r="D725" t="str">
            <v>PE Pipe, SDR 9  4"</v>
          </cell>
        </row>
        <row r="726">
          <cell r="D726" t="str">
            <v>PE Pipe, SDR 9  6"</v>
          </cell>
        </row>
        <row r="727">
          <cell r="D727" t="str">
            <v>PE Pipe, SDR 11  3/8"</v>
          </cell>
        </row>
        <row r="728">
          <cell r="D728" t="str">
            <v>PE Pipe, SDR 11  1/2"</v>
          </cell>
        </row>
        <row r="729">
          <cell r="D729" t="str">
            <v>PE Pipe, SDR 11  3/4"</v>
          </cell>
        </row>
        <row r="730">
          <cell r="D730" t="str">
            <v>PE Pipe, SDR 11  1"</v>
          </cell>
        </row>
        <row r="731">
          <cell r="D731" t="str">
            <v>PE Pipe, SDR 11  1-1/4"</v>
          </cell>
        </row>
        <row r="732">
          <cell r="D732" t="str">
            <v>PE Pipe, SDR 11  1-1/2"</v>
          </cell>
        </row>
        <row r="733">
          <cell r="D733" t="str">
            <v>PE Pipe, SDR 11  2"</v>
          </cell>
        </row>
        <row r="734">
          <cell r="D734" t="str">
            <v>PE Pipe, SDR 11  2-1/2"</v>
          </cell>
        </row>
        <row r="735">
          <cell r="D735" t="str">
            <v>PE Pipe, SDR 11  3"</v>
          </cell>
        </row>
        <row r="736">
          <cell r="D736" t="str">
            <v>PE Pipe, SDR 11  4"</v>
          </cell>
        </row>
        <row r="737">
          <cell r="D737" t="str">
            <v>PE Pipe, SDR 11  6"</v>
          </cell>
        </row>
        <row r="738">
          <cell r="D738" t="str">
            <v>PE Pipe, SDR 13.5   3/8"</v>
          </cell>
        </row>
        <row r="739">
          <cell r="D739" t="str">
            <v>PE Pipe, SDR 13.5   1/2"</v>
          </cell>
        </row>
        <row r="740">
          <cell r="D740" t="str">
            <v>PE Pipe, SDR 13.5   3/4"</v>
          </cell>
        </row>
        <row r="741">
          <cell r="D741" t="str">
            <v>PE Pipe, SDR 13.5   1"</v>
          </cell>
        </row>
        <row r="742">
          <cell r="D742" t="str">
            <v>PE Pipe, SDR 13.5   1-1/4"</v>
          </cell>
        </row>
        <row r="743">
          <cell r="D743" t="str">
            <v>PE Pipe, SDR 13.5   1-1/2"</v>
          </cell>
        </row>
        <row r="744">
          <cell r="D744" t="str">
            <v>PE Pipe, SDR 13.5   2"</v>
          </cell>
        </row>
        <row r="745">
          <cell r="D745" t="str">
            <v>PE Pipe, SDR 13.5   2-1/2"</v>
          </cell>
        </row>
        <row r="746">
          <cell r="D746" t="str">
            <v>PE Pipe, SDR 13.5   3"</v>
          </cell>
        </row>
        <row r="747">
          <cell r="D747" t="str">
            <v>PE Pipe, SDR 13.5   4"</v>
          </cell>
        </row>
        <row r="748">
          <cell r="D748" t="str">
            <v>PE Pipe, SDR 13.5   6"</v>
          </cell>
        </row>
        <row r="749">
          <cell r="D749" t="str">
            <v>PE Pipe, SDR 17   3/8"</v>
          </cell>
        </row>
        <row r="750">
          <cell r="D750" t="str">
            <v>PE Pipe, SDR 17   1/2"</v>
          </cell>
        </row>
        <row r="751">
          <cell r="D751" t="str">
            <v>PE Pipe, SDR 17   3/4"</v>
          </cell>
        </row>
        <row r="752">
          <cell r="D752" t="str">
            <v>PE Pipe, SDR 17   1"</v>
          </cell>
        </row>
        <row r="753">
          <cell r="D753" t="str">
            <v>PE Pipe, SDR 17   1-1/4"</v>
          </cell>
        </row>
        <row r="754">
          <cell r="D754" t="str">
            <v>PE Pipe, SDR 17   1-1/2"</v>
          </cell>
        </row>
        <row r="755">
          <cell r="D755" t="str">
            <v>PE Pipe, SDR 17   2"</v>
          </cell>
        </row>
        <row r="756">
          <cell r="D756" t="str">
            <v>PE Pipe, SDR 17   2-1/2"</v>
          </cell>
        </row>
        <row r="757">
          <cell r="D757" t="str">
            <v>PE Pipe, SDR 17   3"</v>
          </cell>
        </row>
        <row r="758">
          <cell r="D758" t="str">
            <v>PE Pipe, SDR 17   4"</v>
          </cell>
        </row>
        <row r="759">
          <cell r="D759" t="str">
            <v>PE Pipe, SDR 17   6"</v>
          </cell>
        </row>
        <row r="760">
          <cell r="D760" t="str">
            <v>PE Pipe, SDR 17   1/2"</v>
          </cell>
        </row>
        <row r="761">
          <cell r="D761" t="str">
            <v>PE PIPES FITTINGS FACTOR =</v>
          </cell>
        </row>
        <row r="762">
          <cell r="D762" t="str">
            <v>PE Pipe, SDR 17   1"</v>
          </cell>
        </row>
        <row r="763">
          <cell r="D763" t="str">
            <v>PE PIPE MALE ADAPTOR</v>
          </cell>
        </row>
        <row r="764">
          <cell r="D764" t="str">
            <v>PE Pipe Male Thread Adaptor - 20mm x 1/2"</v>
          </cell>
        </row>
        <row r="765">
          <cell r="D765" t="str">
            <v>PE Pipe Male Thread Adaptor - 25mm x 3/4"</v>
          </cell>
        </row>
        <row r="766">
          <cell r="D766" t="str">
            <v>PE Pipe Male Thread Adaptor - 32mm x 1"</v>
          </cell>
        </row>
        <row r="767">
          <cell r="D767" t="str">
            <v>PE Pipe Male Thread Adaptor - 40mm x 1-1/4"</v>
          </cell>
        </row>
        <row r="768">
          <cell r="D768" t="str">
            <v>PE Pipe Male Thread Adaptor - 50mm x 1-1/2"</v>
          </cell>
        </row>
        <row r="769">
          <cell r="D769" t="str">
            <v>PE Pipe Male Thread Adaptor - 63mm x 2"</v>
          </cell>
        </row>
        <row r="770">
          <cell r="D770" t="str">
            <v>PE Pipe Male Thread Adaptor - 90mm x 3"</v>
          </cell>
        </row>
        <row r="771">
          <cell r="D771" t="str">
            <v>PE PIPES FITTINGS FACTOR =</v>
          </cell>
        </row>
        <row r="772">
          <cell r="D772" t="str">
            <v>PE PIPE FEMALE ADAPTOR</v>
          </cell>
        </row>
        <row r="773">
          <cell r="D773" t="str">
            <v>PE Pipe Female Thread Adaptor - 20mm x 1/2"</v>
          </cell>
        </row>
        <row r="774">
          <cell r="D774" t="str">
            <v>PE Pipe Female Thread Adaptor - 25mm x 3/4"</v>
          </cell>
        </row>
        <row r="775">
          <cell r="D775" t="str">
            <v>PE Pipe Female Thread Adaptor - 32mm x 1"</v>
          </cell>
        </row>
        <row r="776">
          <cell r="D776" t="str">
            <v>PE Pipe Female Thread Adaptor - 50mm x 1-1/2"</v>
          </cell>
        </row>
        <row r="777">
          <cell r="D777" t="str">
            <v>PE Pipe Female Thread Adaptor - 63mm x 2"</v>
          </cell>
        </row>
        <row r="778">
          <cell r="D778" t="str">
            <v>PE Pipe Female Thread Adaptor - 90mm x 3"</v>
          </cell>
        </row>
        <row r="779">
          <cell r="D779" t="str">
            <v>PE Pipe Male Thread Adaptor - 63mm x 2"</v>
          </cell>
        </row>
        <row r="780">
          <cell r="D780" t="str">
            <v>STRAIGHT COUPLER</v>
          </cell>
        </row>
        <row r="781">
          <cell r="D781" t="str">
            <v>PE Pipe Straight Coupler - 20mm x 20mm</v>
          </cell>
        </row>
        <row r="782">
          <cell r="D782" t="str">
            <v>PE Pipe Straight Coupler - 25mm x 25mm</v>
          </cell>
        </row>
        <row r="783">
          <cell r="D783" t="str">
            <v>PE Pipe Straight Coupler - 32mm x 32mm</v>
          </cell>
        </row>
        <row r="784">
          <cell r="D784" t="str">
            <v>PE Pipe Straight Coupler - 40mm x 40mm</v>
          </cell>
        </row>
        <row r="785">
          <cell r="D785" t="str">
            <v>PE Pipe Straight Coupler - 50mm x 50mm</v>
          </cell>
        </row>
        <row r="786">
          <cell r="D786" t="str">
            <v>PE Pipe Straight Coupler - 63mm x 63mm</v>
          </cell>
        </row>
        <row r="787">
          <cell r="D787" t="str">
            <v>PE Pipe Straight Coupler - 75mm x 75mm</v>
          </cell>
        </row>
        <row r="788">
          <cell r="D788" t="str">
            <v>PE Pipe Straight Coupler - 90mm x 90mm</v>
          </cell>
        </row>
        <row r="789">
          <cell r="D789" t="str">
            <v>PE Pipe Straight Coupler - 90mm x 90mm</v>
          </cell>
        </row>
        <row r="790">
          <cell r="D790" t="str">
            <v>REDUCING COUPLER</v>
          </cell>
        </row>
        <row r="791">
          <cell r="D791" t="str">
            <v>PE Pipe Reducing Coupler - 25mm x 20mm</v>
          </cell>
        </row>
        <row r="792">
          <cell r="D792" t="str">
            <v>PE Pipe Reducing Coupler - 32mm x 20mm</v>
          </cell>
        </row>
        <row r="793">
          <cell r="D793" t="str">
            <v>PE Pipe Reducing Coupler - 32mm x 25mm</v>
          </cell>
        </row>
        <row r="794">
          <cell r="D794" t="str">
            <v>PE Pipe Reducing Coupler - 40mm x 32mm</v>
          </cell>
        </row>
        <row r="795">
          <cell r="D795" t="str">
            <v>PE Pipe Reducing Coupler - 50mm x 25mm</v>
          </cell>
        </row>
        <row r="796">
          <cell r="D796" t="str">
            <v>PE Pipe Reducing Coupler - 50mm x 32mm</v>
          </cell>
        </row>
        <row r="797">
          <cell r="D797" t="str">
            <v>PE Pipe Reducing Coupler - 50mm x 40mm</v>
          </cell>
        </row>
        <row r="798">
          <cell r="D798" t="str">
            <v>PE Pipe Reducing Coupler - 63mm x 32mm</v>
          </cell>
        </row>
        <row r="799">
          <cell r="D799" t="str">
            <v>PE Pipe Reducing Coupler - 63mm x 40mm</v>
          </cell>
        </row>
        <row r="800">
          <cell r="D800" t="str">
            <v>PE Pipe Reducing Coupler - 63mm x 50mm</v>
          </cell>
        </row>
        <row r="801">
          <cell r="D801" t="str">
            <v>PE Pipe Reducing Coupler - 90mm x 63mm</v>
          </cell>
        </row>
        <row r="802">
          <cell r="D802" t="str">
            <v>PE Pipe Reducing Coupler - 32mm x 20mm</v>
          </cell>
        </row>
        <row r="803">
          <cell r="D803" t="str">
            <v>END CAP</v>
          </cell>
        </row>
        <row r="804">
          <cell r="D804" t="str">
            <v>PE Pipe End Cap - 20mm</v>
          </cell>
        </row>
        <row r="805">
          <cell r="D805" t="str">
            <v>PE Pipe End Cap - 25mm</v>
          </cell>
        </row>
        <row r="806">
          <cell r="D806" t="str">
            <v>PE Pipe End Cap - 32mm</v>
          </cell>
        </row>
        <row r="807">
          <cell r="D807" t="str">
            <v>PE Pipe End Cap - 40mm</v>
          </cell>
        </row>
        <row r="808">
          <cell r="D808" t="str">
            <v>PE Pipe End Cap - 50mm</v>
          </cell>
        </row>
        <row r="809">
          <cell r="D809" t="str">
            <v>PE Pipe End Cap - 63mm</v>
          </cell>
        </row>
        <row r="810">
          <cell r="D810" t="str">
            <v>PE Pipe End Cap - 90mm</v>
          </cell>
        </row>
        <row r="811">
          <cell r="D811" t="str">
            <v>PE Pipe Reducing Coupler - 90mm x 63mm</v>
          </cell>
        </row>
        <row r="812">
          <cell r="D812" t="str">
            <v>MALE TEE</v>
          </cell>
        </row>
        <row r="813">
          <cell r="D813" t="str">
            <v>PE Pipe Male Tee - 20mm x 1/2"</v>
          </cell>
        </row>
        <row r="814">
          <cell r="D814" t="str">
            <v>PE Pipe Male Tee - 20mm x 3/4"</v>
          </cell>
        </row>
        <row r="815">
          <cell r="D815" t="str">
            <v>PE Pipe Male Tee - 25mm x 1/2"</v>
          </cell>
        </row>
        <row r="816">
          <cell r="D816" t="str">
            <v>PE Pipe Male Tee - 25mm x 3/4"</v>
          </cell>
        </row>
        <row r="817">
          <cell r="D817" t="str">
            <v>PE Pipe Male Tee - 32mm x 3/4"</v>
          </cell>
        </row>
        <row r="818">
          <cell r="D818" t="str">
            <v>PE Pipe Male Tee - 32mm x 1"</v>
          </cell>
        </row>
        <row r="819">
          <cell r="D819" t="str">
            <v>PE Pipe Male Tee - 50mm x 1-1/2"</v>
          </cell>
        </row>
        <row r="820">
          <cell r="D820" t="str">
            <v>PE Pipe Male Tee - 63mm x 2"</v>
          </cell>
        </row>
        <row r="821">
          <cell r="D821" t="str">
            <v>PE Pipe Male Tee - 90mm x 3"</v>
          </cell>
        </row>
        <row r="822">
          <cell r="D822" t="str">
            <v>MALE TEE</v>
          </cell>
        </row>
        <row r="823">
          <cell r="D823" t="str">
            <v>FEMALE TEE</v>
          </cell>
        </row>
        <row r="824">
          <cell r="D824" t="str">
            <v>PE Pipe Female Tee - 20mm x 1/2"</v>
          </cell>
        </row>
        <row r="825">
          <cell r="D825" t="str">
            <v>PE Pipe Female Tee - 20mm x 3/4"</v>
          </cell>
        </row>
        <row r="826">
          <cell r="D826" t="str">
            <v>PE Pipe Female Tee - 25mm x 1/2"</v>
          </cell>
        </row>
        <row r="827">
          <cell r="D827" t="str">
            <v>PE Pipe Female Tee - 25mm x 3/4"</v>
          </cell>
        </row>
        <row r="828">
          <cell r="D828" t="str">
            <v>PE Pipe Female Tee - 32mm x 3/4"</v>
          </cell>
        </row>
        <row r="829">
          <cell r="D829" t="str">
            <v>PE Pipe Female Tee - 32mm x 1"</v>
          </cell>
        </row>
        <row r="830">
          <cell r="D830" t="str">
            <v>PE Pipe Female Tee - 50mm x 1-1/2"</v>
          </cell>
        </row>
        <row r="831">
          <cell r="D831" t="str">
            <v>PE Pipe Female Tee - 63mm x 2"</v>
          </cell>
        </row>
        <row r="832">
          <cell r="D832" t="str">
            <v>PE Pipe Female Tee - 90mm x 3"</v>
          </cell>
        </row>
        <row r="833">
          <cell r="D833" t="str">
            <v>FEMALE TEE</v>
          </cell>
        </row>
        <row r="834">
          <cell r="D834" t="str">
            <v>REDUCING TEE</v>
          </cell>
        </row>
        <row r="835">
          <cell r="D835" t="str">
            <v>PE Pipe Reducing Tee - 25mm x 20mm</v>
          </cell>
        </row>
        <row r="836">
          <cell r="D836" t="str">
            <v>PE Pipe Reducing Tee - 32mm x 20mm</v>
          </cell>
        </row>
        <row r="837">
          <cell r="D837" t="str">
            <v>PE Pipe Reducing Tee - 32mm x 25mm</v>
          </cell>
        </row>
        <row r="838">
          <cell r="D838" t="str">
            <v>PE Pipe Reducing Tee - 40mm x 32mm</v>
          </cell>
        </row>
        <row r="839">
          <cell r="D839" t="str">
            <v>PE Pipe Reducing Tee - 50mm x 32mm</v>
          </cell>
        </row>
        <row r="840">
          <cell r="D840" t="str">
            <v>PE Pipe Reducing Tee - 50mm x 40mm</v>
          </cell>
        </row>
        <row r="841">
          <cell r="D841" t="str">
            <v>PE Pipe Reducing Tee - 63mm x 50mm</v>
          </cell>
        </row>
        <row r="842">
          <cell r="D842" t="str">
            <v>PE Pipe Female Tee - 90mm x 3"</v>
          </cell>
        </row>
        <row r="843">
          <cell r="D843" t="str">
            <v>EQUAL TEE</v>
          </cell>
        </row>
        <row r="844">
          <cell r="D844" t="str">
            <v>PE Pipe Equal Tee - 20mm x 20mm</v>
          </cell>
        </row>
        <row r="845">
          <cell r="D845" t="str">
            <v>PE Pipe Equal Tee - 20mm x 25mm</v>
          </cell>
        </row>
        <row r="846">
          <cell r="D846" t="str">
            <v>PE Pipe Equal Tee - 32mm x 32mm</v>
          </cell>
        </row>
        <row r="847">
          <cell r="D847" t="str">
            <v>PE Pipe Equal Tee - 40mm x 40mm</v>
          </cell>
        </row>
        <row r="848">
          <cell r="D848" t="str">
            <v>PE Pipe Equal Tee - 50mm x 50mm</v>
          </cell>
        </row>
        <row r="849">
          <cell r="D849" t="str">
            <v>PE Pipe Equal Tee - 63mm x 63mm</v>
          </cell>
        </row>
        <row r="850">
          <cell r="D850" t="str">
            <v>PE Pipe Equal Tee - 90mm x 90mm</v>
          </cell>
        </row>
        <row r="851">
          <cell r="D851" t="str">
            <v>PE Pipe Reducing Tee - 63mm x 50mm</v>
          </cell>
        </row>
        <row r="852">
          <cell r="D852" t="str">
            <v>EQUAL BEND 90°</v>
          </cell>
        </row>
        <row r="853">
          <cell r="D853" t="str">
            <v>PE Pipe Equal Bend 90° - 20mm x 20mm</v>
          </cell>
        </row>
        <row r="854">
          <cell r="D854" t="str">
            <v>PE Pipe Equal Bend 90° - 20mm x 25mm</v>
          </cell>
        </row>
        <row r="855">
          <cell r="D855" t="str">
            <v>PE Pipe Equal Bend 90° - 32mm x 32mm</v>
          </cell>
        </row>
        <row r="856">
          <cell r="D856" t="str">
            <v>PE Pipe Equal Bend 90° - 40mm x 40mm</v>
          </cell>
        </row>
        <row r="857">
          <cell r="D857" t="str">
            <v>PE Pipe Equal Bend 90° - 50mm x 50mm</v>
          </cell>
        </row>
        <row r="858">
          <cell r="D858" t="str">
            <v>PE Pipe Equal Bend 90° - 63mm x 63mm</v>
          </cell>
        </row>
        <row r="859">
          <cell r="D859" t="str">
            <v>PE Pipe Equal Bend 90° - 90mm x 90mm</v>
          </cell>
        </row>
        <row r="860">
          <cell r="D860" t="str">
            <v>PE Pipe Equal Tee - 90mm x 90mm</v>
          </cell>
        </row>
        <row r="861">
          <cell r="D861" t="str">
            <v>FEMALE BEND 90°</v>
          </cell>
        </row>
        <row r="862">
          <cell r="D862" t="str">
            <v>PE Pipe Female Bend 90° - 20mm x 1/2"</v>
          </cell>
        </row>
        <row r="863">
          <cell r="D863" t="str">
            <v>PE Pipe Female Bend 90° - 20mm x 3/4"</v>
          </cell>
        </row>
        <row r="864">
          <cell r="D864" t="str">
            <v>PE Pipe Female Bend 90° - 25mm x 1/2"</v>
          </cell>
        </row>
        <row r="865">
          <cell r="D865" t="str">
            <v>PE Pipe Female Bend 90° - 25mm x 3/4"</v>
          </cell>
        </row>
        <row r="866">
          <cell r="D866" t="str">
            <v>PE Pipe Female Bend 90° - 25mm x 1"</v>
          </cell>
        </row>
        <row r="867">
          <cell r="D867" t="str">
            <v>PE Pipe Female Bend 90° - 32mm x 3/4"</v>
          </cell>
        </row>
        <row r="868">
          <cell r="D868" t="str">
            <v>PE Pipe Female Bend 90° - 32mm x 1"</v>
          </cell>
        </row>
        <row r="869">
          <cell r="D869" t="str">
            <v>PE Pipe Female Bend 90° - 50mm x 1-1/2"</v>
          </cell>
        </row>
        <row r="870">
          <cell r="D870" t="str">
            <v>PE Pipe Female Bend 90° - 63mm x 2"</v>
          </cell>
        </row>
        <row r="871">
          <cell r="D871" t="str">
            <v>PE Pipe Female Bend 90° - 90mm x 3"</v>
          </cell>
        </row>
        <row r="872">
          <cell r="D872" t="str">
            <v>PE Pipe Female Bend 90° - 20mm x 1/2"</v>
          </cell>
        </row>
        <row r="873">
          <cell r="D873" t="str">
            <v>MALE BEND 90°</v>
          </cell>
        </row>
        <row r="874">
          <cell r="D874" t="str">
            <v>PE Pipe Male Bend 90° - 20mm x 1/2"</v>
          </cell>
        </row>
        <row r="875">
          <cell r="D875" t="str">
            <v>PE Pipe Male Bend 90° - 20mm x 3/4"</v>
          </cell>
        </row>
        <row r="876">
          <cell r="D876" t="str">
            <v>PE Pipe Male Bend 90° - 25mm x 1/2"</v>
          </cell>
        </row>
        <row r="877">
          <cell r="D877" t="str">
            <v>PE Pipe Male Bend 90° - 25mm x 3/4"</v>
          </cell>
        </row>
        <row r="878">
          <cell r="D878" t="str">
            <v>PE Pipe Male Bend 90° - 25mm x 1"</v>
          </cell>
        </row>
        <row r="879">
          <cell r="D879" t="str">
            <v>PE Pipe Male Bend 90° - 32mm x 3/4"</v>
          </cell>
        </row>
        <row r="880">
          <cell r="D880" t="str">
            <v>PE Pipe Male Bend 90° - 32mm x 1"</v>
          </cell>
        </row>
        <row r="881">
          <cell r="D881" t="str">
            <v>PE Pipe Male Bend 90° - 50mm x 1-1/2"</v>
          </cell>
        </row>
        <row r="882">
          <cell r="D882" t="str">
            <v>PE Pipe Male Bend 90° - 63mm x 2"</v>
          </cell>
        </row>
        <row r="883">
          <cell r="D883" t="str">
            <v>PE Pipe Male Bend 90° - 90mm x 3"</v>
          </cell>
        </row>
        <row r="884">
          <cell r="D884" t="str">
            <v>PE Pipe Male Bend 90° - 20mm x 1/2"</v>
          </cell>
        </row>
        <row r="885">
          <cell r="D885" t="str">
            <v>SINGLE OUTLET SADDLE CLAMP</v>
          </cell>
        </row>
        <row r="886">
          <cell r="D886" t="str">
            <v>PE Pipe Single Outlet Saddle Clamp - 32mm x 3/4"</v>
          </cell>
        </row>
        <row r="887">
          <cell r="D887" t="str">
            <v>PE Pipe Single Outlet Saddle Clamp - 32mm x 1"</v>
          </cell>
        </row>
        <row r="888">
          <cell r="D888" t="str">
            <v>PE Pipe Single Outlet Saddle Clamp - 40mm x 1"</v>
          </cell>
        </row>
        <row r="889">
          <cell r="D889" t="str">
            <v>PE Pipe Single Outlet Saddle Clamp - 50mm x 3/4"</v>
          </cell>
        </row>
        <row r="890">
          <cell r="D890" t="str">
            <v>PE Pipe Single Outlet Saddle Clamp - 50mm x 1"</v>
          </cell>
        </row>
        <row r="891">
          <cell r="D891" t="str">
            <v>PE Pipe Single Outlet Saddle Clamp - 63mm x 3/4"</v>
          </cell>
        </row>
        <row r="892">
          <cell r="D892" t="str">
            <v>PE Pipe Single Outlet Saddle Clamp - 63mm x 1"</v>
          </cell>
        </row>
        <row r="893">
          <cell r="D893" t="str">
            <v>PE Pipe Single Outlet Saddle Clamp - 73mm x 1"</v>
          </cell>
        </row>
        <row r="894">
          <cell r="D894" t="str">
            <v>PE Pipe Single Outlet Saddle Clamp - 90mm x 3/4"</v>
          </cell>
        </row>
        <row r="895">
          <cell r="D895" t="str">
            <v>PE Pipe Single Outlet Saddle Clamp - 90mm x 1"</v>
          </cell>
        </row>
        <row r="896">
          <cell r="D896" t="str">
            <v>PE Pipe Single Outlet Saddle Clamp - 90mm x 2"</v>
          </cell>
        </row>
        <row r="897">
          <cell r="D897" t="str">
            <v>PE Pipe Single Outlet Saddle Clamp - 110mm x 3/4"</v>
          </cell>
        </row>
        <row r="898">
          <cell r="D898" t="str">
            <v>PE Pipe Single Outlet Saddle Clamp - 110mm x 1"</v>
          </cell>
        </row>
        <row r="899">
          <cell r="D899" t="str">
            <v>PE Pipe Single Outlet Saddle Clamp - 110mm x 1-1/4"</v>
          </cell>
        </row>
        <row r="900">
          <cell r="D900" t="str">
            <v>PE Pipe Single Outlet Saddle Clamp - 110mm x 2"</v>
          </cell>
        </row>
        <row r="901">
          <cell r="D901" t="str">
            <v>PE Pipe Single Outlet Saddle Clamp - 160mm x 3/4"</v>
          </cell>
        </row>
        <row r="902">
          <cell r="D902" t="str">
            <v>PE Pipe Single Outlet Saddle Clamp - 160mm x 1"</v>
          </cell>
        </row>
        <row r="903">
          <cell r="D903" t="str">
            <v>PE Pipe Single Outlet Saddle Clamp - 160mm x 2"</v>
          </cell>
        </row>
        <row r="904">
          <cell r="D904" t="str">
            <v>PE Pipe Single Outlet Saddle Clamp - 90mm x 3/4"</v>
          </cell>
        </row>
        <row r="905">
          <cell r="D905" t="str">
            <v>DOUBLE OUTLET SADDLE CLAMP</v>
          </cell>
        </row>
        <row r="906">
          <cell r="D906" t="str">
            <v>PE Pipe Double Outlet Saddle Clamp - 32mm x 3/4" x 3/4"</v>
          </cell>
        </row>
        <row r="907">
          <cell r="D907" t="str">
            <v>PE Pipe Double Outlet Saddle Clamp - 32mm x 1" x 1"</v>
          </cell>
        </row>
        <row r="908">
          <cell r="D908" t="str">
            <v>PE Pipe Double Outlet Saddle Clamp - 50mm x 3/4" x 3/4"</v>
          </cell>
        </row>
        <row r="909">
          <cell r="D909" t="str">
            <v>PE Pipe Double Outlet Saddle Clamp - 50mm x 1" x 1"</v>
          </cell>
        </row>
        <row r="910">
          <cell r="D910" t="str">
            <v>PE Pipe Double Outlet Saddle Clamp - 63mm x 3/4" x 3/4"</v>
          </cell>
        </row>
        <row r="911">
          <cell r="D911" t="str">
            <v>PE Pipe Double Outlet Saddle Clamp - 63mm x 1" x 1"</v>
          </cell>
        </row>
        <row r="912">
          <cell r="D912" t="str">
            <v>PE Pipe Double Outlet Saddle Clamp - 90mm x 3/4" x 3/4"</v>
          </cell>
        </row>
        <row r="913">
          <cell r="D913" t="str">
            <v>PE Pipe Double Outlet Saddle Clamp - 90mm x 1" x 1"</v>
          </cell>
        </row>
        <row r="914">
          <cell r="D914" t="str">
            <v>PE Pipe Double Outlet Saddle Clamp - 90mm x 2" x 2"</v>
          </cell>
        </row>
        <row r="915">
          <cell r="D915" t="str">
            <v>PE Pipe Double Outlet Saddle Clamp - 110mm x 3/4" x 3/4"</v>
          </cell>
        </row>
        <row r="916">
          <cell r="D916" t="str">
            <v>PE Pipe Double Outlet Saddle Clamp - 110mm x 1" x 1"</v>
          </cell>
        </row>
        <row r="917">
          <cell r="D917" t="str">
            <v>PE Pipe Double Outlet Saddle Clamp - 110mm x 2" x 2"</v>
          </cell>
        </row>
        <row r="918">
          <cell r="D918" t="str">
            <v>PE Pipe Double Outlet Saddle Clamp - 160mm x 3/4" x 3/4"</v>
          </cell>
        </row>
        <row r="919">
          <cell r="D919" t="str">
            <v>PE Pipe Double Outlet Saddle Clamp - 160mm x 1" x 1"</v>
          </cell>
        </row>
        <row r="920">
          <cell r="D920" t="str">
            <v>PE Pipe Double Outlet Saddle Clamp - 160mm x 2" x 2"</v>
          </cell>
        </row>
        <row r="921">
          <cell r="D921" t="str">
            <v>PE Pipe Double Outlet Saddle Clamp - 63mm x 1" x 1"</v>
          </cell>
        </row>
        <row r="922">
          <cell r="D922" t="str">
            <v>SPIGOT - Stub End</v>
          </cell>
        </row>
        <row r="923">
          <cell r="D923" t="str">
            <v>PE Pipe Stub End Long Collar - 90mm x 63mm</v>
          </cell>
        </row>
        <row r="924">
          <cell r="D924" t="str">
            <v>PE Pipe Stub End Long Collar - 110mm x 63mm</v>
          </cell>
        </row>
        <row r="925">
          <cell r="D925" t="str">
            <v>PE Pipe Stub End Long Collar - 160mm x 63mm</v>
          </cell>
        </row>
        <row r="926">
          <cell r="D926" t="str">
            <v>PE Pipe Stub End Long Collar - 160mm x 110mm</v>
          </cell>
        </row>
        <row r="927">
          <cell r="D927" t="str">
            <v>PE Pipe Double Outlet Saddle Clamp - 110mm x 2" x 2"</v>
          </cell>
        </row>
        <row r="928">
          <cell r="D928" t="str">
            <v>SPIGOT - Reducer</v>
          </cell>
        </row>
        <row r="929">
          <cell r="D929" t="str">
            <v>PE Pipe (Spigot) Reducer - 63mm</v>
          </cell>
        </row>
        <row r="930">
          <cell r="D930" t="str">
            <v>PE Pipe (Spigot) Reducer - 90mm</v>
          </cell>
        </row>
        <row r="931">
          <cell r="D931" t="str">
            <v>PE Pipe (Spigot) Reducer - 110mm</v>
          </cell>
        </row>
        <row r="932">
          <cell r="D932" t="str">
            <v>PE Pipe (Spigot) Reducer - 160mm</v>
          </cell>
        </row>
        <row r="933">
          <cell r="D933" t="str">
            <v>PE Pipe Stub End Long Collar - 90mm x 63mm</v>
          </cell>
        </row>
        <row r="934">
          <cell r="D934" t="str">
            <v>PE Pipe, SDR 17   25mmØ</v>
          </cell>
        </row>
        <row r="935">
          <cell r="D935" t="str">
            <v>PE Pipe, SDR 17   32mmØ</v>
          </cell>
        </row>
        <row r="936">
          <cell r="D936" t="str">
            <v>PE Pipe, SDR 17   40mmØ</v>
          </cell>
        </row>
        <row r="937">
          <cell r="D937" t="str">
            <v>PE Pipe, SDR 17   50mmØ</v>
          </cell>
        </row>
        <row r="938">
          <cell r="D938" t="str">
            <v>PE Pipe, SDR 17   63mmØ</v>
          </cell>
        </row>
        <row r="939">
          <cell r="D939" t="str">
            <v>PE Pipe, SDR 17  75mmØ</v>
          </cell>
        </row>
        <row r="940">
          <cell r="D940" t="str">
            <v>PE Pipe, SDR 17  90mmØ</v>
          </cell>
        </row>
        <row r="941">
          <cell r="D941" t="str">
            <v>PE Pipe (Spigot) Reducer - 110mm</v>
          </cell>
        </row>
        <row r="942">
          <cell r="D942" t="str">
            <v>3/8" PE Pipe Coupling/Connector</v>
          </cell>
        </row>
        <row r="943">
          <cell r="D943" t="str">
            <v>½" PE Pipe Coupling/Connector</v>
          </cell>
        </row>
        <row r="944">
          <cell r="D944" t="str">
            <v>3/4" PE Pipe Coupling/Connector</v>
          </cell>
        </row>
        <row r="945">
          <cell r="D945" t="str">
            <v>1" PE Pipe Coupling/Connector</v>
          </cell>
        </row>
        <row r="946">
          <cell r="D946" t="str">
            <v>1¼" PE Pipe Coupling/Connector</v>
          </cell>
        </row>
        <row r="947">
          <cell r="D947" t="str">
            <v>1½" PE Pipe Coupling/Connector</v>
          </cell>
        </row>
        <row r="948">
          <cell r="D948" t="str">
            <v>2" PE Pipe Coupling/Connector</v>
          </cell>
        </row>
        <row r="949">
          <cell r="D949" t="str">
            <v>2½" PE Pipe Coupling/Connector</v>
          </cell>
        </row>
        <row r="950">
          <cell r="D950" t="str">
            <v>3" PE Pipe Coupling/Connector</v>
          </cell>
        </row>
        <row r="951">
          <cell r="D951" t="str">
            <v>63mm X 2"dia. Male Adaptor, PLASSON</v>
          </cell>
        </row>
        <row r="952">
          <cell r="D952" t="str">
            <v>75mm X 2½"dia. Male Adaptor, PLASSON</v>
          </cell>
        </row>
        <row r="953">
          <cell r="D953" t="str">
            <v>½" PE Pipe Coupling/Connector</v>
          </cell>
        </row>
        <row r="954">
          <cell r="D954" t="str">
            <v>Butt Fusion</v>
          </cell>
        </row>
        <row r="955">
          <cell r="D955" t="str">
            <v>PE Pipe Butt Fussion - 25mmØ</v>
          </cell>
        </row>
        <row r="956">
          <cell r="D956" t="str">
            <v>PE Pipe Butt Fussion - 32mmØ</v>
          </cell>
        </row>
        <row r="957">
          <cell r="D957" t="str">
            <v>PE Pipe Butt Fussion - 40mmØ</v>
          </cell>
        </row>
        <row r="958">
          <cell r="D958" t="str">
            <v>PE Pipe Butt Fussion - 50mmØ</v>
          </cell>
        </row>
        <row r="959">
          <cell r="D959" t="str">
            <v>PE Pipe Butt Fussion - 63mmØ</v>
          </cell>
        </row>
        <row r="960">
          <cell r="D960" t="str">
            <v>PE Pipe Butt Fussion - 75mmØ</v>
          </cell>
        </row>
        <row r="961">
          <cell r="D961" t="str">
            <v>PE Pipe Butt Fussion - 90mmØ</v>
          </cell>
        </row>
        <row r="962">
          <cell r="D962" t="str">
            <v>75mm X 2½"dia. Male Adaptor, PLASSON</v>
          </cell>
        </row>
        <row r="963">
          <cell r="D963" t="str">
            <v>PE Pipe Butt Fussion - 25mm x 20mm</v>
          </cell>
        </row>
        <row r="964">
          <cell r="D964" t="str">
            <v>PE Pipe Butt Fussion - 32mm x 20mm</v>
          </cell>
        </row>
        <row r="965">
          <cell r="D965" t="str">
            <v>PE Pipe Butt Fussion - 32mm x 25mm</v>
          </cell>
        </row>
        <row r="966">
          <cell r="D966" t="str">
            <v>PE Pipe Butt Fussion - 50mm x 25mm</v>
          </cell>
        </row>
        <row r="967">
          <cell r="D967" t="str">
            <v>PE Pipe Butt Fussion - 50mm x 32mm</v>
          </cell>
        </row>
        <row r="968">
          <cell r="D968" t="str">
            <v>PE Pipe Butt Fussion - 50mm x 40mm</v>
          </cell>
        </row>
        <row r="969">
          <cell r="D969" t="str">
            <v>PE Pipe Butt Fussion - 63mm x 32mm</v>
          </cell>
        </row>
        <row r="970">
          <cell r="D970" t="str">
            <v>PE Pipe Butt Fussion - 63mm x 40mm</v>
          </cell>
        </row>
        <row r="971">
          <cell r="D971" t="str">
            <v>PE Pipe Butt Fussion - 63mm x 50mm</v>
          </cell>
        </row>
        <row r="972">
          <cell r="D972" t="str">
            <v>PE Pipe Butt Fussion - 90mm x 63mm</v>
          </cell>
        </row>
        <row r="973">
          <cell r="D973" t="str">
            <v>PE Pipe Butt Fussion - 25mm x 20mm</v>
          </cell>
        </row>
        <row r="974">
          <cell r="D974" t="str">
            <v>PE Pipe Butt Fussion - 32mm x 20mm</v>
          </cell>
        </row>
        <row r="975">
          <cell r="D975" t="str">
            <v>( SANITARY FIXTURES )</v>
          </cell>
        </row>
        <row r="976">
          <cell r="D976" t="str">
            <v>½" Brass Faucet, Plain Bibb</v>
          </cell>
        </row>
        <row r="977">
          <cell r="D977" t="str">
            <v>Water closet (ordinary)</v>
          </cell>
        </row>
        <row r="978">
          <cell r="D978" t="str">
            <v>Water closet</v>
          </cell>
        </row>
        <row r="979">
          <cell r="D979" t="str">
            <v>Water seal bowl (Pail Flush)</v>
          </cell>
        </row>
        <row r="980">
          <cell r="D980" t="str">
            <v>Lavatory, porcelain</v>
          </cell>
        </row>
        <row r="981">
          <cell r="D981" t="str">
            <v>Kitchen sink ( Aluminum)</v>
          </cell>
        </row>
        <row r="982">
          <cell r="D982" t="str">
            <v>Soap Holder (ceramic)</v>
          </cell>
        </row>
        <row r="983">
          <cell r="D983" t="str">
            <v>Paper Holder (ceramic)</v>
          </cell>
        </row>
        <row r="984">
          <cell r="D984" t="str">
            <v>4x4 Floor drain plate</v>
          </cell>
        </row>
        <row r="985">
          <cell r="D985" t="str">
            <v>6x6 Floor drain plate</v>
          </cell>
        </row>
        <row r="986">
          <cell r="D986" t="str">
            <v>1¼" Jetmatic Pump, Heavy Duty</v>
          </cell>
        </row>
        <row r="987">
          <cell r="D987" t="str">
            <v>Magsaysay Pump, Heavy Duty</v>
          </cell>
        </row>
        <row r="988">
          <cell r="D988" t="str">
            <v>Sink Strainer</v>
          </cell>
        </row>
        <row r="989">
          <cell r="D989" t="str">
            <v>Dome Type Roof Drain</v>
          </cell>
        </row>
        <row r="990">
          <cell r="D990" t="str">
            <v>Kitchen sink (Stainless)</v>
          </cell>
        </row>
        <row r="991">
          <cell r="D991" t="str">
            <v>Brass Faucet</v>
          </cell>
        </row>
        <row r="992">
          <cell r="D992" t="str">
            <v>Stainless Lavatory Faucet</v>
          </cell>
        </row>
        <row r="993">
          <cell r="D993" t="str">
            <v>150mm PVC Sanitary/Sewer Pipe x 3000</v>
          </cell>
        </row>
        <row r="994">
          <cell r="D994" t="str">
            <v>150mm PVC Pipe x 6000</v>
          </cell>
        </row>
        <row r="995">
          <cell r="D995" t="str">
            <v>6x6 Floor drain plate</v>
          </cell>
        </row>
        <row r="996">
          <cell r="D996" t="str">
            <v>( ELECTRICAL WIRES &amp; APURTENANCES )</v>
          </cell>
        </row>
        <row r="997">
          <cell r="D997" t="str">
            <v>#8 AWG TW Wire solid</v>
          </cell>
        </row>
        <row r="998">
          <cell r="D998" t="str">
            <v>#10 AWG TW Wire solid</v>
          </cell>
        </row>
        <row r="999">
          <cell r="D999" t="str">
            <v>#12 AWG TW Wire solid</v>
          </cell>
        </row>
        <row r="1000">
          <cell r="D1000" t="str">
            <v>#14 AWG TW Wire solid</v>
          </cell>
        </row>
        <row r="1001">
          <cell r="D1001" t="str">
            <v>#10 AWG TW Wire stranded</v>
          </cell>
        </row>
        <row r="1002">
          <cell r="D1002" t="str">
            <v>#12 AWG TW Wire stranded</v>
          </cell>
        </row>
        <row r="1003">
          <cell r="D1003" t="str">
            <v>#14 AWG TW Wire stranded</v>
          </cell>
        </row>
        <row r="1004">
          <cell r="D1004" t="str">
            <v>#10  PDX Wire</v>
          </cell>
        </row>
        <row r="1005">
          <cell r="D1005" t="str">
            <v>#12 PDX Wire</v>
          </cell>
        </row>
        <row r="1006">
          <cell r="D1006" t="str">
            <v>#14 PDX Wire</v>
          </cell>
        </row>
        <row r="1007">
          <cell r="D1007" t="str">
            <v>3/4" PolyFlex Pipe</v>
          </cell>
        </row>
        <row r="1008">
          <cell r="D1008" t="str">
            <v>½" Flexible conduit</v>
          </cell>
        </row>
        <row r="1009">
          <cell r="D1009" t="str">
            <v>1" Flexible conduit</v>
          </cell>
        </row>
        <row r="1010">
          <cell r="D1010" t="str">
            <v>½" Entrance Cap</v>
          </cell>
        </row>
        <row r="1011">
          <cell r="D1011" t="str">
            <v>20A Circuit Breakers</v>
          </cell>
        </row>
        <row r="1012">
          <cell r="D1012" t="str">
            <v>30A Circuit Breakers</v>
          </cell>
        </row>
        <row r="1013">
          <cell r="D1013" t="str">
            <v>40A Circuit Breakers</v>
          </cell>
        </row>
        <row r="1014">
          <cell r="D1014" t="str">
            <v>60ACircuit Breakers</v>
          </cell>
        </row>
        <row r="1015">
          <cell r="D1015" t="str">
            <v>100A Circuit Breakers</v>
          </cell>
        </row>
        <row r="1016">
          <cell r="D1016" t="str">
            <v>15A Fuse</v>
          </cell>
        </row>
        <row r="1017">
          <cell r="D1017" t="str">
            <v>20A Fuse</v>
          </cell>
        </row>
        <row r="1018">
          <cell r="D1018" t="str">
            <v>30A Fuse</v>
          </cell>
        </row>
        <row r="1019">
          <cell r="D1019" t="str">
            <v>60A Fuse</v>
          </cell>
        </row>
        <row r="1020">
          <cell r="D1020" t="str">
            <v>30A kWh Meter</v>
          </cell>
        </row>
        <row r="1021">
          <cell r="D1021" t="str">
            <v>60A kWh Meter</v>
          </cell>
        </row>
        <row r="1022">
          <cell r="D1022" t="str">
            <v>100A kWh Meter</v>
          </cell>
        </row>
        <row r="1023">
          <cell r="D1023" t="str">
            <v>2X4, Utility Box</v>
          </cell>
        </row>
        <row r="1024">
          <cell r="D1024" t="str">
            <v>4X4, Junction Box with cover (Square)</v>
          </cell>
        </row>
        <row r="1025">
          <cell r="D1025" t="str">
            <v>4X4, Junction Box with cover (Octagonal)</v>
          </cell>
        </row>
        <row r="1026">
          <cell r="D1026" t="str">
            <v>Porcelain Ceiling Outlet</v>
          </cell>
        </row>
        <row r="1027">
          <cell r="D1027" t="str">
            <v>Duplex convenience outlet (surface type)</v>
          </cell>
        </row>
        <row r="1028">
          <cell r="D1028" t="str">
            <v>Rubber female plug</v>
          </cell>
        </row>
        <row r="1029">
          <cell r="D1029" t="str">
            <v>Electrical Tape</v>
          </cell>
        </row>
        <row r="1030">
          <cell r="D1030" t="str">
            <v>Panel Board, 6-Breakers</v>
          </cell>
        </row>
        <row r="1031">
          <cell r="D1031" t="str">
            <v>One Gang Switch (flush type)</v>
          </cell>
        </row>
        <row r="1032">
          <cell r="D1032" t="str">
            <v>Two Gang Swicth (flush type)</v>
          </cell>
        </row>
        <row r="1033">
          <cell r="D1033" t="str">
            <v>Three Gang Swicth (flush type)</v>
          </cell>
        </row>
        <row r="1034">
          <cell r="D1034" t="str">
            <v>One Gang Outlet (flush type)</v>
          </cell>
        </row>
        <row r="1035">
          <cell r="D1035" t="str">
            <v>Two Gang Outlet (flush type)</v>
          </cell>
        </row>
        <row r="1036">
          <cell r="D1036" t="str">
            <v>Three Gang Outlet (flush type)</v>
          </cell>
        </row>
        <row r="1037">
          <cell r="D1037" t="str">
            <v>1/2" Metal Conduit Pipe, 3.0m</v>
          </cell>
        </row>
        <row r="1038">
          <cell r="D1038" t="str">
            <v>20mmØ PVC Conduit Pipes, 3.0m</v>
          </cell>
        </row>
        <row r="1039">
          <cell r="D1039" t="str">
            <v>Main Switch Box, 2P, Double-Throw</v>
          </cell>
        </row>
        <row r="1040">
          <cell r="D1040" t="str">
            <v>Porcelain Wire Holder</v>
          </cell>
        </row>
        <row r="1041">
          <cell r="D1041" t="str">
            <v>Panel Board, 6-Breakers</v>
          </cell>
        </row>
        <row r="1042">
          <cell r="D1042" t="str">
            <v>( LIGHTS AND LAMPS )</v>
          </cell>
        </row>
        <row r="1043">
          <cell r="D1043" t="str">
            <v>20W 220 V Flourescent Lamp</v>
          </cell>
        </row>
        <row r="1044">
          <cell r="D1044" t="str">
            <v>40W 220 V Flourescent Lamp</v>
          </cell>
        </row>
        <row r="1045">
          <cell r="D1045" t="str">
            <v>20W 220 V Reflectorized Flourescent Lamp, Single Housing</v>
          </cell>
        </row>
        <row r="1046">
          <cell r="D1046" t="str">
            <v>10W Incandescent Bulb</v>
          </cell>
        </row>
        <row r="1047">
          <cell r="D1047" t="str">
            <v>20W Incandescent Bulb</v>
          </cell>
        </row>
        <row r="1048">
          <cell r="D1048" t="str">
            <v>50W Incandescent Bulb</v>
          </cell>
        </row>
        <row r="1049">
          <cell r="D1049" t="str">
            <v>100W Incandescent Bulb</v>
          </cell>
        </row>
        <row r="1050">
          <cell r="D1050" t="str">
            <v>18 W SL 2000 Flourescent Bulb</v>
          </cell>
        </row>
        <row r="1051">
          <cell r="D1051" t="str">
            <v>18 W SL 2000 Flourescent Bulb</v>
          </cell>
        </row>
        <row r="1052">
          <cell r="D1052" t="str">
            <v>Porcelain Wire Holder</v>
          </cell>
        </row>
        <row r="1053">
          <cell r="D1053" t="str">
            <v>( PAINTS &amp; ACCESSORIES )</v>
          </cell>
        </row>
        <row r="1054">
          <cell r="D1054" t="str">
            <v>Latex Paint Flat</v>
          </cell>
        </row>
        <row r="1055">
          <cell r="D1055" t="str">
            <v>Acrylic Latex Paint Flat</v>
          </cell>
        </row>
        <row r="1056">
          <cell r="D1056" t="str">
            <v>Acrylic Semi-Gloss Paint Latex</v>
          </cell>
        </row>
        <row r="1057">
          <cell r="D1057" t="str">
            <v>Acrylic Gloss Latex</v>
          </cell>
        </row>
        <row r="1058">
          <cell r="D1058" t="str">
            <v>Acrylic Clear Gloss Emulsion</v>
          </cell>
        </row>
        <row r="1059">
          <cell r="D1059" t="str">
            <v>Latex High Gloss Enamel</v>
          </cell>
        </row>
        <row r="1060">
          <cell r="D1060" t="str">
            <v>Latex Tinting Color (Water-based)</v>
          </cell>
        </row>
        <row r="1061">
          <cell r="D1061" t="str">
            <v>Quick Drying Enamel</v>
          </cell>
        </row>
        <row r="1062">
          <cell r="D1062" t="str">
            <v>Interior Semi-Gloss Enamel</v>
          </cell>
        </row>
        <row r="1063">
          <cell r="D1063" t="str">
            <v>Flat Wall Enamel</v>
          </cell>
        </row>
        <row r="1064">
          <cell r="D1064" t="str">
            <v>Conc. Primer Sealer</v>
          </cell>
        </row>
        <row r="1065">
          <cell r="D1065" t="str">
            <v>Interior Primer Sealer</v>
          </cell>
        </row>
        <row r="1066">
          <cell r="D1066" t="str">
            <v>Exterior Wood Primer</v>
          </cell>
        </row>
        <row r="1067">
          <cell r="D1067" t="str">
            <v>Prepakote Red Oxide Primer</v>
          </cell>
        </row>
        <row r="1068">
          <cell r="D1068" t="str">
            <v>Zinc Chromate Primer.</v>
          </cell>
        </row>
        <row r="1069">
          <cell r="D1069" t="str">
            <v>Red Lead Primer</v>
          </cell>
        </row>
        <row r="1070">
          <cell r="D1070" t="str">
            <v>Blackboard Paint green</v>
          </cell>
        </row>
        <row r="1071">
          <cell r="D1071" t="str">
            <v>Portland Roofing Paint</v>
          </cell>
        </row>
        <row r="1072">
          <cell r="D1072" t="str">
            <v>Galva wash zinc remover</v>
          </cell>
        </row>
        <row r="1073">
          <cell r="D1073" t="str">
            <v>Sanding Sealer</v>
          </cell>
        </row>
        <row r="1074">
          <cell r="D1074" t="str">
            <v>Clear Gloss Lacquer</v>
          </cell>
        </row>
        <row r="1075">
          <cell r="D1075" t="str">
            <v>Paint Thinner</v>
          </cell>
        </row>
        <row r="1076">
          <cell r="D1076" t="str">
            <v>Concrete Neutralizer</v>
          </cell>
        </row>
        <row r="1077">
          <cell r="D1077" t="str">
            <v>Coal Tar</v>
          </cell>
        </row>
        <row r="1078">
          <cell r="D1078" t="str">
            <v>Wood Stain</v>
          </cell>
        </row>
        <row r="1079">
          <cell r="D1079" t="str">
            <v>Kalsomine powder</v>
          </cell>
        </row>
        <row r="1080">
          <cell r="D1080" t="str">
            <v>Sanding Paper</v>
          </cell>
        </row>
        <row r="1081">
          <cell r="D1081" t="str">
            <v>Epoxy Primer, Boysen</v>
          </cell>
        </row>
        <row r="1082">
          <cell r="D1082" t="str">
            <v>Roller Brush w/ Tray</v>
          </cell>
        </row>
        <row r="1083">
          <cell r="D1083" t="str">
            <v>Paint Brush</v>
          </cell>
        </row>
        <row r="1084">
          <cell r="D1084" t="str">
            <v>Reflectorized Paint</v>
          </cell>
        </row>
        <row r="1085">
          <cell r="D1085" t="str">
            <v>Reflectorized Paint (Black/Yellow)</v>
          </cell>
        </row>
        <row r="1086">
          <cell r="D1086" t="str">
            <v>Marine Paint</v>
          </cell>
        </row>
        <row r="1087">
          <cell r="D1087" t="str">
            <v>Epoxy Enamel, Boysen</v>
          </cell>
        </row>
        <row r="1088">
          <cell r="D1088" t="str">
            <v>Concrete Neutralizer</v>
          </cell>
        </row>
        <row r="1089">
          <cell r="D1089" t="str">
            <v>( PRESERVATIVES )</v>
          </cell>
        </row>
        <row r="1090">
          <cell r="D1090" t="str">
            <v>Wood preservative (Solignum)</v>
          </cell>
        </row>
        <row r="1091">
          <cell r="D1091" t="str">
            <v>Kalsomine powder</v>
          </cell>
        </row>
        <row r="1092">
          <cell r="D1092" t="str">
            <v>( TILES )</v>
          </cell>
        </row>
        <row r="1093">
          <cell r="D1093" t="str">
            <v>Unglazed Tiles  4-1/4" x 4-1/4"</v>
          </cell>
        </row>
        <row r="1094">
          <cell r="D1094" t="str">
            <v>Glazed Tile (Plain Color)  4-1/4" x 4-1/4"</v>
          </cell>
        </row>
        <row r="1095">
          <cell r="D1095" t="str">
            <v>Mosaic Floor Tiles  12 x 12</v>
          </cell>
        </row>
        <row r="1096">
          <cell r="D1096" t="str">
            <v>Glazed Tiles  4" x 4"</v>
          </cell>
        </row>
        <row r="1097">
          <cell r="D1097" t="str">
            <v>Vitirified Tiles  4" x 8"</v>
          </cell>
        </row>
        <row r="1098">
          <cell r="D1098" t="str">
            <v>Floor Tiles (Plain Color)  8" x 8"</v>
          </cell>
        </row>
        <row r="1099">
          <cell r="D1099" t="str">
            <v>Glazed Tiles (Plain Color)  8" x 8"</v>
          </cell>
        </row>
        <row r="1100">
          <cell r="D1100" t="str">
            <v>Vinyl Tiles  8" x 8"</v>
          </cell>
        </row>
        <row r="1101">
          <cell r="D1101" t="str">
            <v>Capping</v>
          </cell>
        </row>
        <row r="1102">
          <cell r="D1102" t="str">
            <v>Internal Bead  4"</v>
          </cell>
        </row>
        <row r="1103">
          <cell r="D1103" t="str">
            <v xml:space="preserve">External Bead  4" </v>
          </cell>
        </row>
        <row r="1104">
          <cell r="D1104" t="str">
            <v>Internal Corner bead</v>
          </cell>
        </row>
        <row r="1105">
          <cell r="D1105" t="str">
            <v>External Corner bead</v>
          </cell>
        </row>
        <row r="1106">
          <cell r="D1106" t="str">
            <v>Unglazed Tiles  4" x 4"</v>
          </cell>
        </row>
        <row r="1107">
          <cell r="D1107" t="str">
            <v>Mosaic Floor Tiles  12 x 12</v>
          </cell>
        </row>
        <row r="1108">
          <cell r="D1108" t="str">
            <v>( INSTRUMENTS )</v>
          </cell>
        </row>
        <row r="1109">
          <cell r="D1109" t="str">
            <v>Weighing Scale w Ht Measurement (Adult)</v>
          </cell>
        </row>
        <row r="1110">
          <cell r="D1110" t="str">
            <v>Weighing Scale (Newborn)</v>
          </cell>
        </row>
        <row r="1111">
          <cell r="D1111" t="str">
            <v>Stethoscope</v>
          </cell>
        </row>
        <row r="1112">
          <cell r="D1112" t="str">
            <v>Medical Trolley w/glass container</v>
          </cell>
        </row>
        <row r="1113">
          <cell r="D1113" t="str">
            <v>Sphygmomanometer (Mercury)</v>
          </cell>
        </row>
        <row r="1114">
          <cell r="D1114" t="str">
            <v>Thermometer</v>
          </cell>
        </row>
        <row r="1115">
          <cell r="D1115" t="str">
            <v>Scissors (Surgical)</v>
          </cell>
        </row>
        <row r="1116">
          <cell r="D1116" t="str">
            <v>Scissors (Bandage)</v>
          </cell>
        </row>
        <row r="1117">
          <cell r="D1117" t="str">
            <v>Forceps (Curve)</v>
          </cell>
        </row>
        <row r="1118">
          <cell r="D1118" t="str">
            <v>Forceps (Straight)</v>
          </cell>
        </row>
        <row r="1119">
          <cell r="D1119" t="str">
            <v>Kidney Basin (Stainless)</v>
          </cell>
        </row>
        <row r="1120">
          <cell r="D1120" t="str">
            <v>Bed Pan (Metal)</v>
          </cell>
        </row>
        <row r="1121">
          <cell r="D1121" t="str">
            <v>Male Urinal</v>
          </cell>
        </row>
        <row r="1122">
          <cell r="D1122" t="str">
            <v>O.B. Bed with Stirrups</v>
          </cell>
        </row>
        <row r="1123">
          <cell r="D1123" t="str">
            <v>Hot Water Bag</v>
          </cell>
        </row>
        <row r="1124">
          <cell r="D1124" t="str">
            <v>Medical Trolley w/glass container</v>
          </cell>
        </row>
        <row r="1125">
          <cell r="D1125" t="str">
            <v>( FURNITURES )</v>
          </cell>
        </row>
        <row r="1126">
          <cell r="D1126" t="str">
            <v>Monoblock Student Chair</v>
          </cell>
        </row>
        <row r="1127">
          <cell r="D1127" t="str">
            <v>Monoblock Chair</v>
          </cell>
        </row>
        <row r="1128">
          <cell r="D1128" t="str">
            <v>Standard Office Table, Wood (SZOPAD Standard)</v>
          </cell>
        </row>
        <row r="1129">
          <cell r="D1129" t="str">
            <v>Blackboard</v>
          </cell>
        </row>
        <row r="1130">
          <cell r="D1130" t="str">
            <v>Kitchen Table, Wood (SZOPAD Standard)</v>
          </cell>
        </row>
        <row r="1131">
          <cell r="D1131" t="str">
            <v>Monoblock Bench (2-seater)</v>
          </cell>
        </row>
        <row r="1132">
          <cell r="D1132" t="str">
            <v>Bed Pan (Metal)</v>
          </cell>
        </row>
        <row r="1133">
          <cell r="D1133" t="str">
            <v>( MOORING &amp; FENDERS )</v>
          </cell>
        </row>
        <row r="1134">
          <cell r="D1134" t="str">
            <v>Mooring Bollard 25T</v>
          </cell>
        </row>
        <row r="1135">
          <cell r="D1135" t="str">
            <v>Mooring Bollard 15T</v>
          </cell>
        </row>
        <row r="1136">
          <cell r="D1136" t="str">
            <v>Mooring Bitt 10T</v>
          </cell>
        </row>
        <row r="1137">
          <cell r="D1137" t="str">
            <v>Mooring Bitt 15T</v>
          </cell>
        </row>
        <row r="1138">
          <cell r="D1138" t="str">
            <v>Mooring Cleat 5T</v>
          </cell>
        </row>
        <row r="1139">
          <cell r="D1139" t="str">
            <v>V-Type Rubber Fender (200x1500) incl. its appurtenances</v>
          </cell>
        </row>
        <row r="1140">
          <cell r="D1140" t="str">
            <v>V-Type Rubber Fender (300x1500) incl. its appurtenances</v>
          </cell>
        </row>
        <row r="1141">
          <cell r="D1141" t="str">
            <v>V-Type Rubber Fender (400x1000) incl. its appurtenances</v>
          </cell>
        </row>
        <row r="1142">
          <cell r="D1142" t="str">
            <v>V-Type Rubber Fender (400x2000) incl. its appurtenances</v>
          </cell>
        </row>
        <row r="1143">
          <cell r="D1143" t="str">
            <v>L Corner Type Rubber Fender (250Hx1000Lx1000L) incl. its appurtenances</v>
          </cell>
        </row>
        <row r="1144">
          <cell r="D1144" t="str">
            <v>Used Tires (800mmØ)</v>
          </cell>
        </row>
        <row r="1145">
          <cell r="D1145" t="str">
            <v>Used Tires (600mmØ)</v>
          </cell>
        </row>
        <row r="1146">
          <cell r="D1146" t="str">
            <v>Used Tires (1000mmØ) and its appurtenances</v>
          </cell>
        </row>
        <row r="1147">
          <cell r="D1147" t="str">
            <v>Mooring Bollard 15T</v>
          </cell>
        </row>
        <row r="1148">
          <cell r="D1148" t="str">
            <v>Mooring Bitt 10T</v>
          </cell>
        </row>
        <row r="1149">
          <cell r="D1149" t="str">
            <v>( LUBRICANT AND OIL )</v>
          </cell>
        </row>
        <row r="1150">
          <cell r="D1150" t="str">
            <v>Used Oil</v>
          </cell>
        </row>
        <row r="1151">
          <cell r="D1151" t="str">
            <v>Oil, No. 110</v>
          </cell>
        </row>
        <row r="1152">
          <cell r="D1152" t="str">
            <v>Gasoline, Regular</v>
          </cell>
        </row>
        <row r="1153">
          <cell r="D1153" t="str">
            <v>V-Type Rubber Fender (400x1000) incl. its appurtenances</v>
          </cell>
        </row>
        <row r="1154">
          <cell r="D1154" t="str">
            <v>( JUNKS &amp; JOB ORDER )</v>
          </cell>
        </row>
        <row r="1155">
          <cell r="D1155" t="str">
            <v>Tension Rod</v>
          </cell>
        </row>
        <row r="1156">
          <cell r="D1156" t="str">
            <v>Steel Plate Cover 0.65 X 0.65 m</v>
          </cell>
        </row>
        <row r="1157">
          <cell r="D1157" t="str">
            <v>Window Grill, Steel</v>
          </cell>
        </row>
        <row r="1158">
          <cell r="D1158" t="str">
            <v xml:space="preserve">Shop-made Door Lock, 5/8" Plain Bar </v>
          </cell>
        </row>
        <row r="1159">
          <cell r="D1159" t="str">
            <v>Fabricated Clamp, 5mm thk x 3"</v>
          </cell>
        </row>
        <row r="1160">
          <cell r="D1160" t="str">
            <v>Used Tires</v>
          </cell>
        </row>
        <row r="1161">
          <cell r="D1161" t="str">
            <v>2.0m X 2.40m  GI Vertical Roll-Up Door</v>
          </cell>
        </row>
        <row r="1162">
          <cell r="D1162" t="str">
            <v>30"  Spherical Roof Vent, Turbine Type</v>
          </cell>
        </row>
        <row r="1163">
          <cell r="D1163" t="str">
            <v>Ga#24 GI Sht Caps</v>
          </cell>
        </row>
        <row r="1164">
          <cell r="D1164" t="str">
            <v>Hard Asphalt Filler</v>
          </cell>
        </row>
        <row r="1165">
          <cell r="D1165" t="str">
            <v>250 x 250 x 3000 Rubbing Timber (Yakal)</v>
          </cell>
        </row>
        <row r="1166">
          <cell r="D1166" t="str">
            <v>Creosoted Wooden Pole 300mmØ x 15m.</v>
          </cell>
        </row>
        <row r="1167">
          <cell r="D1167" t="str">
            <v>Creosoted Wooden Pole 300mmØ x 18m.</v>
          </cell>
        </row>
        <row r="1168">
          <cell r="D1168" t="str">
            <v>Steel Stapples 10mmØ</v>
          </cell>
        </row>
        <row r="1169">
          <cell r="D1169" t="str">
            <v>Fire Extinguishers</v>
          </cell>
        </row>
        <row r="1170">
          <cell r="D1170" t="str">
            <v>Water Proofing Compound &amp; Accessories</v>
          </cell>
        </row>
        <row r="1171">
          <cell r="D1171" t="str">
            <v>Gate Accessories</v>
          </cell>
        </row>
        <row r="1172">
          <cell r="D1172" t="str">
            <v>Electrical &amp; Fixtures</v>
          </cell>
        </row>
        <row r="1173">
          <cell r="D1173" t="str">
            <v>Regulatory Sign</v>
          </cell>
        </row>
        <row r="1174">
          <cell r="D1174" t="str">
            <v>Warning Sign</v>
          </cell>
        </row>
        <row r="1175">
          <cell r="D1175" t="str">
            <v>Elastomeric Bearing Pad Duro 60 (Complete Set)</v>
          </cell>
        </row>
        <row r="1176">
          <cell r="D1176" t="str">
            <v>Restrainer Bolt (25mmØx800</v>
          </cell>
        </row>
        <row r="1177">
          <cell r="D1177" t="str">
            <v>Ga#10 GI Pre-Fab Steel Flex Beam</v>
          </cell>
        </row>
        <row r="1178">
          <cell r="D1178" t="str">
            <v>Ga#10 GI Pre-Fab Steel Flex Beam end</v>
          </cell>
        </row>
        <row r="1179">
          <cell r="D1179" t="str">
            <v>Restrainer Bolt (25mmØx800)</v>
          </cell>
        </row>
        <row r="1180">
          <cell r="D1180" t="str">
            <v>Water Meter</v>
          </cell>
        </row>
        <row r="1181">
          <cell r="D1181" t="str">
            <v>Filter Fabric</v>
          </cell>
        </row>
        <row r="1182">
          <cell r="D1182" t="str">
            <v>Ga# 18 Stainless Steel Tank and Accessories</v>
          </cell>
        </row>
        <row r="1183">
          <cell r="D1183" t="str">
            <v>Engr's Transit</v>
          </cell>
        </row>
        <row r="1184">
          <cell r="D1184" t="str">
            <v>Polyurethane Plastic</v>
          </cell>
        </row>
        <row r="1185">
          <cell r="D1185" t="str">
            <v>Regulatory Sign</v>
          </cell>
        </row>
        <row r="1186">
          <cell r="D1186" t="str">
            <v>Warning Sign</v>
          </cell>
        </row>
        <row r="1187">
          <cell r="D1187" t="str">
            <v>FENESTRATION</v>
          </cell>
        </row>
        <row r="1188">
          <cell r="D1188" t="str">
            <v>Door 1 - Community Center 1</v>
          </cell>
        </row>
        <row r="1189">
          <cell r="D1189" t="str">
            <v>Door 2 - Community Center 1</v>
          </cell>
        </row>
        <row r="1190">
          <cell r="D1190" t="str">
            <v>Window 1 - Community Center 1</v>
          </cell>
        </row>
        <row r="1191">
          <cell r="D1191" t="str">
            <v>Window 2 - Community Center 1</v>
          </cell>
        </row>
        <row r="1192">
          <cell r="D1192" t="str">
            <v>Window 3 - Community Center 1</v>
          </cell>
        </row>
        <row r="1193">
          <cell r="D1193" t="str">
            <v>Filter Fabric</v>
          </cell>
        </row>
        <row r="1194">
          <cell r="D1194" t="str">
            <v>Door 1 - Community Center 2</v>
          </cell>
        </row>
        <row r="1195">
          <cell r="D1195" t="str">
            <v>Door 2 - Community Center 2</v>
          </cell>
        </row>
        <row r="1196">
          <cell r="D1196" t="str">
            <v>Window 1 - Community Center 2</v>
          </cell>
        </row>
        <row r="1197">
          <cell r="D1197" t="str">
            <v>Window 2 - Community Center 2</v>
          </cell>
        </row>
        <row r="1198">
          <cell r="D1198" t="str">
            <v>Window 3 - Community Center 2</v>
          </cell>
        </row>
        <row r="1199">
          <cell r="D1199" t="str">
            <v>FENESTRATION</v>
          </cell>
        </row>
        <row r="1200">
          <cell r="D1200" t="str">
            <v>Door 1 - Community Center 1</v>
          </cell>
        </row>
        <row r="1201">
          <cell r="D1201" t="str">
            <v>FACILITIES FOR ENGINEER</v>
          </cell>
        </row>
        <row r="1202">
          <cell r="D1202" t="str">
            <v>Temporary Field Office/Quarter (2 Container Van w/ Shed)</v>
          </cell>
        </row>
        <row r="1203">
          <cell r="D1203" t="str">
            <v>Temporary Field Office/Quarter</v>
          </cell>
        </row>
        <row r="1204">
          <cell r="D1204" t="str">
            <v>Airconditioning Unit</v>
          </cell>
        </row>
        <row r="1205">
          <cell r="D1205" t="str">
            <v>Computer Pentium 4 w/ HP Deskject Printer (Latest Model)</v>
          </cell>
        </row>
        <row r="1206">
          <cell r="D1206" t="str">
            <v>Office Furnitures/Equipment (Items 81.70, 81.80 and 81.90)</v>
          </cell>
        </row>
        <row r="1207">
          <cell r="D1207" t="str">
            <v>Office Supplies/Water/Electricity</v>
          </cell>
        </row>
        <row r="1208">
          <cell r="D1208" t="str">
            <v>Furnishing on Rental Basis (Mat'ls Laboratory, Operations &amp; Maintenance)</v>
          </cell>
        </row>
        <row r="1209">
          <cell r="D1209" t="str">
            <v>Progress Photographed</v>
          </cell>
        </row>
        <row r="1210">
          <cell r="D1210" t="str">
            <v>Window 3 - Community Center 2</v>
          </cell>
        </row>
        <row r="1211">
          <cell r="D1211" t="str">
            <v>OFFICE FURNITURES</v>
          </cell>
        </row>
        <row r="1212">
          <cell r="D1212" t="str">
            <v>Office Table</v>
          </cell>
        </row>
        <row r="1213">
          <cell r="D1213" t="str">
            <v>Office Chairs</v>
          </cell>
        </row>
        <row r="1214">
          <cell r="D1214" t="str">
            <v>Bench</v>
          </cell>
        </row>
        <row r="1215">
          <cell r="D1215" t="str">
            <v>Plywood Board</v>
          </cell>
        </row>
        <row r="1216">
          <cell r="D1216" t="str">
            <v>Airconditioning Unit</v>
          </cell>
        </row>
        <row r="1217">
          <cell r="D1217" t="str">
            <v>SIGNAGES</v>
          </cell>
        </row>
        <row r="1218">
          <cell r="D1218" t="str">
            <v>Plate Marker</v>
          </cell>
        </row>
        <row r="1219">
          <cell r="D1219" t="str">
            <v>Marker Pedestal</v>
          </cell>
        </row>
        <row r="1220">
          <cell r="D1220" t="str">
            <v>Stainless Steel Plaque</v>
          </cell>
        </row>
        <row r="1221">
          <cell r="D1221" t="str">
            <v>Stainless Steel Plaque w/ Concrete Pedestal</v>
          </cell>
        </row>
        <row r="1222">
          <cell r="D1222" t="str">
            <v>Wooden Type Project Information Signboard</v>
          </cell>
        </row>
        <row r="1223">
          <cell r="D1223" t="str">
            <v>Steel Type Project Information Signboard</v>
          </cell>
        </row>
        <row r="1224">
          <cell r="D1224" t="str">
            <v>Steel Type Project Information Signboard (Tarpaulin w/ Plywood Backing)</v>
          </cell>
        </row>
        <row r="1225">
          <cell r="D1225" t="str">
            <v>Signage</v>
          </cell>
        </row>
        <row r="1226">
          <cell r="D1226" t="str">
            <v>Plate Marker w/ Pedestal</v>
          </cell>
        </row>
        <row r="1227">
          <cell r="D1227" t="str">
            <v>Plywood Board</v>
          </cell>
        </row>
        <row r="1228">
          <cell r="D1228" t="str">
            <v>Solar Dryer</v>
          </cell>
        </row>
        <row r="1229">
          <cell r="D1229" t="str">
            <v>PERMITS &amp; LICENSES</v>
          </cell>
        </row>
        <row r="1230">
          <cell r="D1230" t="str">
            <v>Warehouse</v>
          </cell>
        </row>
        <row r="1231">
          <cell r="D1231" t="str">
            <v>Solar Dryer</v>
          </cell>
        </row>
        <row r="1232">
          <cell r="D1232" t="str">
            <v>Community Center 1</v>
          </cell>
        </row>
        <row r="1233">
          <cell r="D1233" t="str">
            <v>Stainless Steel Plaque w/ Concrete Pedestal</v>
          </cell>
        </row>
        <row r="1234">
          <cell r="D1234" t="str">
            <v>SAFETY</v>
          </cell>
        </row>
        <row r="1235">
          <cell r="D1235" t="str">
            <v>Hard Hats</v>
          </cell>
        </row>
        <row r="1236">
          <cell r="D1236" t="str">
            <v>First Aid Kit</v>
          </cell>
        </row>
        <row r="1237">
          <cell r="D1237" t="str">
            <v>Traffic Barricade Type "D"</v>
          </cell>
        </row>
        <row r="1238">
          <cell r="D1238" t="str">
            <v>4 feet width Plastic Canvas</v>
          </cell>
        </row>
        <row r="1239">
          <cell r="D1239" t="str">
            <v>No.8 diameter Nylon Rope</v>
          </cell>
        </row>
        <row r="1240">
          <cell r="D1240" t="str">
            <v>( LIQUIFIED AND PRESSURE GASES )</v>
          </cell>
        </row>
        <row r="1241">
          <cell r="D1241" t="str">
            <v>Oxygen Gas</v>
          </cell>
        </row>
        <row r="1242">
          <cell r="D1242" t="str">
            <v>Acetylene Gas</v>
          </cell>
        </row>
        <row r="1243">
          <cell r="D1243" t="str">
            <v>Warehouse</v>
          </cell>
        </row>
        <row r="1244">
          <cell r="D1244" t="str">
            <v>Solar Dryer</v>
          </cell>
        </row>
        <row r="1245">
          <cell r="D1245" t="str">
            <v>Community Center 1</v>
          </cell>
        </row>
        <row r="1246">
          <cell r="D1246" t="str">
            <v>Traffic Barricade Type "D"</v>
          </cell>
        </row>
        <row r="1247">
          <cell r="D1247" t="str">
            <v>SAFETY</v>
          </cell>
        </row>
        <row r="1248">
          <cell r="D1248" t="str">
            <v>Hard Hats</v>
          </cell>
        </row>
        <row r="1249">
          <cell r="D1249" t="str">
            <v>First Aid Kit</v>
          </cell>
        </row>
        <row r="1250">
          <cell r="D1250" t="str">
            <v>Traffic Barricade Type "D"</v>
          </cell>
        </row>
        <row r="1251">
          <cell r="D1251" t="str">
            <v>Plastic Canvas (1.2m width)</v>
          </cell>
        </row>
        <row r="1252">
          <cell r="D1252" t="str">
            <v>Nylon Rope</v>
          </cell>
        </row>
        <row r="1253">
          <cell r="D1253" t="str">
            <v>( LIQUIFIED AND PRESSURE GASES )</v>
          </cell>
        </row>
        <row r="1254">
          <cell r="D1254" t="str">
            <v>Oxygen Gas</v>
          </cell>
        </row>
        <row r="1255">
          <cell r="D1255" t="str">
            <v>( LIQUIFIED AND PRESSURE GASES )</v>
          </cell>
        </row>
        <row r="1256">
          <cell r="D1256" t="str">
            <v>Oxygen Gas</v>
          </cell>
        </row>
        <row r="1257">
          <cell r="D1257" t="str">
            <v>Acetylene Gas</v>
          </cell>
        </row>
        <row r="1258">
          <cell r="D1258" t="str">
            <v>Bench</v>
          </cell>
        </row>
        <row r="1259">
          <cell r="D1259" t="str">
            <v>Plywood Board</v>
          </cell>
        </row>
        <row r="1260">
          <cell r="D1260" t="str">
            <v>Plywood Board</v>
          </cell>
        </row>
        <row r="1261">
          <cell r="D1261" t="str">
            <v>SIGNAGES</v>
          </cell>
        </row>
        <row r="1262">
          <cell r="D1262" t="str">
            <v>Plate Marker</v>
          </cell>
        </row>
        <row r="1263">
          <cell r="D1263" t="str">
            <v>Marker Pedestal</v>
          </cell>
        </row>
        <row r="1264">
          <cell r="D1264" t="str">
            <v>Stainless Steel Plaque</v>
          </cell>
        </row>
        <row r="1265">
          <cell r="D1265" t="str">
            <v>Stainless Steel Plaque w/ Concrete Pedestal</v>
          </cell>
        </row>
        <row r="1266">
          <cell r="D1266" t="str">
            <v>Wooden Type Project Information Signboard</v>
          </cell>
        </row>
        <row r="1267">
          <cell r="D1267" t="str">
            <v>Steel Type Project Information Signboard</v>
          </cell>
        </row>
        <row r="1268">
          <cell r="D1268" t="str">
            <v>Steel Type Project Information Signboard (Tarpaulin w/ Plywood Backing)</v>
          </cell>
        </row>
        <row r="1269">
          <cell r="D1269" t="str">
            <v>Signage</v>
          </cell>
        </row>
        <row r="1270">
          <cell r="D1270" t="str">
            <v>Plate Marker w/ Pedestal</v>
          </cell>
        </row>
        <row r="1271">
          <cell r="D1271" t="str">
            <v>Plate Marker w/ Pedestal</v>
          </cell>
        </row>
        <row r="1273">
          <cell r="D1273" t="str">
            <v>PERMITS &amp; LICENSES</v>
          </cell>
        </row>
        <row r="1274">
          <cell r="D1274" t="str">
            <v>Warehouse</v>
          </cell>
        </row>
        <row r="1275">
          <cell r="D1275" t="str">
            <v>Solar Dryer</v>
          </cell>
        </row>
        <row r="1276">
          <cell r="D1276" t="str">
            <v>Community Center 1</v>
          </cell>
        </row>
        <row r="1277">
          <cell r="D1277" t="str">
            <v>Community Center 1</v>
          </cell>
        </row>
        <row r="1278">
          <cell r="D1278" t="str">
            <v>SAFETY</v>
          </cell>
        </row>
        <row r="1279">
          <cell r="D1279" t="str">
            <v>Hard Hats</v>
          </cell>
        </row>
        <row r="1280">
          <cell r="D1280" t="str">
            <v>First Aid Kit</v>
          </cell>
        </row>
        <row r="1281">
          <cell r="D1281" t="str">
            <v>Traffic Barricade Type "D"</v>
          </cell>
        </row>
        <row r="1282">
          <cell r="D1282" t="str">
            <v>Traffic Barricade Type "D"</v>
          </cell>
        </row>
        <row r="1283">
          <cell r="D1283" t="str">
            <v>( LIQUIFIED AND PRESSURE GASES )</v>
          </cell>
        </row>
        <row r="1284">
          <cell r="D1284" t="str">
            <v>Oxygen Gas</v>
          </cell>
        </row>
        <row r="1285">
          <cell r="D1285" t="str">
            <v>Acetylene Gas</v>
          </cell>
        </row>
        <row r="1286">
          <cell r="D1286" t="str">
            <v>Acetylene Gas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ank"/>
      <sheetName val="Scope of Works"/>
      <sheetName val="Compo Bill"/>
      <sheetName val="Detailed"/>
      <sheetName val="Counterpart-Lato2x"/>
      <sheetName val="01Detailed counterpart"/>
      <sheetName val="Counterpart- bATO2X"/>
      <sheetName val="Counterpart"/>
      <sheetName val="Qty Calculation"/>
      <sheetName val="Concrete FENDER PILE"/>
      <sheetName val="BAR CHART"/>
      <sheetName val="Detailed counterpart ref"/>
      <sheetName val="Cost Data Base"/>
      <sheetName val="Menu"/>
      <sheetName val="Materials"/>
      <sheetName val="Manpower"/>
      <sheetName val="Transport"/>
      <sheetName val="Equipment"/>
      <sheetName val="Project List"/>
      <sheetName val="VBA_UsageExample"/>
      <sheetName val="VBA_Wrapper"/>
      <sheetName val="VBA_32bit"/>
      <sheetName val="VBA_16bit"/>
      <sheetName val="CCenter"/>
      <sheetName val="Update"/>
      <sheetName val="Transport Result"/>
      <sheetName val="Aggregates"/>
      <sheetName val="Rod"/>
      <sheetName val="Andrew"/>
      <sheetName val="Bebot"/>
      <sheetName val="Anna"/>
      <sheetName val="Elmer"/>
      <sheetName val="Ruben"/>
      <sheetName val="Rod (7)"/>
      <sheetName val="Rod (8)"/>
      <sheetName val="Sheet1"/>
      <sheetName val="Glenn"/>
      <sheetName val="orig-less det"/>
      <sheetName val="Counterpart-Sitio Kalubian"/>
      <sheetName val="detcount"/>
      <sheetName val="Detailed-orig"/>
      <sheetName val="Qty Take-off"/>
      <sheetName val="ER"/>
      <sheetName val="SWA"/>
      <sheetName val="S-CURVE"/>
      <sheetName val="RCBC RSB QTY "/>
      <sheetName val="Extracted Information"/>
      <sheetName val="Data"/>
      <sheetName val="Numbers"/>
      <sheetName val="Others"/>
      <sheetName val="BOQ"/>
      <sheetName val="Detailed estim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1">
          <cell r="D11" t="str">
            <v xml:space="preserve">[C-??? ] - Kanaway Seaweed Solar Dryer Construction </v>
          </cell>
        </row>
        <row r="13">
          <cell r="D13" t="str">
            <v>( AGGREGATES )</v>
          </cell>
        </row>
        <row r="14">
          <cell r="D14" t="str">
            <v>Sand</v>
          </cell>
        </row>
        <row r="15">
          <cell r="D15" t="str">
            <v>Fine Sand</v>
          </cell>
        </row>
        <row r="16">
          <cell r="D16" t="str">
            <v>Gravel</v>
          </cell>
        </row>
        <row r="17">
          <cell r="D17" t="str">
            <v>Gravel Bedding</v>
          </cell>
        </row>
        <row r="18">
          <cell r="D18" t="str">
            <v>Stone</v>
          </cell>
        </row>
        <row r="19">
          <cell r="D19" t="str">
            <v>Boulders / Stone</v>
          </cell>
        </row>
        <row r="20">
          <cell r="D20" t="str">
            <v>Boulders (20-30 cm dia.)</v>
          </cell>
        </row>
        <row r="21">
          <cell r="D21" t="str">
            <v>Filling Materials</v>
          </cell>
        </row>
        <row r="22">
          <cell r="D22" t="str">
            <v>Aggregate Surface Course (Item 300)</v>
          </cell>
        </row>
        <row r="23">
          <cell r="D23" t="str">
            <v>Aggregate Sub Base Course (Item 200)</v>
          </cell>
        </row>
        <row r="24">
          <cell r="D24" t="str">
            <v>Aggregate Base Course (Item 201)</v>
          </cell>
        </row>
        <row r="25">
          <cell r="D25" t="str">
            <v>Crushed Aggregate Base Course (Item 202)</v>
          </cell>
        </row>
        <row r="26">
          <cell r="D26" t="str">
            <v>Surface Base Course</v>
          </cell>
        </row>
        <row r="27">
          <cell r="D27" t="str">
            <v>Common Borrow</v>
          </cell>
        </row>
        <row r="28">
          <cell r="D28" t="str">
            <v>Gravelfill</v>
          </cell>
        </row>
        <row r="29">
          <cell r="D29" t="str">
            <v>Sand Fill</v>
          </cell>
        </row>
        <row r="30">
          <cell r="D30" t="str">
            <v>Granular Fill</v>
          </cell>
        </row>
        <row r="31">
          <cell r="D31" t="str">
            <v>Rock / Boulder (50-200 kg)</v>
          </cell>
        </row>
        <row r="32">
          <cell r="D32" t="str">
            <v>Rock / Boulder (100-200 kg)</v>
          </cell>
        </row>
        <row r="33">
          <cell r="D33" t="str">
            <v>2" Mixed Gravel</v>
          </cell>
        </row>
        <row r="34">
          <cell r="D34" t="str">
            <v>1" Mixed Gravel</v>
          </cell>
        </row>
        <row r="35">
          <cell r="D35" t="str">
            <v>Screened Pebbles</v>
          </cell>
        </row>
        <row r="37">
          <cell r="D37" t="str">
            <v>( WATER )</v>
          </cell>
        </row>
        <row r="38">
          <cell r="D38" t="str">
            <v>( WATER )</v>
          </cell>
        </row>
        <row r="39">
          <cell r="D39" t="str">
            <v>Water</v>
          </cell>
        </row>
        <row r="40">
          <cell r="D40" t="str">
            <v>( CEMENT )</v>
          </cell>
        </row>
        <row r="41">
          <cell r="D41" t="str">
            <v>( CEMENT )</v>
          </cell>
        </row>
        <row r="42">
          <cell r="D42" t="str">
            <v>Portland Cement 40kg</v>
          </cell>
        </row>
        <row r="43">
          <cell r="D43" t="str">
            <v>Pozzoland Cement 40 kg</v>
          </cell>
        </row>
        <row r="44">
          <cell r="D44" t="str">
            <v>Cement Accelerator (Plasticizer 1000P)</v>
          </cell>
        </row>
        <row r="45">
          <cell r="D45" t="str">
            <v>Waterproofing Cement (Flexcon)</v>
          </cell>
        </row>
        <row r="46">
          <cell r="D46" t="str">
            <v>Red cement</v>
          </cell>
        </row>
        <row r="47">
          <cell r="D47" t="str">
            <v>White Cement</v>
          </cell>
        </row>
        <row r="48">
          <cell r="D48" t="str">
            <v>Water Sealant Cement</v>
          </cell>
        </row>
        <row r="49">
          <cell r="D49" t="str">
            <v>Bentonite</v>
          </cell>
        </row>
        <row r="50">
          <cell r="D50" t="str">
            <v>Epoxy Grout</v>
          </cell>
        </row>
        <row r="51">
          <cell r="D51" t="str">
            <v>Epoxy Resin</v>
          </cell>
        </row>
        <row r="52">
          <cell r="D52" t="str">
            <v>Non-Shrink Grout</v>
          </cell>
        </row>
        <row r="53">
          <cell r="D53" t="str">
            <v>Emulsified Asphalt</v>
          </cell>
        </row>
        <row r="54">
          <cell r="D54" t="str">
            <v>Bituminous Asphalt</v>
          </cell>
        </row>
        <row r="55">
          <cell r="D55" t="str">
            <v>Curing Compound</v>
          </cell>
        </row>
        <row r="56">
          <cell r="D56" t="str">
            <v>( CEMENT PRODUCTS )</v>
          </cell>
        </row>
        <row r="57">
          <cell r="D57" t="str">
            <v>( CEMENT PRODUCTS )</v>
          </cell>
        </row>
        <row r="58">
          <cell r="D58" t="str">
            <v>100mm Conc. Hollow Block</v>
          </cell>
        </row>
        <row r="59">
          <cell r="D59" t="str">
            <v>150mm Conc. Hollow Block</v>
          </cell>
        </row>
        <row r="60">
          <cell r="D60" t="str">
            <v>Decorative Concrete Block (Louver Type)</v>
          </cell>
        </row>
        <row r="61">
          <cell r="D61" t="str">
            <v>250mm x 250mm Decorative Concrete Block</v>
          </cell>
        </row>
        <row r="62">
          <cell r="D62" t="str">
            <v>300mmØ RC Pipe Culvert</v>
          </cell>
        </row>
        <row r="63">
          <cell r="D63" t="str">
            <v>460mmØ RC Pipe Culvert</v>
          </cell>
        </row>
        <row r="64">
          <cell r="D64" t="str">
            <v>610mmØ RC Pipe Culvert</v>
          </cell>
        </row>
        <row r="65">
          <cell r="D65" t="str">
            <v>760mmØ RC Pipe Culvert</v>
          </cell>
        </row>
        <row r="66">
          <cell r="D66" t="str">
            <v>910mmØ RC Pipe Culvert</v>
          </cell>
        </row>
        <row r="67">
          <cell r="D67" t="str">
            <v>1220mmØ RC Pipe Culvert</v>
          </cell>
        </row>
        <row r="68">
          <cell r="D68" t="str">
            <v>1520mmØ RC Pipe Culvert</v>
          </cell>
        </row>
        <row r="69">
          <cell r="D69" t="str">
            <v>3"dia. Conc. Baluster, 18"</v>
          </cell>
        </row>
        <row r="70">
          <cell r="D70" t="str">
            <v>PRESTRESSED PILES</v>
          </cell>
        </row>
        <row r="71">
          <cell r="D71" t="str">
            <v>PRESTRESSED PILES</v>
          </cell>
        </row>
        <row r="72">
          <cell r="D72" t="str">
            <v>PSC Piles, 400mm x 400mm x 10m.</v>
          </cell>
        </row>
        <row r="73">
          <cell r="D73" t="str">
            <v>PSC Piles, 400mm x 400mm x 10m.</v>
          </cell>
        </row>
        <row r="74">
          <cell r="D74" t="str">
            <v>PSC Piles, 400mm x 400mm x 12m.</v>
          </cell>
        </row>
        <row r="75">
          <cell r="D75" t="str">
            <v>PSC Piles, 400mm x 400mm x 14m.</v>
          </cell>
        </row>
        <row r="76">
          <cell r="D76" t="str">
            <v>PSC Piles, 400mm x 400mm x 21m.</v>
          </cell>
        </row>
        <row r="77">
          <cell r="D77" t="str">
            <v>PSC Piles, 400mm x 400mm x 22m.</v>
          </cell>
        </row>
        <row r="78">
          <cell r="D78" t="str">
            <v>PSC Piles, 400mm x 400mm x 24m.</v>
          </cell>
        </row>
        <row r="79">
          <cell r="D79" t="str">
            <v>PSC Test Piles, 400mm x 400mm x 10m.</v>
          </cell>
        </row>
        <row r="80">
          <cell r="D80" t="str">
            <v>PSC Test Piles, 400mm x 400mm x 10m.</v>
          </cell>
        </row>
        <row r="81">
          <cell r="D81" t="str">
            <v>PSC Test Piles, 400mm x 400mm x 12m.</v>
          </cell>
        </row>
        <row r="82">
          <cell r="D82" t="str">
            <v>PSC Test Piles, 400mm x 400mm x 14m.</v>
          </cell>
        </row>
        <row r="83">
          <cell r="D83" t="str">
            <v>PSC Test Piles, 400mm x 400mm x 21m.</v>
          </cell>
        </row>
        <row r="84">
          <cell r="D84" t="str">
            <v>PSC Test Piles, 400mm x 400mm x 22m.</v>
          </cell>
        </row>
        <row r="85">
          <cell r="D85" t="str">
            <v xml:space="preserve">PSC Test Piles, 400mm x 400mm x 24m. </v>
          </cell>
        </row>
        <row r="87">
          <cell r="D87" t="str">
            <v xml:space="preserve">PSC Test Piles, 450mm x 450mm x 35m. </v>
          </cell>
        </row>
        <row r="88">
          <cell r="D88" t="str">
            <v xml:space="preserve">PSC Test Piles, 450mm x 450mm x 35m. </v>
          </cell>
        </row>
        <row r="89">
          <cell r="D89" t="str">
            <v>PSC Piles, 450mm x 450mm x 35m.</v>
          </cell>
        </row>
        <row r="90">
          <cell r="D90" t="str">
            <v xml:space="preserve">PSC Test Piles, 450mm x 450mm x 25m. </v>
          </cell>
        </row>
        <row r="91">
          <cell r="D91" t="str">
            <v>PSC Piles, 450mm x 450mm x 25m.</v>
          </cell>
        </row>
        <row r="93">
          <cell r="D93" t="str">
            <v xml:space="preserve">PSC Test Piles, 400mm x 400mm x 40m. </v>
          </cell>
        </row>
        <row r="94">
          <cell r="D94" t="str">
            <v xml:space="preserve">PSC Test Piles, 400mm x 400mm x 40m. </v>
          </cell>
        </row>
        <row r="95">
          <cell r="D95" t="str">
            <v>PSC Piles, 400mm x 400mm x 40m.</v>
          </cell>
        </row>
        <row r="97">
          <cell r="D97" t="str">
            <v xml:space="preserve">PSC Test Piles - 400mm x 400mm x 24m. </v>
          </cell>
        </row>
        <row r="98">
          <cell r="D98" t="str">
            <v xml:space="preserve">PSC Test Piles - 400mm x 400mm x 24m. </v>
          </cell>
        </row>
        <row r="99">
          <cell r="D99" t="str">
            <v>PSC Piles - 400mm x 400mm x 24m.</v>
          </cell>
        </row>
        <row r="102">
          <cell r="D102" t="str">
            <v>Steel Piles</v>
          </cell>
        </row>
        <row r="103">
          <cell r="D103" t="str">
            <v>Steel Piles</v>
          </cell>
        </row>
        <row r="104">
          <cell r="D104" t="str">
            <v>Steel Sheet Pile (PZ27)</v>
          </cell>
        </row>
        <row r="105">
          <cell r="D105" t="str">
            <v>Steel Sheet Piles (PZ27)</v>
          </cell>
        </row>
        <row r="106">
          <cell r="D106" t="str">
            <v>Steel Pipe Pile (Ø 450 x 12t x 18m. - SKK400)</v>
          </cell>
        </row>
        <row r="107">
          <cell r="D107" t="str">
            <v>Steel Pipe Pile (Ø 150 x 12t x 6m. - SKK400)</v>
          </cell>
        </row>
        <row r="108">
          <cell r="D108" t="str">
            <v>Steel Sheet Pile (for Cofferdam)</v>
          </cell>
        </row>
        <row r="110">
          <cell r="D110" t="str">
            <v>( TIMBER and INDIGENOUS MATERIALS )</v>
          </cell>
        </row>
        <row r="111">
          <cell r="D111" t="str">
            <v>( TIMBER and INDIGENOUS MATERIALS )</v>
          </cell>
        </row>
        <row r="112">
          <cell r="D112" t="str">
            <v>Yakal Specie</v>
          </cell>
        </row>
        <row r="113">
          <cell r="D113" t="str">
            <v>1" x 6" (Yakal)</v>
          </cell>
        </row>
        <row r="114">
          <cell r="D114" t="str">
            <v>1" x 8" (Yakal)</v>
          </cell>
        </row>
        <row r="115">
          <cell r="D115" t="str">
            <v>2" x 2" (Yakal)</v>
          </cell>
        </row>
        <row r="116">
          <cell r="D116" t="str">
            <v>2" x 6" (Yakal)</v>
          </cell>
        </row>
        <row r="117">
          <cell r="D117" t="str">
            <v>2" x 4" (Yakal or equivalent)</v>
          </cell>
        </row>
        <row r="118">
          <cell r="D118" t="str">
            <v>2" x 4" (Yakal)</v>
          </cell>
        </row>
        <row r="119">
          <cell r="D119" t="str">
            <v>2" x 3" (Yakal)</v>
          </cell>
        </row>
        <row r="120">
          <cell r="D120" t="str">
            <v>2" x 3" (Yakal or equivalent)</v>
          </cell>
        </row>
        <row r="121">
          <cell r="D121" t="str">
            <v>2" x 6" (Yakal or equivalent)</v>
          </cell>
        </row>
        <row r="122">
          <cell r="D122" t="str">
            <v>2" x 6" x 6' (Yakal)</v>
          </cell>
        </row>
        <row r="123">
          <cell r="D123" t="str">
            <v>2" x 6" x 6' (Yakal or equivalent)</v>
          </cell>
        </row>
        <row r="124">
          <cell r="D124" t="str">
            <v>2" x 6" x 8' (Yakal)</v>
          </cell>
        </row>
        <row r="125">
          <cell r="D125" t="str">
            <v>2" x 6" x 10' (Yakal)</v>
          </cell>
        </row>
        <row r="126">
          <cell r="D126" t="str">
            <v>2" x 6" x 12' (Yakal)</v>
          </cell>
        </row>
        <row r="127">
          <cell r="D127" t="str">
            <v>2" x 6" x 14' (Yakal)</v>
          </cell>
        </row>
        <row r="128">
          <cell r="D128" t="str">
            <v>3" x 4" (Yakal)</v>
          </cell>
        </row>
        <row r="129">
          <cell r="D129" t="str">
            <v>4" x 4" (Yakal)</v>
          </cell>
        </row>
        <row r="130">
          <cell r="D130" t="str">
            <v>3" x 4" (Yakal or equivalent)</v>
          </cell>
        </row>
        <row r="131">
          <cell r="D131" t="str">
            <v>3" x 4" x 8' (Yakal)</v>
          </cell>
        </row>
        <row r="132">
          <cell r="D132" t="str">
            <v>3" x 4" x 10' (Yakal)</v>
          </cell>
        </row>
        <row r="133">
          <cell r="D133" t="str">
            <v>6" x 6" (Yakal)</v>
          </cell>
        </row>
        <row r="134">
          <cell r="D134" t="str">
            <v>6" x 6" (Yakal or equivalent)</v>
          </cell>
        </row>
        <row r="135">
          <cell r="D135" t="str">
            <v>Yakal</v>
          </cell>
        </row>
        <row r="138">
          <cell r="D138" t="str">
            <v>Molave Specie</v>
          </cell>
        </row>
        <row r="139">
          <cell r="D139" t="str">
            <v>Molave Specie</v>
          </cell>
        </row>
        <row r="140">
          <cell r="D140" t="str">
            <v>6" x 6" (Molave)</v>
          </cell>
        </row>
        <row r="141">
          <cell r="D141" t="str">
            <v>6" x 6" (Molave or equivalent)</v>
          </cell>
        </row>
        <row r="142">
          <cell r="D142" t="str">
            <v>6" x 6" x 10' (Yakal)</v>
          </cell>
        </row>
        <row r="143">
          <cell r="D143" t="str">
            <v>6" x 6" x 8' (Molave)</v>
          </cell>
        </row>
        <row r="144">
          <cell r="D144" t="str">
            <v>6" x 6" x 10' (Molave)</v>
          </cell>
        </row>
        <row r="145">
          <cell r="D145" t="str">
            <v>6" x 6" x 14' (Molave)</v>
          </cell>
        </row>
        <row r="146">
          <cell r="D146" t="str">
            <v>6" x 6" x 16' (Molave)</v>
          </cell>
        </row>
        <row r="147">
          <cell r="D147" t="str">
            <v>6" x 6" x 18' (Molave)</v>
          </cell>
        </row>
        <row r="148">
          <cell r="D148" t="str">
            <v>6" x 6" x 20' (Molave)</v>
          </cell>
        </row>
        <row r="149">
          <cell r="D149" t="str">
            <v>6" x 6" x 22' (Molave)</v>
          </cell>
        </row>
        <row r="150">
          <cell r="D150" t="str">
            <v>8" Ø Molave Pile</v>
          </cell>
        </row>
        <row r="151">
          <cell r="D151" t="str">
            <v>Tambulian Specie</v>
          </cell>
        </row>
        <row r="152">
          <cell r="D152" t="str">
            <v>Tambulian Specie</v>
          </cell>
        </row>
        <row r="153">
          <cell r="D153" t="str">
            <v>Tambulian</v>
          </cell>
        </row>
        <row r="155">
          <cell r="D155" t="str">
            <v>Gullum Specie</v>
          </cell>
        </row>
        <row r="156">
          <cell r="D156" t="str">
            <v>Gullum Specie</v>
          </cell>
        </row>
        <row r="157">
          <cell r="D157" t="str">
            <v>Gullum</v>
          </cell>
        </row>
        <row r="158">
          <cell r="D158" t="str">
            <v>Lauan Specie</v>
          </cell>
        </row>
        <row r="159">
          <cell r="D159" t="str">
            <v>Lauan Specie</v>
          </cell>
        </row>
        <row r="160">
          <cell r="D160" t="str">
            <v>Lauan</v>
          </cell>
        </row>
        <row r="162">
          <cell r="D162" t="str">
            <v>Others Specie</v>
          </cell>
        </row>
        <row r="163">
          <cell r="D163" t="str">
            <v>Others Specie</v>
          </cell>
        </row>
        <row r="164">
          <cell r="D164" t="str">
            <v>Guijo</v>
          </cell>
        </row>
        <row r="165">
          <cell r="D165" t="str">
            <v>Apitong</v>
          </cell>
        </row>
        <row r="166">
          <cell r="D166" t="str">
            <v>Coco Trunks</v>
          </cell>
        </row>
        <row r="167">
          <cell r="D167" t="str">
            <v>Coco Lumber</v>
          </cell>
        </row>
        <row r="168">
          <cell r="D168" t="str">
            <v>Coco Lumber (Miscut)</v>
          </cell>
        </row>
        <row r="169">
          <cell r="D169" t="str">
            <v>Falsework &amp; Scaffolds (Coco Lumber)</v>
          </cell>
        </row>
        <row r="170">
          <cell r="D170" t="str">
            <v>Falsework, Scaffolds &amp; Formworks (Coco Lumber)</v>
          </cell>
        </row>
        <row r="171">
          <cell r="D171" t="str">
            <v>Bamboo Poles</v>
          </cell>
        </row>
        <row r="172">
          <cell r="D172" t="str">
            <v>1½"   Bamboo Slats</v>
          </cell>
        </row>
        <row r="173">
          <cell r="D173" t="str">
            <v>Bamboo Slats</v>
          </cell>
        </row>
        <row r="174">
          <cell r="D174" t="str">
            <v>Bacauan</v>
          </cell>
        </row>
        <row r="175">
          <cell r="D175" t="str">
            <v>Tambulian or Equivalent</v>
          </cell>
        </row>
        <row r="176">
          <cell r="D176" t="str">
            <v>Nipa Shingles</v>
          </cell>
        </row>
        <row r="177">
          <cell r="D177" t="str">
            <v>Gemilina</v>
          </cell>
        </row>
        <row r="178">
          <cell r="D178" t="str">
            <v>( TIMBER PRODUCTS )</v>
          </cell>
        </row>
        <row r="179">
          <cell r="D179" t="str">
            <v>( TIMBER PRODUCTS )</v>
          </cell>
        </row>
        <row r="180">
          <cell r="D180" t="str">
            <v>Mouldings and Slats</v>
          </cell>
        </row>
        <row r="181">
          <cell r="D181" t="str">
            <v>S-Type Mouldings/Cornice</v>
          </cell>
        </row>
        <row r="182">
          <cell r="D182" t="str">
            <v>0.70 x 1.00 fixed Louvers</v>
          </cell>
        </row>
        <row r="183">
          <cell r="D183" t="str">
            <v>Wall Boards, T&amp;G, stone-cut, etc.</v>
          </cell>
        </row>
        <row r="184">
          <cell r="D184" t="str">
            <v>¼" thk, Ordinary Plywood</v>
          </cell>
        </row>
        <row r="185">
          <cell r="D185" t="str">
            <v>3/8" thk, Ordinary Plywood</v>
          </cell>
        </row>
        <row r="186">
          <cell r="D186" t="str">
            <v>½" thk, Ordinary Plywood</v>
          </cell>
        </row>
        <row r="187">
          <cell r="D187" t="str">
            <v>½" thk, Hardiflex</v>
          </cell>
        </row>
        <row r="188">
          <cell r="D188" t="str">
            <v>3/4" thk,  Ordinary Plywood</v>
          </cell>
        </row>
        <row r="189">
          <cell r="D189" t="str">
            <v>¼" thk,  Marine Plywood</v>
          </cell>
        </row>
        <row r="190">
          <cell r="D190" t="str">
            <v>½" thk,  Marine Plywood</v>
          </cell>
        </row>
        <row r="191">
          <cell r="D191" t="str">
            <v>3/8" thk,  Form Plywood</v>
          </cell>
        </row>
        <row r="192">
          <cell r="D192" t="str">
            <v>4" x 8' Stone-Cut T&amp;G</v>
          </cell>
        </row>
        <row r="193">
          <cell r="D193" t="str">
            <v>4" x 8' Stone-Cut T&amp;G</v>
          </cell>
        </row>
        <row r="194">
          <cell r="D194" t="str">
            <v>Wooden Door Set</v>
          </cell>
        </row>
        <row r="195">
          <cell r="D195" t="str">
            <v>Wooden Window Set w/ Steel Grilles</v>
          </cell>
        </row>
        <row r="196">
          <cell r="D196" t="str">
            <v>Wooden Window-1 Set w/ Steel Grilles</v>
          </cell>
        </row>
        <row r="197">
          <cell r="D197" t="str">
            <v>Wooden Window-2 Set w/ Steel Grilles</v>
          </cell>
        </row>
        <row r="198">
          <cell r="D198" t="str">
            <v>Wooden Window-2 Set w/ Steel Grilles</v>
          </cell>
        </row>
        <row r="199">
          <cell r="D199" t="str">
            <v>Wooden Door-1 Set</v>
          </cell>
        </row>
        <row r="200">
          <cell r="D200" t="str">
            <v>Wooden Door-2 Set</v>
          </cell>
        </row>
        <row r="201">
          <cell r="D201" t="str">
            <v>Wooden Door-3 Set</v>
          </cell>
        </row>
        <row r="202">
          <cell r="D202" t="str">
            <v>Wooden Window Set</v>
          </cell>
        </row>
        <row r="203">
          <cell r="D203" t="str">
            <v>Wooden Window Set</v>
          </cell>
        </row>
        <row r="204">
          <cell r="D204" t="str">
            <v>Wooden Window Set w/ Steel Grilles</v>
          </cell>
        </row>
        <row r="205">
          <cell r="D205" t="str">
            <v>Wooden Window Set w/ Steel Grilles</v>
          </cell>
        </row>
        <row r="206">
          <cell r="D206" t="str">
            <v>Wooden Window-1 Set w/ Steel Grilles</v>
          </cell>
        </row>
        <row r="207">
          <cell r="D207" t="str">
            <v>Wooden Window-2 Set w/ Steel Grilles</v>
          </cell>
        </row>
        <row r="208">
          <cell r="D208" t="str">
            <v>Wooden Window-2 Set w/ Steel Grilles</v>
          </cell>
        </row>
        <row r="209">
          <cell r="D209" t="str">
            <v>( FLAT &amp; ROUND STEEL BARS )</v>
          </cell>
        </row>
        <row r="210">
          <cell r="D210" t="str">
            <v>( FLAT &amp; ROUND STEEL BARS )</v>
          </cell>
        </row>
        <row r="211">
          <cell r="D211" t="str">
            <v>Deformed Bars, Grade 60</v>
          </cell>
        </row>
        <row r="212">
          <cell r="D212" t="str">
            <v>Deformed Bars, Grade 40</v>
          </cell>
        </row>
        <row r="213">
          <cell r="D213" t="str">
            <v>Deformed Bars, Grade 33</v>
          </cell>
        </row>
        <row r="214">
          <cell r="D214" t="str">
            <v xml:space="preserve">6mmØ x 6m. RSB </v>
          </cell>
        </row>
        <row r="215">
          <cell r="D215" t="str">
            <v xml:space="preserve">8mmØ x 6m. RSB </v>
          </cell>
        </row>
        <row r="216">
          <cell r="D216" t="str">
            <v xml:space="preserve">10mmØ x 6m. RSB </v>
          </cell>
        </row>
        <row r="217">
          <cell r="D217" t="str">
            <v xml:space="preserve">12mmØ x 6m. RSB </v>
          </cell>
        </row>
        <row r="218">
          <cell r="D218" t="str">
            <v>Deformed Bars, (414 Mpa)</v>
          </cell>
        </row>
        <row r="219">
          <cell r="D219" t="str">
            <v>Deformed Bars, Grade 33</v>
          </cell>
        </row>
        <row r="220">
          <cell r="D220" t="str">
            <v>Deformed Bars, (230 Mpa)</v>
          </cell>
        </row>
        <row r="221">
          <cell r="D221" t="str">
            <v>Plain Round Bars, Grade 33</v>
          </cell>
        </row>
        <row r="222">
          <cell r="D222" t="str">
            <v>12mm  Suction Rod with Threaded Coupling</v>
          </cell>
        </row>
        <row r="223">
          <cell r="D223" t="str">
            <v>Square Bar</v>
          </cell>
        </row>
        <row r="224">
          <cell r="D224" t="str">
            <v>¼" X 2½" Flat Bar</v>
          </cell>
        </row>
        <row r="225">
          <cell r="D225" t="str">
            <v>3mm x 40mm Flat Bar</v>
          </cell>
        </row>
        <row r="226">
          <cell r="D226" t="str">
            <v>63mm x 4.5mm Flat Bar</v>
          </cell>
        </row>
        <row r="227">
          <cell r="D227" t="str">
            <v>36mmØ Splicing Bar</v>
          </cell>
        </row>
        <row r="228">
          <cell r="D228" t="str">
            <v>36mmØ Splicing Bar</v>
          </cell>
        </row>
        <row r="229">
          <cell r="D229" t="str">
            <v>10mmØ x 6m. RSB Grade 33</v>
          </cell>
        </row>
        <row r="230">
          <cell r="D230" t="str">
            <v>10mmØ x 6m. RSB Grade 33</v>
          </cell>
        </row>
        <row r="231">
          <cell r="D231" t="str">
            <v>10mmØ x 9m. RSB Grade 33</v>
          </cell>
        </row>
        <row r="232">
          <cell r="D232" t="str">
            <v>12mmØ x 6m. RSB Grade 33</v>
          </cell>
        </row>
        <row r="233">
          <cell r="D233" t="str">
            <v>12mmØ x 7.5m. RSB Grade 33</v>
          </cell>
        </row>
        <row r="234">
          <cell r="D234" t="str">
            <v>12mmØ x 9m. RSB Grade 33</v>
          </cell>
        </row>
        <row r="235">
          <cell r="D235" t="str">
            <v>16mmØ x 6m. RSB Grade 33</v>
          </cell>
        </row>
        <row r="236">
          <cell r="D236" t="str">
            <v>16mmØ x 7.5m. RSB Grade 33</v>
          </cell>
        </row>
        <row r="237">
          <cell r="D237" t="str">
            <v>16mmØ x 9m. RSB Grade 33</v>
          </cell>
        </row>
        <row r="238">
          <cell r="D238" t="str">
            <v>20mmØ x 6m. RSB Grade 33</v>
          </cell>
        </row>
        <row r="239">
          <cell r="D239" t="str">
            <v>20mmØ x 7.5m. RSB Grade 33</v>
          </cell>
        </row>
        <row r="240">
          <cell r="D240" t="str">
            <v>20mmØ x 9m. RSB Grade 33</v>
          </cell>
        </row>
        <row r="241">
          <cell r="D241" t="str">
            <v>25mmØ x 6m. RSB Grade 33</v>
          </cell>
        </row>
        <row r="242">
          <cell r="D242" t="str">
            <v>25mmØ x 7.5m. RSB Grade 33</v>
          </cell>
        </row>
        <row r="243">
          <cell r="D243" t="str">
            <v>25mmØ x 9m. RSB Grade 33</v>
          </cell>
        </row>
        <row r="244">
          <cell r="D244" t="str">
            <v>25mmØ x 9m. RSB Grade 33</v>
          </cell>
        </row>
        <row r="245">
          <cell r="D245" t="str">
            <v>6mmØ - Grade 33</v>
          </cell>
        </row>
        <row r="246">
          <cell r="D246" t="str">
            <v>8mmØ - Grade 33</v>
          </cell>
        </row>
        <row r="247">
          <cell r="D247" t="str">
            <v>10mmØ - Grade 33</v>
          </cell>
        </row>
        <row r="248">
          <cell r="D248" t="str">
            <v>12mmØ - Grade 33</v>
          </cell>
        </row>
        <row r="249">
          <cell r="D249" t="str">
            <v>16mmØ - Grade 33</v>
          </cell>
        </row>
        <row r="250">
          <cell r="D250" t="str">
            <v>20mmØ - Grade 33</v>
          </cell>
        </row>
        <row r="251">
          <cell r="D251" t="str">
            <v>25mmØ - Grade 33</v>
          </cell>
        </row>
        <row r="252">
          <cell r="D252" t="str">
            <v>Reinforcing Bars - Grade 33</v>
          </cell>
        </row>
        <row r="253">
          <cell r="D253" t="str">
            <v>Reinforcing Bars - Grade 33</v>
          </cell>
        </row>
        <row r="254">
          <cell r="D254" t="str">
            <v>6mmØ - Grade 40</v>
          </cell>
        </row>
        <row r="255">
          <cell r="D255" t="str">
            <v>8mmØ - Grade 40</v>
          </cell>
        </row>
        <row r="256">
          <cell r="D256" t="str">
            <v>10mmØ - Grade 40</v>
          </cell>
        </row>
        <row r="257">
          <cell r="D257" t="str">
            <v>12mmØ - Grade 40</v>
          </cell>
        </row>
        <row r="258">
          <cell r="D258" t="str">
            <v>16mmØ - Grade 40</v>
          </cell>
        </row>
        <row r="259">
          <cell r="D259" t="str">
            <v>20mmØ - Grade 40</v>
          </cell>
        </row>
        <row r="260">
          <cell r="D260" t="str">
            <v>25mmØ - Grade 40</v>
          </cell>
        </row>
        <row r="261">
          <cell r="D261" t="str">
            <v>25mmØ - Grade 40</v>
          </cell>
        </row>
        <row r="262">
          <cell r="D262" t="str">
            <v>10mmØ - Stainless Steel Rod Grade 30</v>
          </cell>
        </row>
        <row r="263">
          <cell r="D263" t="str">
            <v>10mmØ - Stainless Steel Turn Buckle Grade 30</v>
          </cell>
        </row>
        <row r="264">
          <cell r="D264" t="str">
            <v>10mmØ - Stainless Steel Hook Bar Grade 30</v>
          </cell>
        </row>
        <row r="265">
          <cell r="D265" t="str">
            <v>12mmØ - Stainless Steel Rod Grade 30</v>
          </cell>
        </row>
        <row r="266">
          <cell r="D266" t="str">
            <v>12mmØ - Stainless Steel Turn Buckle Grade 30</v>
          </cell>
        </row>
        <row r="267">
          <cell r="D267" t="str">
            <v>12mmØ - Stainless Steel Hook Bar Grade 30</v>
          </cell>
        </row>
        <row r="268">
          <cell r="D268" t="str">
            <v>12mmØ - Stainless Steel Hook Bar Grade 30</v>
          </cell>
        </row>
        <row r="269">
          <cell r="D269" t="str">
            <v>1/8" x 3/4" x 3/4" Angle Bar</v>
          </cell>
        </row>
        <row r="270">
          <cell r="D270" t="str">
            <v>( STRUCTURAL STEEL )</v>
          </cell>
        </row>
        <row r="271">
          <cell r="D271" t="str">
            <v>3/16"x1½"x1½" Angle Bar</v>
          </cell>
        </row>
        <row r="272">
          <cell r="D272" t="str">
            <v>1/8" x 3/4" x 3/4" Angle Bar</v>
          </cell>
        </row>
        <row r="273">
          <cell r="D273" t="str">
            <v>1/8" x 2" x 2" Angle Bar</v>
          </cell>
        </row>
        <row r="274">
          <cell r="D274" t="str">
            <v>3/16" x 2" x 2" Angle Bar</v>
          </cell>
        </row>
        <row r="275">
          <cell r="D275" t="str">
            <v>3/16" x 1" x1" Angle Bar</v>
          </cell>
        </row>
        <row r="276">
          <cell r="D276" t="str">
            <v>3/16" x 1" x1" Angle Bar</v>
          </cell>
        </row>
        <row r="277">
          <cell r="D277" t="str">
            <v>38mm x 38mmx 5mm Angle Bar</v>
          </cell>
        </row>
        <row r="278">
          <cell r="D278" t="str">
            <v>50mm x 50mm x 6mm Angle Bar</v>
          </cell>
        </row>
        <row r="279">
          <cell r="D279" t="str">
            <v>Steel Plate/Bar</v>
          </cell>
        </row>
        <row r="280">
          <cell r="D280" t="str">
            <v>50mm x 50mm x 5.5mm Angle Bar</v>
          </cell>
        </row>
        <row r="281">
          <cell r="D281" t="str">
            <v>1" x 1/4" Flat Bar</v>
          </cell>
        </row>
        <row r="282">
          <cell r="D282" t="str">
            <v>6mm x 50mm Flat Bar</v>
          </cell>
        </row>
        <row r="283">
          <cell r="D283" t="str">
            <v>38mm x 38mmx 5mm Angle Bar</v>
          </cell>
        </row>
        <row r="284">
          <cell r="D284" t="str">
            <v>38mm x 38mmx 6mm Angle Bar</v>
          </cell>
        </row>
        <row r="285">
          <cell r="D285" t="str">
            <v>38mm x 38mmx 5.2mm Angle Bar</v>
          </cell>
        </row>
        <row r="286">
          <cell r="D286" t="str">
            <v>40mm x 40mmx 6mm Angle Bar</v>
          </cell>
        </row>
        <row r="287">
          <cell r="D287" t="str">
            <v>40mm x 40mmx 5.5mm Angle Bar</v>
          </cell>
        </row>
        <row r="288">
          <cell r="D288" t="str">
            <v>25mm x 25mm x 3mm Angle Bar</v>
          </cell>
        </row>
        <row r="289">
          <cell r="D289" t="str">
            <v>25mm x 25mm x 6mm Angle Bar</v>
          </cell>
        </row>
        <row r="290">
          <cell r="D290" t="str">
            <v>50mm x 50mm x 4.5mm Angle Bar</v>
          </cell>
        </row>
        <row r="291">
          <cell r="D291" t="str">
            <v>50mm x 50mm x 5.5mm Angle Bar</v>
          </cell>
        </row>
        <row r="292">
          <cell r="D292" t="str">
            <v>63mm x 63mm x 4.5mm Angle Bar</v>
          </cell>
        </row>
        <row r="293">
          <cell r="D293" t="str">
            <v>3/16" x 2½" x2½" Angle Bar</v>
          </cell>
        </row>
        <row r="294">
          <cell r="D294" t="str">
            <v>100mm x 100mm x 8mm Angle Bar</v>
          </cell>
        </row>
        <row r="295">
          <cell r="D295" t="str">
            <v>100mm x 100mm x 10mm Angle Bar</v>
          </cell>
        </row>
        <row r="296">
          <cell r="D296" t="str">
            <v>100mm x 100mm x 12mm Angle Bar</v>
          </cell>
        </row>
        <row r="297">
          <cell r="D297" t="str">
            <v>Structural Steel, ASTM A36</v>
          </cell>
        </row>
        <row r="298">
          <cell r="D298" t="str">
            <v>Structural Steel Plate 9mm thk., ASTM A36</v>
          </cell>
        </row>
        <row r="299">
          <cell r="D299" t="str">
            <v>Structural Steel Plate 12mm thk., ASTM A36</v>
          </cell>
        </row>
        <row r="300">
          <cell r="D300" t="str">
            <v>Structural Steel Plate 16mm thk., ASTM A36</v>
          </cell>
        </row>
        <row r="301">
          <cell r="D301" t="str">
            <v>Structural Steel Plate 25mm thk., ASTM A36</v>
          </cell>
        </row>
        <row r="302">
          <cell r="D302" t="str">
            <v>Structural Steel 50mm x 50mm x 6m., ASTM A36</v>
          </cell>
        </row>
        <row r="303">
          <cell r="D303" t="str">
            <v>Steel Channel, 4 x 7.25</v>
          </cell>
        </row>
        <row r="304">
          <cell r="D304" t="str">
            <v>Steel Channel, 6 x 13</v>
          </cell>
        </row>
        <row r="305">
          <cell r="D305" t="str">
            <v>Steel Channel, C10 x 30</v>
          </cell>
        </row>
        <row r="306">
          <cell r="D306" t="str">
            <v>2" x 4" C-Purlin, Ga.16</v>
          </cell>
        </row>
        <row r="307">
          <cell r="D307" t="str">
            <v>LC 100x50x15x2.0 Purlins</v>
          </cell>
        </row>
        <row r="308">
          <cell r="D308" t="str">
            <v>LC 100x50x15x2.0 Studdings</v>
          </cell>
        </row>
        <row r="309">
          <cell r="D309" t="str">
            <v>12mmØ x 210mm A325 Bolts</v>
          </cell>
        </row>
        <row r="310">
          <cell r="D310" t="str">
            <v>20mmØ x 210mm A325 Bolts</v>
          </cell>
        </row>
        <row r="311">
          <cell r="D311" t="str">
            <v>25mmØ x 300mm A325 Bolts</v>
          </cell>
        </row>
        <row r="312">
          <cell r="D312" t="str">
            <v>32mmØ Standard Turn Buckle</v>
          </cell>
        </row>
        <row r="313">
          <cell r="D313" t="str">
            <v>32mmØ Standard Ring Joint</v>
          </cell>
        </row>
        <row r="314">
          <cell r="D314" t="str">
            <v>32mmØ Tie Rod</v>
          </cell>
        </row>
        <row r="315">
          <cell r="D315" t="str">
            <v>25mmØ x 500mm A325 Bolts</v>
          </cell>
        </row>
        <row r="316">
          <cell r="D316" t="str">
            <v>16mmØ x 250mm A325 Bolts</v>
          </cell>
        </row>
        <row r="317">
          <cell r="D317" t="str">
            <v>16mmØ x 50mm A325 Bolts</v>
          </cell>
        </row>
        <row r="318">
          <cell r="D318" t="str">
            <v>12mmØ x 75mm A325 Bolts</v>
          </cell>
        </row>
        <row r="319">
          <cell r="D319" t="str">
            <v>16mmØ x 50mm A325 Bolts</v>
          </cell>
        </row>
        <row r="320">
          <cell r="D320" t="str">
            <v>Steel Plate</v>
          </cell>
        </row>
        <row r="321">
          <cell r="D321" t="str">
            <v>Consumables</v>
          </cell>
        </row>
        <row r="322">
          <cell r="D322" t="str">
            <v>Joint Sealer</v>
          </cell>
        </row>
        <row r="323">
          <cell r="D323" t="str">
            <v>Joint Filler, hot poured</v>
          </cell>
        </row>
        <row r="324">
          <cell r="D324" t="str">
            <v>Filler Board</v>
          </cell>
        </row>
        <row r="325">
          <cell r="D325" t="str">
            <v>Filter Cloth</v>
          </cell>
        </row>
        <row r="326">
          <cell r="D326" t="str">
            <v>Filler Board</v>
          </cell>
        </row>
        <row r="327">
          <cell r="D327" t="str">
            <v>( NAILS, BOLTS and FASTENERS )</v>
          </cell>
        </row>
        <row r="328">
          <cell r="D328" t="str">
            <v>Common Wire Nails</v>
          </cell>
        </row>
        <row r="329">
          <cell r="D329" t="str">
            <v>Common Wire Nails (Keg)</v>
          </cell>
        </row>
        <row r="330">
          <cell r="D330" t="str">
            <v>Finishing Nails</v>
          </cell>
        </row>
        <row r="331">
          <cell r="D331" t="str">
            <v>Roofing Nails umbrella type</v>
          </cell>
        </row>
        <row r="332">
          <cell r="D332" t="str">
            <v>Concrete Nail</v>
          </cell>
        </row>
        <row r="333">
          <cell r="D333" t="str">
            <v>13mm, High-Strength Bolt, 4"</v>
          </cell>
        </row>
        <row r="334">
          <cell r="D334" t="str">
            <v>Machine Bolt w/ nut &amp; washer</v>
          </cell>
        </row>
        <row r="335">
          <cell r="D335" t="str">
            <v>16mmØ x 300mm Stainless Machine Bolt w/ nut &amp; washer</v>
          </cell>
        </row>
        <row r="336">
          <cell r="D336" t="str">
            <v>16mmØ x 250mm Stainless Machine Bolt w/ nut &amp; washer</v>
          </cell>
        </row>
        <row r="337">
          <cell r="D337" t="str">
            <v>16mmØ x 150mm Stainless Machine Bolt w/ nut &amp; washer</v>
          </cell>
        </row>
        <row r="338">
          <cell r="D338" t="str">
            <v>16mmØ x 200mm Stainless Machine Bolt w/ nut &amp; washer</v>
          </cell>
        </row>
        <row r="339">
          <cell r="D339" t="str">
            <v>12mmØ x 150mm Stainless Machine Bolt w/ nut &amp; washer</v>
          </cell>
        </row>
        <row r="340">
          <cell r="D340" t="str">
            <v>12mmØ x 200mm Stainless Machine Bolt w/ nut &amp; washer</v>
          </cell>
        </row>
        <row r="341">
          <cell r="D341" t="str">
            <v>12mmØ x 250mm Stainless Machine Bolt w/ nut &amp; washer</v>
          </cell>
        </row>
        <row r="342">
          <cell r="D342" t="str">
            <v>12mmØ x 200mm Stainless Machine Bolt w/ nut &amp; washer</v>
          </cell>
        </row>
        <row r="343">
          <cell r="D343" t="str">
            <v>16mmØ x 229 Machine Bolt w/ nut &amp; washer</v>
          </cell>
        </row>
        <row r="344">
          <cell r="D344" t="str">
            <v>20mmØ GI Machine Bolt w/ nut &amp; washer</v>
          </cell>
        </row>
        <row r="345">
          <cell r="D345" t="str">
            <v>16mmØ GI Machine Bolt w/ nut &amp; washer</v>
          </cell>
        </row>
        <row r="346">
          <cell r="D346" t="str">
            <v>12mmØ GI Machine Bolt w/ nut &amp; washer</v>
          </cell>
        </row>
        <row r="347">
          <cell r="D347" t="str">
            <v>16mmØ x 250mm GI Machine Bolt w/ nut &amp; washer</v>
          </cell>
        </row>
        <row r="348">
          <cell r="D348" t="str">
            <v>16mmØ x 300mm GI Machine Bolt w/ nut &amp; washer</v>
          </cell>
        </row>
        <row r="349">
          <cell r="D349" t="str">
            <v>12mmØ x 400mm GI Machine Bolt w/ nut &amp; washer</v>
          </cell>
        </row>
        <row r="350">
          <cell r="D350" t="str">
            <v>12mmØ x 150mm GI Machine Bolt w/ nut &amp; washer</v>
          </cell>
        </row>
        <row r="351">
          <cell r="D351" t="str">
            <v>12mmØ x 75mm GI Machine Bolt w/ nut &amp; washer</v>
          </cell>
        </row>
        <row r="352">
          <cell r="D352" t="str">
            <v>12mmØ GI Machine Bolt w/ nut &amp; washers</v>
          </cell>
        </row>
        <row r="353">
          <cell r="D353" t="str">
            <v>12mmØ GI Bolt w/ nut &amp; washers</v>
          </cell>
        </row>
        <row r="354">
          <cell r="D354" t="str">
            <v>10mmØ GI Machine Bolt w/ nut &amp; washers</v>
          </cell>
        </row>
        <row r="355">
          <cell r="D355" t="str">
            <v>12mmØ GI Bolt w/ nut &amp; washers</v>
          </cell>
        </row>
        <row r="356">
          <cell r="D356" t="str">
            <v>Boat Spike (Nail)</v>
          </cell>
        </row>
        <row r="357">
          <cell r="D357" t="str">
            <v>7/8" Anchor Bolt, 10"</v>
          </cell>
        </row>
        <row r="358">
          <cell r="D358" t="str">
            <v>16mmØ x 250mm Anchor Bolt</v>
          </cell>
        </row>
        <row r="359">
          <cell r="D359" t="str">
            <v>16mmØ x 300mm Anchor Bolt</v>
          </cell>
        </row>
        <row r="360">
          <cell r="D360" t="str">
            <v>20mmØ x 300mm Anchor Bolt</v>
          </cell>
        </row>
        <row r="361">
          <cell r="D361" t="str">
            <v>12mmØ x 38mm Anchor Bolt</v>
          </cell>
        </row>
        <row r="362">
          <cell r="D362" t="str">
            <v>20mm, Turn Buckle</v>
          </cell>
        </row>
        <row r="363">
          <cell r="D363" t="str">
            <v>16mm, Turn Buckle</v>
          </cell>
        </row>
        <row r="364">
          <cell r="D364" t="str">
            <v>12mm  Turnbuckle</v>
          </cell>
        </row>
        <row r="365">
          <cell r="D365" t="str">
            <v>13mm, U-Bolt</v>
          </cell>
        </row>
        <row r="366">
          <cell r="D366" t="str">
            <v>16mm, U-Bolt w/ nuts and washers</v>
          </cell>
        </row>
        <row r="367">
          <cell r="D367" t="str">
            <v>13mm, Cable Clip</v>
          </cell>
        </row>
        <row r="368">
          <cell r="D368" t="str">
            <v>32mm, Cable Clip</v>
          </cell>
        </row>
        <row r="369">
          <cell r="D369" t="str">
            <v>13mm,  Thimble</v>
          </cell>
        </row>
        <row r="370">
          <cell r="D370" t="str">
            <v>12mm  Stainless Screw, 1/2"</v>
          </cell>
        </row>
        <row r="371">
          <cell r="D371" t="str">
            <v>Tekscrew</v>
          </cell>
        </row>
        <row r="372">
          <cell r="D372" t="str">
            <v>Post Strap Flat Bar</v>
          </cell>
        </row>
        <row r="373">
          <cell r="D373" t="str">
            <v>GI Post Strap 1/4" x 2"</v>
          </cell>
        </row>
        <row r="374">
          <cell r="D374" t="str">
            <v>Post Strap Flat Bar</v>
          </cell>
        </row>
        <row r="375">
          <cell r="D375" t="str">
            <v>( GI WIRES )</v>
          </cell>
        </row>
        <row r="376">
          <cell r="D376" t="str">
            <v>Ga.16 GI Tie Wire</v>
          </cell>
        </row>
        <row r="377">
          <cell r="D377" t="str">
            <v>G.I. Rivets</v>
          </cell>
        </row>
        <row r="378">
          <cell r="D378" t="str">
            <v>20mmØ G.I. Chain</v>
          </cell>
        </row>
        <row r="379">
          <cell r="D379" t="str">
            <v>G.I. Rivets</v>
          </cell>
        </row>
        <row r="380">
          <cell r="D380" t="str">
            <v>( ROOFING SHEET )</v>
          </cell>
        </row>
        <row r="381">
          <cell r="D381" t="str">
            <v>GI Sheet Roofing</v>
          </cell>
        </row>
        <row r="382">
          <cell r="D382" t="str">
            <v>CORR. G.I.sheets, Ga.26</v>
          </cell>
        </row>
        <row r="383">
          <cell r="D383" t="str">
            <v>CORR. G.I.sheets, Ga.31</v>
          </cell>
        </row>
        <row r="384">
          <cell r="D384" t="str">
            <v>CORR. G.I.sheets x 6' , Ga.26</v>
          </cell>
        </row>
        <row r="385">
          <cell r="D385" t="str">
            <v>CORR. G.I.sheets x 8' , Ga.26</v>
          </cell>
        </row>
        <row r="386">
          <cell r="D386" t="str">
            <v>3' x 8' Plain G.I. Sheet, Ga.26</v>
          </cell>
        </row>
        <row r="387">
          <cell r="D387" t="str">
            <v>3' x 8' Plain G.I. Sheet, Ga.31</v>
          </cell>
        </row>
        <row r="388">
          <cell r="D388" t="str">
            <v>Plain G.I. Sheet, Ga.26</v>
          </cell>
        </row>
        <row r="389">
          <cell r="D389" t="str">
            <v>Pre-Painted Corr. GI Sht, Ga.26</v>
          </cell>
        </row>
        <row r="390">
          <cell r="D390" t="str">
            <v>24" Prefab GI Gutter</v>
          </cell>
        </row>
        <row r="391">
          <cell r="D391" t="str">
            <v>12" Prefab GI Ridge Roll</v>
          </cell>
        </row>
        <row r="392">
          <cell r="D392" t="str">
            <v>18" Prefab GI Flashing</v>
          </cell>
        </row>
        <row r="393">
          <cell r="D393" t="str">
            <v>3' x 8' Plain G.I. Sheet, Ga.24</v>
          </cell>
        </row>
        <row r="394">
          <cell r="D394" t="str">
            <v>0.40mm x 0.830m Durawide Rib Type Roofing Sheet (Phil Metal)</v>
          </cell>
        </row>
        <row r="395">
          <cell r="D395" t="str">
            <v>0.40mm x 0.45m x 3.66m) Pre-painted ridge roll (Phil Metal)</v>
          </cell>
        </row>
        <row r="396">
          <cell r="D396" t="str">
            <v>0.40mm x 0.915 x 3.66m) Spanish End Flashing (Phil Metal)</v>
          </cell>
        </row>
        <row r="397">
          <cell r="D397" t="str">
            <v>0.40mm x 0.915 x 3.66m) Spanish Gutter (Phil Metal)</v>
          </cell>
        </row>
        <row r="398">
          <cell r="D398" t="str">
            <v>Teks 4 #12-24 x 45mm Hex w/ Neo</v>
          </cell>
        </row>
        <row r="399">
          <cell r="D399" t="str">
            <v>Prepainted Galvallum Corr..sheets , 0.30mm thk.</v>
          </cell>
        </row>
        <row r="400">
          <cell r="D400" t="str">
            <v>Prepainted Galvalume 55 Corr..sheets , 4.0ft wide x 0.3mm thk.</v>
          </cell>
        </row>
        <row r="401">
          <cell r="D401" t="str">
            <v>Prepainted Galvalume 55 Corr..sheets , 3.0ft wide x 0.3mm thk.</v>
          </cell>
        </row>
        <row r="402">
          <cell r="D402" t="str">
            <v>Prepainted Galvalume 55 Plain..sheets , 3.0ft wide x 0.35mm thk.</v>
          </cell>
        </row>
        <row r="403">
          <cell r="D403" t="str">
            <v>Prepainted Galvallum Plain sheets, 0.35mm thk.</v>
          </cell>
        </row>
        <row r="404">
          <cell r="D404" t="str">
            <v>Prepainted Galvallum Corr..sheets x 6' , 0.35mm thk.</v>
          </cell>
        </row>
        <row r="405">
          <cell r="D405" t="str">
            <v>Prepainted Galvallum Corr..sheets x 8' , 0.35mm thk.</v>
          </cell>
        </row>
        <row r="406">
          <cell r="D406" t="str">
            <v>Prepainted Galvallum Plain sheets x 10' , 0.35mm thk.</v>
          </cell>
        </row>
        <row r="407">
          <cell r="D407" t="str">
            <v>Galvalume 55 Plain sheets x 10' , 0.35mm thk.</v>
          </cell>
        </row>
        <row r="408">
          <cell r="D408" t="str">
            <v>Galvalume 55 Corr. sheets x 12' , 0.35mm thk.</v>
          </cell>
        </row>
        <row r="409">
          <cell r="D409" t="str">
            <v>Galvalume 55 Corr. sheets x 10' , 0.35mm thk.</v>
          </cell>
        </row>
        <row r="410">
          <cell r="D410" t="str">
            <v>Galvalume 55 Corr. sheets x 9' , 0.35mm thk.</v>
          </cell>
        </row>
        <row r="411">
          <cell r="D411" t="str">
            <v>Galvalume 55 Corr. sheets x 8' , 0.35mm thk.</v>
          </cell>
        </row>
        <row r="412">
          <cell r="D412" t="str">
            <v>Galvalume 55 Corr. sheets x 7' , 0.35mm thk.</v>
          </cell>
        </row>
        <row r="413">
          <cell r="D413" t="str">
            <v>Galvalume 55 Corr. sheets x 6' , 0.35mm thk.</v>
          </cell>
        </row>
        <row r="414">
          <cell r="D414" t="str">
            <v>Galvalume 55 Corr. sheets x 6' , 0.35mm thk.</v>
          </cell>
        </row>
        <row r="415">
          <cell r="D415" t="str">
            <v>0.30mm thk x 4.0ft. wide Unpainted Galvallum 55</v>
          </cell>
        </row>
        <row r="416">
          <cell r="D416" t="str">
            <v>0.30mmthk x 0.610m x 2.44m Ridge Roll Unpainted Galvallum 55 (4ft x 8ft)</v>
          </cell>
        </row>
        <row r="417">
          <cell r="D417" t="str">
            <v>0.30mm thk x 4.0ft. wide Unpainted Galvallum 55</v>
          </cell>
        </row>
        <row r="418">
          <cell r="D418" t="str">
            <v>0.30mm thk x 4.0ft. wide Unpainted Galvallum 55 (End Flashing)</v>
          </cell>
        </row>
        <row r="419">
          <cell r="D419" t="str">
            <v>0.30mm thk x 4.0ft. wide Unpainted Galvallum 55 (Ridge Roll)</v>
          </cell>
        </row>
        <row r="420">
          <cell r="D420" t="str">
            <v>0.30mm thk x 4.0ft. wide Unpainted Galvallum 55 (End Flashing)</v>
          </cell>
        </row>
        <row r="421">
          <cell r="D421" t="str">
            <v>Metalplas Corr. Roofing (1.5mm thk)</v>
          </cell>
        </row>
        <row r="422">
          <cell r="D422" t="str">
            <v>Metalplas Ridge Roll</v>
          </cell>
        </row>
        <row r="423">
          <cell r="D423" t="str">
            <v>Metalplas End Flashing</v>
          </cell>
        </row>
        <row r="424">
          <cell r="D424" t="str">
            <v>Metalplas Ridge Roll</v>
          </cell>
        </row>
        <row r="425">
          <cell r="D425" t="str">
            <v>Blind Rivets</v>
          </cell>
        </row>
        <row r="426">
          <cell r="D426" t="str">
            <v>Silicon Rubber Sealant</v>
          </cell>
        </row>
        <row r="427">
          <cell r="D427" t="str">
            <v>Touch-up Acrylic Paint</v>
          </cell>
        </row>
        <row r="428">
          <cell r="D428" t="str">
            <v>Silicon Rubber Sealant</v>
          </cell>
        </row>
        <row r="429">
          <cell r="D429" t="str">
            <v>( HARDWARES )</v>
          </cell>
        </row>
        <row r="430">
          <cell r="D430" t="str">
            <v>Gutter seal</v>
          </cell>
        </row>
        <row r="431">
          <cell r="D431" t="str">
            <v>4'-wide Cyclone  Wire</v>
          </cell>
        </row>
        <row r="432">
          <cell r="D432" t="str">
            <v>1¼ "dia. X 6" Double Type Pulley Level</v>
          </cell>
        </row>
        <row r="433">
          <cell r="D433" t="str">
            <v>1¼ "dia. X 6" Steel Ring Bolt Adaptor</v>
          </cell>
        </row>
        <row r="434">
          <cell r="D434" t="str">
            <v>1¼ "dia. X 1¼" Steel Ring Bolt Adaptor</v>
          </cell>
        </row>
        <row r="435">
          <cell r="D435" t="str">
            <v>1" Cylindrical Ejector Assembly, 32"</v>
          </cell>
        </row>
        <row r="436">
          <cell r="D436" t="str">
            <v>1½" " Cylindrical Ejector Assembly, 32"</v>
          </cell>
        </row>
        <row r="437">
          <cell r="D437" t="str">
            <v>Cylindrical Door Knob</v>
          </cell>
        </row>
        <row r="438">
          <cell r="D438" t="str">
            <v>4" Barrel Bolts</v>
          </cell>
        </row>
        <row r="439">
          <cell r="D439" t="str">
            <v>4" x 4" Loose Pin Butt Hinges</v>
          </cell>
        </row>
        <row r="440">
          <cell r="D440" t="str">
            <v>3" x 3" Loose Pin Butt Hinges</v>
          </cell>
        </row>
        <row r="441">
          <cell r="D441" t="str">
            <v>4" Hasp Lock Hinges</v>
          </cell>
        </row>
        <row r="442">
          <cell r="D442" t="str">
            <v>Alum. Mesh Wire, 1/8" eye x 3'</v>
          </cell>
        </row>
        <row r="443">
          <cell r="D443" t="str">
            <v>Alum. Mesh Wire, 1/2" eye x 3'</v>
          </cell>
        </row>
        <row r="444">
          <cell r="D444" t="str">
            <v>Alum. Mesh Wire, 1" eye x 3'</v>
          </cell>
        </row>
        <row r="445">
          <cell r="D445" t="str">
            <v>Aluminum Mosquito Screen, 3ft-wide</v>
          </cell>
        </row>
        <row r="446">
          <cell r="D446" t="str">
            <v>Aukom Rug</v>
          </cell>
        </row>
        <row r="447">
          <cell r="D447" t="str">
            <v>Welding Rods 1/8"ø E60</v>
          </cell>
        </row>
        <row r="448">
          <cell r="D448" t="str">
            <v>Welding Rods 1/8"ø E70XX</v>
          </cell>
        </row>
        <row r="449">
          <cell r="D449" t="str">
            <v>Welwood Glue</v>
          </cell>
        </row>
        <row r="450">
          <cell r="D450" t="str">
            <v>Solvent Cement</v>
          </cell>
        </row>
        <row r="451">
          <cell r="D451" t="str">
            <v xml:space="preserve">1½"   Cylindrical Ejector Assmbly, CLAYTON USA </v>
          </cell>
        </row>
        <row r="452">
          <cell r="D452" t="str">
            <v xml:space="preserve">1¼" Cylindrical Ejector Assmbly, CLAYTON USA </v>
          </cell>
        </row>
        <row r="453">
          <cell r="D453" t="str">
            <v>½" Teflon Tape</v>
          </cell>
        </row>
        <row r="454">
          <cell r="D454" t="str">
            <v>¾" Teflon Tape</v>
          </cell>
        </row>
        <row r="455">
          <cell r="D455" t="str">
            <v>1"  Teflon Tape</v>
          </cell>
        </row>
        <row r="456">
          <cell r="D456" t="str">
            <v>Cabinet Door Handle</v>
          </cell>
        </row>
        <row r="457">
          <cell r="D457" t="str">
            <v>½" dia. x 3/4"  Pillow Block</v>
          </cell>
        </row>
        <row r="458">
          <cell r="D458" t="str">
            <v>#6203  Bearing</v>
          </cell>
        </row>
        <row r="459">
          <cell r="D459" t="str">
            <v>3/4"dia. x 4"  Steel Spring</v>
          </cell>
        </row>
        <row r="460">
          <cell r="D460" t="str">
            <v>1¼" Foot Valve, Brass</v>
          </cell>
        </row>
        <row r="461">
          <cell r="D461" t="str">
            <v>1" x 2" Cabinet Hinges</v>
          </cell>
        </row>
        <row r="462">
          <cell r="D462" t="str">
            <v>Gabion Mattress</v>
          </cell>
        </row>
        <row r="463">
          <cell r="D463" t="str">
            <v>20mmØ Chain and Other Accessories</v>
          </cell>
        </row>
        <row r="464">
          <cell r="D464" t="str">
            <v>Gabion Mattress</v>
          </cell>
        </row>
        <row r="465">
          <cell r="D465" t="str">
            <v>( STRUCTURAL STEEL WIRES AND CABLES )</v>
          </cell>
        </row>
        <row r="466">
          <cell r="D466" t="str">
            <v>6mm,  IWRC (6 x  25)</v>
          </cell>
        </row>
        <row r="467">
          <cell r="D467" t="str">
            <v>8mm,  IWRC (6 x  25)</v>
          </cell>
        </row>
        <row r="468">
          <cell r="D468" t="str">
            <v>10mm,  IWRC (6 x  25)</v>
          </cell>
        </row>
        <row r="469">
          <cell r="D469" t="str">
            <v>11mm,  IWRC (6 x  25)</v>
          </cell>
        </row>
        <row r="470">
          <cell r="D470" t="str">
            <v>13mm,  IWRC (6 x  25)</v>
          </cell>
        </row>
        <row r="471">
          <cell r="D471" t="str">
            <v>14mm,  IWRC (6 x  25)</v>
          </cell>
        </row>
        <row r="472">
          <cell r="D472" t="str">
            <v>16mm,  IWRC (6 x  25)</v>
          </cell>
        </row>
        <row r="473">
          <cell r="D473" t="str">
            <v>20mm,  IWRC (6 x  25)</v>
          </cell>
        </row>
        <row r="474">
          <cell r="D474" t="str">
            <v>22mm,  IWRC (6 x  25)</v>
          </cell>
        </row>
        <row r="475">
          <cell r="D475" t="str">
            <v>25mm,  IWRC (6 x  25)</v>
          </cell>
        </row>
        <row r="476">
          <cell r="D476" t="str">
            <v>29mm,  IWRC (6 x  25)</v>
          </cell>
        </row>
        <row r="477">
          <cell r="D477" t="str">
            <v>32mm,  IWRC (6 x  25)</v>
          </cell>
        </row>
        <row r="478">
          <cell r="D478" t="str">
            <v>35mm, ,  IWRC (6 x  25)</v>
          </cell>
        </row>
        <row r="479">
          <cell r="D479" t="str">
            <v>38mm,  IWRC (6 x  25)</v>
          </cell>
        </row>
        <row r="480">
          <cell r="D480" t="str">
            <v>41mm,  IWRC (6 x  25)</v>
          </cell>
        </row>
        <row r="481">
          <cell r="D481" t="str">
            <v>44mm,  IWRC (6 x  25)</v>
          </cell>
        </row>
        <row r="482">
          <cell r="D482" t="str">
            <v>48mm,  IWRC (6 x  25)</v>
          </cell>
        </row>
        <row r="483">
          <cell r="D483" t="str">
            <v>51mm,  IWRC (6 x  25)</v>
          </cell>
        </row>
        <row r="484">
          <cell r="D484" t="str">
            <v>54mm,  IWRC (6 x  25)</v>
          </cell>
        </row>
        <row r="485">
          <cell r="D485" t="str">
            <v>57mm,  IWRC (6 x  25)</v>
          </cell>
        </row>
        <row r="486">
          <cell r="D486" t="str">
            <v>5mm, Wire Rope Fiber Core (6 x 25)</v>
          </cell>
        </row>
        <row r="487">
          <cell r="D487" t="str">
            <v>6mm, Wire Rope Fiber Core (6 x 25)</v>
          </cell>
        </row>
        <row r="488">
          <cell r="D488" t="str">
            <v>8mm, Wire Rope Fiber Core (6 x 25)</v>
          </cell>
        </row>
        <row r="489">
          <cell r="D489" t="str">
            <v>10mm, Wire Rope Fiber Core (6 x 25)</v>
          </cell>
        </row>
        <row r="490">
          <cell r="D490" t="str">
            <v>11mm, Wire Rope Fiber Core (6 x 25)</v>
          </cell>
        </row>
        <row r="491">
          <cell r="D491" t="str">
            <v>13mm, Wire Rope Fiber Core (6 x 25)</v>
          </cell>
        </row>
        <row r="492">
          <cell r="D492" t="str">
            <v>14mm, Wire Rope Fiber Core (6 x 25)</v>
          </cell>
        </row>
        <row r="493">
          <cell r="D493" t="str">
            <v>16mm, Wire Rope Fiber Core (6 x 25)</v>
          </cell>
        </row>
        <row r="494">
          <cell r="D494" t="str">
            <v>20mm, Wire Rope Fiber Core (6 x 25)</v>
          </cell>
        </row>
        <row r="495">
          <cell r="D495" t="str">
            <v>22mm, Wire Rope Fiber Core (6 x 25)</v>
          </cell>
        </row>
        <row r="496">
          <cell r="D496" t="str">
            <v>25mm, Wire Rope Fiber Core (6 x 25)</v>
          </cell>
        </row>
        <row r="497">
          <cell r="D497" t="str">
            <v>29mm, Wire Rope Fiber Core (6 x 25)</v>
          </cell>
        </row>
        <row r="498">
          <cell r="D498" t="str">
            <v>32mm, Wire Rope Fiber Core (6 x 25)</v>
          </cell>
        </row>
        <row r="499">
          <cell r="D499" t="str">
            <v>35mm, , Wire Rope Fiber Core (6 x 25)</v>
          </cell>
        </row>
        <row r="500">
          <cell r="D500" t="str">
            <v>38mm, Wire Rope Fiber Core (6 x 25)</v>
          </cell>
        </row>
        <row r="501">
          <cell r="D501" t="str">
            <v>41mm, Wire Rope Fiber Core (6 x 25)</v>
          </cell>
        </row>
        <row r="502">
          <cell r="D502" t="str">
            <v>44mm, Wire Rope Fiber Core (6 x 25)</v>
          </cell>
        </row>
        <row r="503">
          <cell r="D503" t="str">
            <v>48mm, Wire Rope Fiber Core (6 x 25)</v>
          </cell>
        </row>
        <row r="504">
          <cell r="D504" t="str">
            <v>51mm, Wire Rope Fiber Core (6 x 25)</v>
          </cell>
        </row>
        <row r="505">
          <cell r="D505" t="str">
            <v>54mm, Wire Rope Fiber Core (6 x 25)</v>
          </cell>
        </row>
        <row r="506">
          <cell r="D506" t="str">
            <v>57mm, Wire Rope Fiber Core (6 x 25)</v>
          </cell>
        </row>
        <row r="507">
          <cell r="D507" t="str">
            <v>10mm, High Grade Steel Cable</v>
          </cell>
        </row>
        <row r="508">
          <cell r="D508" t="str">
            <v>6mmØ Cable Clips</v>
          </cell>
        </row>
        <row r="509">
          <cell r="D509" t="str">
            <v>10mmØ Cable Clips</v>
          </cell>
        </row>
        <row r="510">
          <cell r="D510" t="str">
            <v>20mmØ Cable Clips</v>
          </cell>
        </row>
        <row r="511">
          <cell r="D511" t="str">
            <v>41mm, Wire Rope Fiber Core (6 x 25)</v>
          </cell>
        </row>
        <row r="512">
          <cell r="D512" t="str">
            <v>( STEEL PLATES )</v>
          </cell>
        </row>
        <row r="513">
          <cell r="D513" t="str">
            <v>6mm, Expanded Metal Mesh</v>
          </cell>
        </row>
        <row r="514">
          <cell r="D514" t="str">
            <v>10mm, Steel Plate</v>
          </cell>
        </row>
        <row r="515">
          <cell r="D515" t="str">
            <v>8mm, Steel Plate</v>
          </cell>
        </row>
        <row r="516">
          <cell r="D516" t="str">
            <v>6mm, Steel Plate</v>
          </cell>
        </row>
        <row r="517">
          <cell r="D517" t="str">
            <v>200mm x 200mm x 6mm, Steel Plate</v>
          </cell>
        </row>
        <row r="518">
          <cell r="D518" t="str">
            <v>300mm x 300mm x 6mm, Steel Plate</v>
          </cell>
        </row>
        <row r="519">
          <cell r="D519" t="str">
            <v>180mm x 180mm x 16mm, Steel Plate</v>
          </cell>
        </row>
        <row r="520">
          <cell r="D520" t="str">
            <v>180mm x 180mm x 16mm, Steel Plate</v>
          </cell>
        </row>
        <row r="521">
          <cell r="D521" t="str">
            <v>Steel Plate'</v>
          </cell>
        </row>
        <row r="522">
          <cell r="D522" t="str">
            <v>Steel Block</v>
          </cell>
        </row>
        <row r="523">
          <cell r="D523" t="str">
            <v>6mm, Expanded Metal Mesh</v>
          </cell>
        </row>
        <row r="524">
          <cell r="D524" t="str">
            <v>( STAINLESS STEEL CYLINDRICAL TANK )</v>
          </cell>
        </row>
        <row r="525">
          <cell r="D525" t="str">
            <v>600L Ga. 18 Cylindrical H2O Tank</v>
          </cell>
        </row>
        <row r="526">
          <cell r="D526" t="str">
            <v>800L Ga. 18 Cylindrical H2O Tank</v>
          </cell>
        </row>
        <row r="527">
          <cell r="D527" t="str">
            <v>1000L Ga. 18 Cylindrical H2O Tank</v>
          </cell>
        </row>
        <row r="528">
          <cell r="D528" t="str">
            <v>300mm x 300mm x 6mm, Steel Plate</v>
          </cell>
        </row>
        <row r="529">
          <cell r="D529" t="str">
            <v>( ALUMINUM AND GLASS )</v>
          </cell>
        </row>
        <row r="530">
          <cell r="D530" t="str">
            <v>Jalousie Glass Blade w/ Alum. Frame</v>
          </cell>
        </row>
        <row r="531">
          <cell r="D531" t="str">
            <v>Clear Glass</v>
          </cell>
        </row>
        <row r="532">
          <cell r="D532" t="str">
            <v>Smoke Glass</v>
          </cell>
        </row>
        <row r="533">
          <cell r="D533" t="str">
            <v>16 blades 4" Alum. Jal. Frame</v>
          </cell>
        </row>
        <row r="534">
          <cell r="D534" t="str">
            <v>14 blades 4" Alum. Jal. Frame</v>
          </cell>
        </row>
        <row r="535">
          <cell r="D535" t="str">
            <v>7 blades 4" Alum. Jal. Frame</v>
          </cell>
        </row>
        <row r="536">
          <cell r="D536" t="str">
            <v>800L Ga. 18 Cylindrical H2O Tank</v>
          </cell>
        </row>
        <row r="537">
          <cell r="D537" t="str">
            <v>( PLASTIC PRODUCTS )</v>
          </cell>
        </row>
        <row r="538">
          <cell r="D538" t="str">
            <v>25mm  Plastic Stranded Rope</v>
          </cell>
        </row>
        <row r="539">
          <cell r="D539" t="str">
            <v>( ALUMINUM AND GLASS )</v>
          </cell>
        </row>
        <row r="540">
          <cell r="D540" t="str">
            <v>PIPING &amp; EQUIPMENTS</v>
          </cell>
        </row>
        <row r="541">
          <cell r="D541" t="str">
            <v>Submersible Pumps &amp; its accessories</v>
          </cell>
        </row>
        <row r="542">
          <cell r="D542" t="str">
            <v>Submersible Pumps &amp; its accessories (3HP - 186S3.412)</v>
          </cell>
        </row>
        <row r="543">
          <cell r="D543" t="str">
            <v>Submersible Pumps &amp; its accessories (1HP - 136S10412)</v>
          </cell>
        </row>
        <row r="544">
          <cell r="D544" t="str">
            <v>14 blades 4" Alum. Jal. Frame</v>
          </cell>
        </row>
        <row r="545">
          <cell r="D545" t="str">
            <v>GI PIPES AND FITTINGS</v>
          </cell>
        </row>
        <row r="546">
          <cell r="D546" t="str">
            <v>ø12mm sch 40 GI Pipe</v>
          </cell>
        </row>
        <row r="547">
          <cell r="D547" t="str">
            <v>ø25mm sch 40 GI Pipe</v>
          </cell>
        </row>
        <row r="548">
          <cell r="D548" t="str">
            <v>ø38mm sch 40 GI Pipe</v>
          </cell>
        </row>
        <row r="549">
          <cell r="D549" t="str">
            <v>ø50mm SCH 40 GI Pipe</v>
          </cell>
        </row>
        <row r="550">
          <cell r="D550" t="str">
            <v>ø63mm SCH 40 GI Pipe</v>
          </cell>
        </row>
        <row r="551">
          <cell r="D551" t="str">
            <v>ø65mm SCH 40 GI Pipe</v>
          </cell>
        </row>
        <row r="552">
          <cell r="D552" t="str">
            <v>ø75mm SCH 40 GI Pipe</v>
          </cell>
        </row>
        <row r="553">
          <cell r="D553" t="str">
            <v>Submersible Pumps &amp; its accessories (1HP - 136S10412)</v>
          </cell>
        </row>
        <row r="554">
          <cell r="D554" t="str">
            <v>½" G.I. Pipe, sch. 40</v>
          </cell>
        </row>
        <row r="555">
          <cell r="D555" t="str">
            <v>3/4" G.I. Pipe, sch. 40</v>
          </cell>
        </row>
        <row r="556">
          <cell r="D556" t="str">
            <v>1" G.I. Pipe, sch. 40</v>
          </cell>
        </row>
        <row r="557">
          <cell r="D557" t="str">
            <v>1¼" G.I. Pipe, sch. 40</v>
          </cell>
        </row>
        <row r="558">
          <cell r="D558" t="str">
            <v>1½" G.I. Pipe, sch. 40</v>
          </cell>
        </row>
        <row r="559">
          <cell r="D559" t="str">
            <v>2" G.I. Pipe, sch. 40</v>
          </cell>
        </row>
        <row r="560">
          <cell r="D560" t="str">
            <v>2¼" G.I. Pipe, sch. 40</v>
          </cell>
        </row>
        <row r="561">
          <cell r="D561" t="str">
            <v>3" G.I. Pipe, sch. 40</v>
          </cell>
        </row>
        <row r="562">
          <cell r="D562" t="str">
            <v>4" G.I. Pipe, sch. 40</v>
          </cell>
        </row>
        <row r="563">
          <cell r="D563" t="str">
            <v>2½" G.I. Pipe, sch. 40</v>
          </cell>
        </row>
        <row r="564">
          <cell r="D564" t="str">
            <v>4" G.I. Pipe ,sch. 20</v>
          </cell>
        </row>
        <row r="565">
          <cell r="D565" t="str">
            <v>1½" G.I. Pipe ,sch. 20</v>
          </cell>
        </row>
        <row r="566">
          <cell r="D566" t="str">
            <v>2" B.I. Pipe, sch. 40</v>
          </cell>
        </row>
        <row r="567">
          <cell r="D567" t="str">
            <v>1" B.I. Pipe, sch. 40</v>
          </cell>
        </row>
        <row r="568">
          <cell r="D568" t="str">
            <v>½" G.I. Coupling, sch. 40</v>
          </cell>
        </row>
        <row r="569">
          <cell r="D569" t="str">
            <v>1" G.I. Coupling, sch. 40</v>
          </cell>
        </row>
        <row r="570">
          <cell r="D570" t="str">
            <v>1¼" G.I. Coupling, sch. 40</v>
          </cell>
        </row>
        <row r="571">
          <cell r="D571" t="str">
            <v>1½" G.I. Coupling, sch. 40</v>
          </cell>
        </row>
        <row r="572">
          <cell r="D572" t="str">
            <v>2"  G.I. Coupling, sch. 40</v>
          </cell>
        </row>
        <row r="573">
          <cell r="D573" t="str">
            <v>2¼" G.I. Coupling, sch. 40</v>
          </cell>
        </row>
        <row r="574">
          <cell r="D574" t="str">
            <v>3" G.I. Coupling, sch. 40</v>
          </cell>
        </row>
        <row r="575">
          <cell r="D575" t="str">
            <v>4"  G.I. Coupling, sch. 40</v>
          </cell>
        </row>
        <row r="576">
          <cell r="D576" t="str">
            <v>2½" G.I. Coupling, sch. 40</v>
          </cell>
        </row>
        <row r="577">
          <cell r="D577" t="str">
            <v>½" G.I. Elbow 45°, sch. 40</v>
          </cell>
        </row>
        <row r="578">
          <cell r="D578" t="str">
            <v>1"G.I. Elbow 45°, sch. 40</v>
          </cell>
        </row>
        <row r="579">
          <cell r="D579" t="str">
            <v>1¼"G.I. Elbow 45°, sch. 40</v>
          </cell>
        </row>
        <row r="580">
          <cell r="D580" t="str">
            <v>1½"G.I. Elbow 45°, sch. 40</v>
          </cell>
        </row>
        <row r="581">
          <cell r="D581" t="str">
            <v>2"G.I. Elbow 45°, sch. 40</v>
          </cell>
        </row>
        <row r="582">
          <cell r="D582" t="str">
            <v>2½" G.I. Elbow 45°, sch. 40</v>
          </cell>
        </row>
        <row r="583">
          <cell r="D583" t="str">
            <v>3" G.I. Elbow 45°, sch. 40</v>
          </cell>
        </row>
        <row r="584">
          <cell r="D584" t="str">
            <v>4" G.I. Elbow 45°, sch. 40</v>
          </cell>
        </row>
        <row r="585">
          <cell r="D585" t="str">
            <v>½" G.I. Elbow 90°, sch 40</v>
          </cell>
        </row>
        <row r="586">
          <cell r="D586" t="str">
            <v>1" G.I. Elbow 90°, sch 40</v>
          </cell>
        </row>
        <row r="587">
          <cell r="D587" t="str">
            <v>1¼" G.I. Elbow 90°, sch 40</v>
          </cell>
        </row>
        <row r="588">
          <cell r="D588" t="str">
            <v>1½"  G.I. Elbow 90°, sch 40</v>
          </cell>
        </row>
        <row r="589">
          <cell r="D589" t="str">
            <v>2" G.I. Elbow 90°, sch 40</v>
          </cell>
        </row>
        <row r="590">
          <cell r="D590" t="str">
            <v>2½" G.I. Elbow 90°, sch 40</v>
          </cell>
        </row>
        <row r="591">
          <cell r="D591" t="str">
            <v>3" G.I. Elbow 90°, sch 40</v>
          </cell>
        </row>
        <row r="592">
          <cell r="D592" t="str">
            <v>4" G.I. Elbow 90°, sch 40</v>
          </cell>
        </row>
        <row r="593">
          <cell r="D593" t="str">
            <v>2" G.I. Street Elbow, sch 40</v>
          </cell>
        </row>
        <row r="594">
          <cell r="D594" t="str">
            <v>3/4"  G.I. Elbow 90°, sch 40</v>
          </cell>
        </row>
        <row r="595">
          <cell r="D595" t="str">
            <v>½" G.I. TEE, sch 40</v>
          </cell>
        </row>
        <row r="596">
          <cell r="D596" t="str">
            <v>1" G.I. TEE, sch 40</v>
          </cell>
        </row>
        <row r="597">
          <cell r="D597" t="str">
            <v>1¼" G.I. TEE, sch 40</v>
          </cell>
        </row>
        <row r="598">
          <cell r="D598" t="str">
            <v>1½" G.I. TEE, sch 40</v>
          </cell>
        </row>
        <row r="599">
          <cell r="D599" t="str">
            <v>2"  G.I. TEE, sch 40</v>
          </cell>
        </row>
        <row r="600">
          <cell r="D600" t="str">
            <v>2½" G.I. TEE, sch 40</v>
          </cell>
        </row>
        <row r="601">
          <cell r="D601" t="str">
            <v>3" G.I. TEE, sch 40</v>
          </cell>
        </row>
        <row r="602">
          <cell r="D602" t="str">
            <v>4" G.I. TEE, sch 40</v>
          </cell>
        </row>
        <row r="603">
          <cell r="D603" t="str">
            <v>½" G.I. Nipples, 12"</v>
          </cell>
        </row>
        <row r="604">
          <cell r="D604" t="str">
            <v>1" G.I. Nipples, 12"</v>
          </cell>
        </row>
        <row r="605">
          <cell r="D605" t="str">
            <v>1" G.I. Nipple, 10"</v>
          </cell>
        </row>
        <row r="606">
          <cell r="D606" t="str">
            <v>1¼" G.I. Nipples, 4"</v>
          </cell>
        </row>
        <row r="607">
          <cell r="D607" t="str">
            <v>1¼" G.I. Nipples, 12"</v>
          </cell>
        </row>
        <row r="608">
          <cell r="D608" t="str">
            <v>½" G.I. Nipples, 4"</v>
          </cell>
        </row>
        <row r="609">
          <cell r="D609" t="str">
            <v>½" G.I. Nipples, 8"</v>
          </cell>
        </row>
        <row r="610">
          <cell r="D610" t="str">
            <v>3/4"  G.I. Nipples, 4"</v>
          </cell>
        </row>
        <row r="611">
          <cell r="D611" t="str">
            <v>63mmØ Gate Valve</v>
          </cell>
        </row>
        <row r="612">
          <cell r="D612" t="str">
            <v>63mmØ x 90° G.I. Elbow</v>
          </cell>
        </row>
        <row r="613">
          <cell r="D613" t="str">
            <v>63mmØ x 63mmØ Female Adaptor</v>
          </cell>
        </row>
        <row r="614">
          <cell r="D614" t="str">
            <v>63mmØ GI Union Patente</v>
          </cell>
        </row>
        <row r="615">
          <cell r="D615" t="str">
            <v>63mmØ GI Pipe</v>
          </cell>
        </row>
        <row r="616">
          <cell r="D616" t="str">
            <v>50mmØ GI Pipe</v>
          </cell>
        </row>
        <row r="617">
          <cell r="D617" t="str">
            <v>50mmØ GI Union Patente</v>
          </cell>
        </row>
        <row r="618">
          <cell r="D618" t="str">
            <v>50mmØ x 90° G.I. Elbow</v>
          </cell>
        </row>
        <row r="619">
          <cell r="D619" t="str">
            <v>50mmØ G.I. Nipples x 600mm</v>
          </cell>
        </row>
        <row r="620">
          <cell r="D620" t="str">
            <v>50mmØ G.I. Nipples x 500mm</v>
          </cell>
        </row>
        <row r="621">
          <cell r="D621" t="str">
            <v>50mmØ G.I. Nipples x 300mm</v>
          </cell>
        </row>
        <row r="622">
          <cell r="D622" t="str">
            <v>50mmØ G.I. Nipples x 200mm</v>
          </cell>
        </row>
        <row r="623">
          <cell r="D623" t="str">
            <v>50mmØ G.I. Gate Valve</v>
          </cell>
        </row>
        <row r="624">
          <cell r="D624" t="str">
            <v>50mmØ G.I. End Cap</v>
          </cell>
        </row>
        <row r="625">
          <cell r="D625" t="str">
            <v>50mmØ G.I. Perforated w/ Strainer</v>
          </cell>
        </row>
        <row r="626">
          <cell r="D626" t="str">
            <v>40mmØ x 50mmØ Female Adaptor</v>
          </cell>
        </row>
        <row r="627">
          <cell r="D627" t="str">
            <v>40mmØ x 90° G.I. Elbow</v>
          </cell>
        </row>
        <row r="628">
          <cell r="D628" t="str">
            <v>40mmØ G.I. Gate Valve</v>
          </cell>
        </row>
        <row r="629">
          <cell r="D629" t="str">
            <v>40mmØ G.I. Tee</v>
          </cell>
        </row>
        <row r="630">
          <cell r="D630" t="str">
            <v>40mmØ G.I. Coupling</v>
          </cell>
        </row>
        <row r="631">
          <cell r="D631" t="str">
            <v>38mmØ G.I. Nipples x 400mm</v>
          </cell>
        </row>
        <row r="632">
          <cell r="D632" t="str">
            <v>38mmØ G.I. Nipples x 100mm</v>
          </cell>
        </row>
        <row r="633">
          <cell r="D633" t="str">
            <v>38mmØ x 90° G.I. Elbow</v>
          </cell>
        </row>
        <row r="634">
          <cell r="D634" t="str">
            <v>12mmØ Brass Faucet</v>
          </cell>
        </row>
        <row r="635">
          <cell r="D635" t="str">
            <v>12mmØ Globe Valve</v>
          </cell>
        </row>
        <row r="636">
          <cell r="D636" t="str">
            <v>12mmØ Gate Valve</v>
          </cell>
        </row>
        <row r="637">
          <cell r="D637" t="str">
            <v>12mmØ Saddle Clamp</v>
          </cell>
        </row>
        <row r="638">
          <cell r="D638" t="str">
            <v>12mmØ PE Pipe</v>
          </cell>
        </row>
        <row r="639">
          <cell r="D639" t="str">
            <v>12mmØ GI Pipe</v>
          </cell>
        </row>
        <row r="640">
          <cell r="D640" t="str">
            <v>12mmØ x 90° GI Elbow</v>
          </cell>
        </row>
        <row r="641">
          <cell r="D641" t="str">
            <v>100mmØ PVC Pipe</v>
          </cell>
        </row>
        <row r="642">
          <cell r="D642" t="str">
            <v>38mmØ G.I. Nipples x 100mm</v>
          </cell>
        </row>
        <row r="643">
          <cell r="D643" t="str">
            <v>½" G.I. Cap</v>
          </cell>
        </row>
        <row r="644">
          <cell r="D644" t="str">
            <v>1¼" G.I. Cap</v>
          </cell>
        </row>
        <row r="645">
          <cell r="D645" t="str">
            <v>2" G.I. Cap</v>
          </cell>
        </row>
        <row r="646">
          <cell r="D646" t="str">
            <v>2"x3/4", Saddle Clamp</v>
          </cell>
        </row>
        <row r="647">
          <cell r="D647" t="str">
            <v>½" Gate Valve</v>
          </cell>
        </row>
        <row r="648">
          <cell r="D648" t="str">
            <v>2" Gate Valve</v>
          </cell>
        </row>
        <row r="649">
          <cell r="D649" t="str">
            <v>3/4"  Gate Valve</v>
          </cell>
        </row>
        <row r="650">
          <cell r="D650" t="str">
            <v>½" Check Valve</v>
          </cell>
        </row>
        <row r="651">
          <cell r="D651" t="str">
            <v xml:space="preserve">½"  G.I. Union Patent </v>
          </cell>
        </row>
        <row r="652">
          <cell r="D652" t="str">
            <v xml:space="preserve">2" G.I. Union Patent </v>
          </cell>
        </row>
        <row r="653">
          <cell r="D653" t="str">
            <v xml:space="preserve">2½" G.I. Union Patent </v>
          </cell>
        </row>
        <row r="654">
          <cell r="D654" t="str">
            <v xml:space="preserve">1¼" x 3/4"  G.I. Bushing </v>
          </cell>
        </row>
        <row r="655">
          <cell r="D655" t="str">
            <v xml:space="preserve">1"x2", G.I. Bushing </v>
          </cell>
        </row>
        <row r="656">
          <cell r="D656" t="str">
            <v>1½" GI Male Adapter</v>
          </cell>
        </row>
        <row r="657">
          <cell r="D657" t="str">
            <v xml:space="preserve">2" x ½"  G.I. Bushing </v>
          </cell>
        </row>
        <row r="658">
          <cell r="D658" t="str">
            <v>2" x 1½" Reducer, Bell Cap</v>
          </cell>
        </row>
        <row r="659">
          <cell r="D659" t="str">
            <v>3/4"  Gate Valve</v>
          </cell>
        </row>
        <row r="660">
          <cell r="D660" t="str">
            <v>½" Check Valve</v>
          </cell>
        </row>
        <row r="661">
          <cell r="D661" t="str">
            <v>PVC AND UPVC PIPES AND FITTINGS - Blue Pipes (WaterPipes)</v>
          </cell>
        </row>
        <row r="662">
          <cell r="D662" t="str">
            <v>1/2" PVC Blue Pipe</v>
          </cell>
        </row>
        <row r="663">
          <cell r="D663" t="str">
            <v xml:space="preserve">2½" G.I. Union Patent </v>
          </cell>
        </row>
        <row r="664">
          <cell r="D664" t="str">
            <v>( PVC AND UPVC PIPES AND FITTINGS )</v>
          </cell>
        </row>
        <row r="665">
          <cell r="D665" t="str">
            <v>2" PVC Pipe</v>
          </cell>
        </row>
        <row r="666">
          <cell r="D666" t="str">
            <v>3" PVC Pipe</v>
          </cell>
        </row>
        <row r="667">
          <cell r="D667" t="str">
            <v>4" PVC Pipe</v>
          </cell>
        </row>
        <row r="668">
          <cell r="D668" t="str">
            <v>4" PVC Pipe (S-40)</v>
          </cell>
        </row>
        <row r="669">
          <cell r="D669" t="str">
            <v>2" PVC TEE</v>
          </cell>
        </row>
        <row r="670">
          <cell r="D670" t="str">
            <v>3" PVC TEE</v>
          </cell>
        </row>
        <row r="671">
          <cell r="D671" t="str">
            <v>4" PVC TEE</v>
          </cell>
        </row>
        <row r="672">
          <cell r="D672" t="str">
            <v>2" PVC Elbow 45°</v>
          </cell>
        </row>
        <row r="673">
          <cell r="D673" t="str">
            <v>3" PVC Elbow 45°</v>
          </cell>
        </row>
        <row r="674">
          <cell r="D674" t="str">
            <v>4" PVC Elbow 45°</v>
          </cell>
        </row>
        <row r="675">
          <cell r="D675" t="str">
            <v>2" PVC Elbow 90°</v>
          </cell>
        </row>
        <row r="676">
          <cell r="D676" t="str">
            <v>3" PVC Elbow 90°</v>
          </cell>
        </row>
        <row r="677">
          <cell r="D677" t="str">
            <v>4" PVC Elbow 90°</v>
          </cell>
        </row>
        <row r="678">
          <cell r="D678" t="str">
            <v>2" PVC WYE</v>
          </cell>
        </row>
        <row r="679">
          <cell r="D679" t="str">
            <v>3" PVC WYE</v>
          </cell>
        </row>
        <row r="680">
          <cell r="D680" t="str">
            <v>4"  PVC WYE</v>
          </cell>
        </row>
        <row r="681">
          <cell r="D681" t="str">
            <v>2" PVC 1/8" bend</v>
          </cell>
        </row>
        <row r="682">
          <cell r="D682" t="str">
            <v>3"  PVC 1/8" bend</v>
          </cell>
        </row>
        <row r="683">
          <cell r="D683" t="str">
            <v>4"  PVC 1/8" bend</v>
          </cell>
        </row>
        <row r="684">
          <cell r="D684" t="str">
            <v>2" PVC clean-out</v>
          </cell>
        </row>
        <row r="685">
          <cell r="D685" t="str">
            <v>3" PVC clean-out</v>
          </cell>
        </row>
        <row r="686">
          <cell r="D686" t="str">
            <v>4" PVC clean-out</v>
          </cell>
        </row>
        <row r="687">
          <cell r="D687" t="str">
            <v>4" PVC end cap</v>
          </cell>
        </row>
        <row r="688">
          <cell r="D688" t="str">
            <v>2" PVC P-Trap</v>
          </cell>
        </row>
        <row r="689">
          <cell r="D689" t="str">
            <v>3"  PVC P-Trap</v>
          </cell>
        </row>
        <row r="690">
          <cell r="D690" t="str">
            <v>4" PVC P-Trap</v>
          </cell>
        </row>
        <row r="691">
          <cell r="D691" t="str">
            <v>2"x3", PVC Reducer</v>
          </cell>
        </row>
        <row r="692">
          <cell r="D692" t="str">
            <v>3"x4", PVC Reducer</v>
          </cell>
        </row>
        <row r="693">
          <cell r="D693" t="str">
            <v>2"x4", PVC Reducer</v>
          </cell>
        </row>
        <row r="694">
          <cell r="D694" t="str">
            <v>4"x2", PVC TEE</v>
          </cell>
        </row>
        <row r="695">
          <cell r="D695" t="str">
            <v>4"x2", PVC  WYE</v>
          </cell>
        </row>
        <row r="696">
          <cell r="D696" t="str">
            <v>3"x4", PVC  WYE</v>
          </cell>
        </row>
        <row r="697">
          <cell r="D697" t="str">
            <v>3"x2", PVC  WYE</v>
          </cell>
        </row>
        <row r="698">
          <cell r="D698" t="str">
            <v>4" PVC Coupling</v>
          </cell>
        </row>
        <row r="699">
          <cell r="D699" t="str">
            <v>3/4" uPVC Elbow</v>
          </cell>
        </row>
        <row r="700">
          <cell r="D700" t="str">
            <v>3/4" uPVC Tee</v>
          </cell>
        </row>
        <row r="701">
          <cell r="D701" t="str">
            <v>3/4" uPVC Coupling</v>
          </cell>
        </row>
        <row r="702">
          <cell r="D702" t="str">
            <v>3" uPVC Coupling</v>
          </cell>
        </row>
        <row r="703">
          <cell r="D703" t="str">
            <v>4" uPVC Coupling</v>
          </cell>
        </row>
        <row r="704">
          <cell r="D704" t="str">
            <v>3/4" uPVC Nipple</v>
          </cell>
        </row>
        <row r="705">
          <cell r="D705" t="str">
            <v>½"x3/4", uPVC Reducer</v>
          </cell>
        </row>
        <row r="706">
          <cell r="D706" t="str">
            <v xml:space="preserve">½" uPVC Water Pipe </v>
          </cell>
        </row>
        <row r="707">
          <cell r="D707" t="str">
            <v xml:space="preserve">3/4" uPVC Water Pipe </v>
          </cell>
        </row>
        <row r="708">
          <cell r="D708" t="str">
            <v xml:space="preserve">4" uPVC Water Pipe </v>
          </cell>
        </row>
        <row r="709">
          <cell r="D709" t="str">
            <v xml:space="preserve">3" uPVC Water Pipe </v>
          </cell>
        </row>
        <row r="710">
          <cell r="D710" t="str">
            <v xml:space="preserve">2" uPVC Water Pipe </v>
          </cell>
        </row>
        <row r="711">
          <cell r="D711" t="str">
            <v xml:space="preserve">1-1/2" uPVC Water Pipe </v>
          </cell>
        </row>
        <row r="712">
          <cell r="D712" t="str">
            <v xml:space="preserve">1" uPVC Water Pipe </v>
          </cell>
        </row>
        <row r="713">
          <cell r="D713" t="str">
            <v xml:space="preserve">2-1/2" uPVC Water Pipe </v>
          </cell>
        </row>
        <row r="714">
          <cell r="D714" t="str">
            <v>3/4" uPVC Nipple</v>
          </cell>
        </row>
        <row r="715">
          <cell r="D715" t="str">
            <v>( PE PIPES AND FITTINGS )</v>
          </cell>
        </row>
        <row r="716">
          <cell r="D716" t="str">
            <v>PE Pipe, SDR 9  3/8"</v>
          </cell>
        </row>
        <row r="717">
          <cell r="D717" t="str">
            <v>PE Pipe, SDR 9  1/2"</v>
          </cell>
        </row>
        <row r="718">
          <cell r="D718" t="str">
            <v>PE Pipe, SDR 9  3/4"</v>
          </cell>
        </row>
        <row r="719">
          <cell r="D719" t="str">
            <v>PE Pipe, SDR 9  1"</v>
          </cell>
        </row>
        <row r="720">
          <cell r="D720" t="str">
            <v>PE Pipe, SDR 9  1-1/4"</v>
          </cell>
        </row>
        <row r="721">
          <cell r="D721" t="str">
            <v>PE Pipe, SDR 9  1-1/2"</v>
          </cell>
        </row>
        <row r="722">
          <cell r="D722" t="str">
            <v>PE Pipe, SDR 9  2"</v>
          </cell>
        </row>
        <row r="723">
          <cell r="D723" t="str">
            <v>PE Pipe, SDR 9  2-1/2"</v>
          </cell>
        </row>
        <row r="724">
          <cell r="D724" t="str">
            <v>PE Pipe, SDR 9  3"</v>
          </cell>
        </row>
        <row r="725">
          <cell r="D725" t="str">
            <v>PE Pipe, SDR 9  4"</v>
          </cell>
        </row>
        <row r="726">
          <cell r="D726" t="str">
            <v>PE Pipe, SDR 9  6"</v>
          </cell>
        </row>
        <row r="727">
          <cell r="D727" t="str">
            <v>PE Pipe, SDR 11  3/8"</v>
          </cell>
        </row>
        <row r="728">
          <cell r="D728" t="str">
            <v>PE Pipe, SDR 11  1/2"</v>
          </cell>
        </row>
        <row r="729">
          <cell r="D729" t="str">
            <v>PE Pipe, SDR 11  3/4"</v>
          </cell>
        </row>
        <row r="730">
          <cell r="D730" t="str">
            <v>PE Pipe, SDR 11  1"</v>
          </cell>
        </row>
        <row r="731">
          <cell r="D731" t="str">
            <v>PE Pipe, SDR 11  1-1/4"</v>
          </cell>
        </row>
        <row r="732">
          <cell r="D732" t="str">
            <v>PE Pipe, SDR 11  1-1/2"</v>
          </cell>
        </row>
        <row r="733">
          <cell r="D733" t="str">
            <v>PE Pipe, SDR 11  2"</v>
          </cell>
        </row>
        <row r="734">
          <cell r="D734" t="str">
            <v>PE Pipe, SDR 11  2-1/2"</v>
          </cell>
        </row>
        <row r="735">
          <cell r="D735" t="str">
            <v>PE Pipe, SDR 11  3"</v>
          </cell>
        </row>
        <row r="736">
          <cell r="D736" t="str">
            <v>PE Pipe, SDR 11  4"</v>
          </cell>
        </row>
        <row r="737">
          <cell r="D737" t="str">
            <v>PE Pipe, SDR 11  6"</v>
          </cell>
        </row>
        <row r="738">
          <cell r="D738" t="str">
            <v>PE Pipe, SDR 13.5   3/8"</v>
          </cell>
        </row>
        <row r="739">
          <cell r="D739" t="str">
            <v>PE Pipe, SDR 13.5   1/2"</v>
          </cell>
        </row>
        <row r="740">
          <cell r="D740" t="str">
            <v>PE Pipe, SDR 13.5   3/4"</v>
          </cell>
        </row>
        <row r="741">
          <cell r="D741" t="str">
            <v>PE Pipe, SDR 13.5   1"</v>
          </cell>
        </row>
        <row r="742">
          <cell r="D742" t="str">
            <v>PE Pipe, SDR 13.5   1-1/4"</v>
          </cell>
        </row>
        <row r="743">
          <cell r="D743" t="str">
            <v>PE Pipe, SDR 13.5   1-1/2"</v>
          </cell>
        </row>
        <row r="744">
          <cell r="D744" t="str">
            <v>PE Pipe, SDR 13.5   2"</v>
          </cell>
        </row>
        <row r="745">
          <cell r="D745" t="str">
            <v>PE Pipe, SDR 13.5   2-1/2"</v>
          </cell>
        </row>
        <row r="746">
          <cell r="D746" t="str">
            <v>PE Pipe, SDR 13.5   3"</v>
          </cell>
        </row>
        <row r="747">
          <cell r="D747" t="str">
            <v>PE Pipe, SDR 13.5   4"</v>
          </cell>
        </row>
        <row r="748">
          <cell r="D748" t="str">
            <v>PE Pipe, SDR 13.5   6"</v>
          </cell>
        </row>
        <row r="749">
          <cell r="D749" t="str">
            <v>PE Pipe, SDR 17   3/8"</v>
          </cell>
        </row>
        <row r="750">
          <cell r="D750" t="str">
            <v>PE Pipe, SDR 17   1/2"</v>
          </cell>
        </row>
        <row r="751">
          <cell r="D751" t="str">
            <v>PE Pipe, SDR 17   3/4"</v>
          </cell>
        </row>
        <row r="752">
          <cell r="D752" t="str">
            <v>PE Pipe, SDR 17   1"</v>
          </cell>
        </row>
        <row r="753">
          <cell r="D753" t="str">
            <v>PE Pipe, SDR 17   1-1/4"</v>
          </cell>
        </row>
        <row r="754">
          <cell r="D754" t="str">
            <v>PE Pipe, SDR 17   1-1/2"</v>
          </cell>
        </row>
        <row r="755">
          <cell r="D755" t="str">
            <v>PE Pipe, SDR 17   2"</v>
          </cell>
        </row>
        <row r="756">
          <cell r="D756" t="str">
            <v>PE Pipe, SDR 17   2-1/2"</v>
          </cell>
        </row>
        <row r="757">
          <cell r="D757" t="str">
            <v>PE Pipe, SDR 17   3"</v>
          </cell>
        </row>
        <row r="758">
          <cell r="D758" t="str">
            <v>PE Pipe, SDR 17   4"</v>
          </cell>
        </row>
        <row r="759">
          <cell r="D759" t="str">
            <v>PE Pipe, SDR 17   6"</v>
          </cell>
        </row>
        <row r="760">
          <cell r="D760" t="str">
            <v>PE Pipe, SDR 17   1/2"</v>
          </cell>
        </row>
        <row r="761">
          <cell r="D761" t="str">
            <v>PE PIPES FITTINGS FACTOR =</v>
          </cell>
        </row>
        <row r="762">
          <cell r="D762" t="str">
            <v>PE Pipe, SDR 17   1"</v>
          </cell>
        </row>
        <row r="763">
          <cell r="D763" t="str">
            <v>PE PIPE MALE ADAPTOR</v>
          </cell>
        </row>
        <row r="764">
          <cell r="D764" t="str">
            <v>PE Pipe Male Thread Adaptor - 20mm x 1/2"</v>
          </cell>
        </row>
        <row r="765">
          <cell r="D765" t="str">
            <v>PE Pipe Male Thread Adaptor - 25mm x 3/4"</v>
          </cell>
        </row>
        <row r="766">
          <cell r="D766" t="str">
            <v>PE Pipe Male Thread Adaptor - 32mm x 1"</v>
          </cell>
        </row>
        <row r="767">
          <cell r="D767" t="str">
            <v>PE Pipe Male Thread Adaptor - 40mm x 1-1/4"</v>
          </cell>
        </row>
        <row r="768">
          <cell r="D768" t="str">
            <v>PE Pipe Male Thread Adaptor - 50mm x 1-1/2"</v>
          </cell>
        </row>
        <row r="769">
          <cell r="D769" t="str">
            <v>PE Pipe Male Thread Adaptor - 63mm x 2"</v>
          </cell>
        </row>
        <row r="770">
          <cell r="D770" t="str">
            <v>PE Pipe Male Thread Adaptor - 90mm x 3"</v>
          </cell>
        </row>
        <row r="771">
          <cell r="D771" t="str">
            <v>PE PIPES FITTINGS FACTOR =</v>
          </cell>
        </row>
        <row r="772">
          <cell r="D772" t="str">
            <v>PE PIPE FEMALE ADAPTOR</v>
          </cell>
        </row>
        <row r="773">
          <cell r="D773" t="str">
            <v>PE Pipe Female Thread Adaptor - 20mm x 1/2"</v>
          </cell>
        </row>
        <row r="774">
          <cell r="D774" t="str">
            <v>PE Pipe Female Thread Adaptor - 25mm x 3/4"</v>
          </cell>
        </row>
        <row r="775">
          <cell r="D775" t="str">
            <v>PE Pipe Female Thread Adaptor - 32mm x 1"</v>
          </cell>
        </row>
        <row r="776">
          <cell r="D776" t="str">
            <v>PE Pipe Female Thread Adaptor - 50mm x 1-1/2"</v>
          </cell>
        </row>
        <row r="777">
          <cell r="D777" t="str">
            <v>PE Pipe Female Thread Adaptor - 63mm x 2"</v>
          </cell>
        </row>
        <row r="778">
          <cell r="D778" t="str">
            <v>PE Pipe Female Thread Adaptor - 90mm x 3"</v>
          </cell>
        </row>
        <row r="779">
          <cell r="D779" t="str">
            <v>PE Pipe Male Thread Adaptor - 63mm x 2"</v>
          </cell>
        </row>
        <row r="780">
          <cell r="D780" t="str">
            <v>STRAIGHT COUPLER</v>
          </cell>
        </row>
        <row r="781">
          <cell r="D781" t="str">
            <v>PE Pipe Straight Coupler - 20mm x 20mm</v>
          </cell>
        </row>
        <row r="782">
          <cell r="D782" t="str">
            <v>PE Pipe Straight Coupler - 25mm x 25mm</v>
          </cell>
        </row>
        <row r="783">
          <cell r="D783" t="str">
            <v>PE Pipe Straight Coupler - 32mm x 32mm</v>
          </cell>
        </row>
        <row r="784">
          <cell r="D784" t="str">
            <v>PE Pipe Straight Coupler - 40mm x 40mm</v>
          </cell>
        </row>
        <row r="785">
          <cell r="D785" t="str">
            <v>PE Pipe Straight Coupler - 50mm x 50mm</v>
          </cell>
        </row>
        <row r="786">
          <cell r="D786" t="str">
            <v>PE Pipe Straight Coupler - 63mm x 63mm</v>
          </cell>
        </row>
        <row r="787">
          <cell r="D787" t="str">
            <v>PE Pipe Straight Coupler - 75mm x 75mm</v>
          </cell>
        </row>
        <row r="788">
          <cell r="D788" t="str">
            <v>PE Pipe Straight Coupler - 90mm x 90mm</v>
          </cell>
        </row>
        <row r="789">
          <cell r="D789" t="str">
            <v>PE Pipe Straight Coupler - 90mm x 90mm</v>
          </cell>
        </row>
        <row r="790">
          <cell r="D790" t="str">
            <v>REDUCING COUPLER</v>
          </cell>
        </row>
        <row r="791">
          <cell r="D791" t="str">
            <v>PE Pipe Reducing Coupler - 25mm x 20mm</v>
          </cell>
        </row>
        <row r="792">
          <cell r="D792" t="str">
            <v>PE Pipe Reducing Coupler - 32mm x 20mm</v>
          </cell>
        </row>
        <row r="793">
          <cell r="D793" t="str">
            <v>PE Pipe Reducing Coupler - 32mm x 25mm</v>
          </cell>
        </row>
        <row r="794">
          <cell r="D794" t="str">
            <v>PE Pipe Reducing Coupler - 40mm x 32mm</v>
          </cell>
        </row>
        <row r="795">
          <cell r="D795" t="str">
            <v>PE Pipe Reducing Coupler - 50mm x 25mm</v>
          </cell>
        </row>
        <row r="796">
          <cell r="D796" t="str">
            <v>PE Pipe Reducing Coupler - 50mm x 32mm</v>
          </cell>
        </row>
        <row r="797">
          <cell r="D797" t="str">
            <v>PE Pipe Reducing Coupler - 50mm x 40mm</v>
          </cell>
        </row>
        <row r="798">
          <cell r="D798" t="str">
            <v>PE Pipe Reducing Coupler - 63mm x 32mm</v>
          </cell>
        </row>
        <row r="799">
          <cell r="D799" t="str">
            <v>PE Pipe Reducing Coupler - 63mm x 40mm</v>
          </cell>
        </row>
        <row r="800">
          <cell r="D800" t="str">
            <v>PE Pipe Reducing Coupler - 63mm x 50mm</v>
          </cell>
        </row>
        <row r="801">
          <cell r="D801" t="str">
            <v>PE Pipe Reducing Coupler - 90mm x 63mm</v>
          </cell>
        </row>
        <row r="802">
          <cell r="D802" t="str">
            <v>PE Pipe Reducing Coupler - 32mm x 20mm</v>
          </cell>
        </row>
        <row r="803">
          <cell r="D803" t="str">
            <v>END CAP</v>
          </cell>
        </row>
        <row r="804">
          <cell r="D804" t="str">
            <v>PE Pipe End Cap - 20mm</v>
          </cell>
        </row>
        <row r="805">
          <cell r="D805" t="str">
            <v>PE Pipe End Cap - 25mm</v>
          </cell>
        </row>
        <row r="806">
          <cell r="D806" t="str">
            <v>PE Pipe End Cap - 32mm</v>
          </cell>
        </row>
        <row r="807">
          <cell r="D807" t="str">
            <v>PE Pipe End Cap - 40mm</v>
          </cell>
        </row>
        <row r="808">
          <cell r="D808" t="str">
            <v>PE Pipe End Cap - 50mm</v>
          </cell>
        </row>
        <row r="809">
          <cell r="D809" t="str">
            <v>PE Pipe End Cap - 63mm</v>
          </cell>
        </row>
        <row r="810">
          <cell r="D810" t="str">
            <v>PE Pipe End Cap - 90mm</v>
          </cell>
        </row>
        <row r="811">
          <cell r="D811" t="str">
            <v>PE Pipe Reducing Coupler - 90mm x 63mm</v>
          </cell>
        </row>
        <row r="812">
          <cell r="D812" t="str">
            <v>MALE TEE</v>
          </cell>
        </row>
        <row r="813">
          <cell r="D813" t="str">
            <v>PE Pipe Male Tee - 20mm x 1/2"</v>
          </cell>
        </row>
        <row r="814">
          <cell r="D814" t="str">
            <v>PE Pipe Male Tee - 20mm x 3/4"</v>
          </cell>
        </row>
        <row r="815">
          <cell r="D815" t="str">
            <v>PE Pipe Male Tee - 25mm x 1/2"</v>
          </cell>
        </row>
        <row r="816">
          <cell r="D816" t="str">
            <v>PE Pipe Male Tee - 25mm x 3/4"</v>
          </cell>
        </row>
        <row r="817">
          <cell r="D817" t="str">
            <v>PE Pipe Male Tee - 32mm x 3/4"</v>
          </cell>
        </row>
        <row r="818">
          <cell r="D818" t="str">
            <v>PE Pipe Male Tee - 32mm x 1"</v>
          </cell>
        </row>
        <row r="819">
          <cell r="D819" t="str">
            <v>PE Pipe Male Tee - 50mm x 1-1/2"</v>
          </cell>
        </row>
        <row r="820">
          <cell r="D820" t="str">
            <v>PE Pipe Male Tee - 63mm x 2"</v>
          </cell>
        </row>
        <row r="821">
          <cell r="D821" t="str">
            <v>PE Pipe Male Tee - 90mm x 3"</v>
          </cell>
        </row>
        <row r="822">
          <cell r="D822" t="str">
            <v>MALE TEE</v>
          </cell>
        </row>
        <row r="823">
          <cell r="D823" t="str">
            <v>FEMALE TEE</v>
          </cell>
        </row>
        <row r="824">
          <cell r="D824" t="str">
            <v>PE Pipe Female Tee - 20mm x 1/2"</v>
          </cell>
        </row>
        <row r="825">
          <cell r="D825" t="str">
            <v>PE Pipe Female Tee - 20mm x 3/4"</v>
          </cell>
        </row>
        <row r="826">
          <cell r="D826" t="str">
            <v>PE Pipe Female Tee - 25mm x 1/2"</v>
          </cell>
        </row>
        <row r="827">
          <cell r="D827" t="str">
            <v>PE Pipe Female Tee - 25mm x 3/4"</v>
          </cell>
        </row>
        <row r="828">
          <cell r="D828" t="str">
            <v>PE Pipe Female Tee - 32mm x 3/4"</v>
          </cell>
        </row>
        <row r="829">
          <cell r="D829" t="str">
            <v>PE Pipe Female Tee - 32mm x 1"</v>
          </cell>
        </row>
        <row r="830">
          <cell r="D830" t="str">
            <v>PE Pipe Female Tee - 50mm x 1-1/2"</v>
          </cell>
        </row>
        <row r="831">
          <cell r="D831" t="str">
            <v>PE Pipe Female Tee - 63mm x 2"</v>
          </cell>
        </row>
        <row r="832">
          <cell r="D832" t="str">
            <v>PE Pipe Female Tee - 90mm x 3"</v>
          </cell>
        </row>
        <row r="833">
          <cell r="D833" t="str">
            <v>FEMALE TEE</v>
          </cell>
        </row>
        <row r="834">
          <cell r="D834" t="str">
            <v>REDUCING TEE</v>
          </cell>
        </row>
        <row r="835">
          <cell r="D835" t="str">
            <v>PE Pipe Reducing Tee - 25mm x 20mm</v>
          </cell>
        </row>
        <row r="836">
          <cell r="D836" t="str">
            <v>PE Pipe Reducing Tee - 32mm x 20mm</v>
          </cell>
        </row>
        <row r="837">
          <cell r="D837" t="str">
            <v>PE Pipe Reducing Tee - 32mm x 25mm</v>
          </cell>
        </row>
        <row r="838">
          <cell r="D838" t="str">
            <v>PE Pipe Reducing Tee - 40mm x 32mm</v>
          </cell>
        </row>
        <row r="839">
          <cell r="D839" t="str">
            <v>PE Pipe Reducing Tee - 50mm x 32mm</v>
          </cell>
        </row>
        <row r="840">
          <cell r="D840" t="str">
            <v>PE Pipe Reducing Tee - 50mm x 40mm</v>
          </cell>
        </row>
        <row r="841">
          <cell r="D841" t="str">
            <v>PE Pipe Reducing Tee - 63mm x 50mm</v>
          </cell>
        </row>
        <row r="842">
          <cell r="D842" t="str">
            <v>PE Pipe Female Tee - 90mm x 3"</v>
          </cell>
        </row>
        <row r="843">
          <cell r="D843" t="str">
            <v>EQUAL TEE</v>
          </cell>
        </row>
        <row r="844">
          <cell r="D844" t="str">
            <v>PE Pipe Equal Tee - 20mm x 20mm</v>
          </cell>
        </row>
        <row r="845">
          <cell r="D845" t="str">
            <v>PE Pipe Equal Tee - 20mm x 25mm</v>
          </cell>
        </row>
        <row r="846">
          <cell r="D846" t="str">
            <v>PE Pipe Equal Tee - 32mm x 32mm</v>
          </cell>
        </row>
        <row r="847">
          <cell r="D847" t="str">
            <v>PE Pipe Equal Tee - 40mm x 40mm</v>
          </cell>
        </row>
        <row r="848">
          <cell r="D848" t="str">
            <v>PE Pipe Equal Tee - 50mm x 50mm</v>
          </cell>
        </row>
        <row r="849">
          <cell r="D849" t="str">
            <v>PE Pipe Equal Tee - 63mm x 63mm</v>
          </cell>
        </row>
        <row r="850">
          <cell r="D850" t="str">
            <v>PE Pipe Equal Tee - 90mm x 90mm</v>
          </cell>
        </row>
        <row r="851">
          <cell r="D851" t="str">
            <v>PE Pipe Reducing Tee - 63mm x 50mm</v>
          </cell>
        </row>
        <row r="852">
          <cell r="D852" t="str">
            <v>EQUAL BEND 90°</v>
          </cell>
        </row>
        <row r="853">
          <cell r="D853" t="str">
            <v>PE Pipe Equal Bend 90° - 20mm x 20mm</v>
          </cell>
        </row>
        <row r="854">
          <cell r="D854" t="str">
            <v>PE Pipe Equal Bend 90° - 20mm x 25mm</v>
          </cell>
        </row>
        <row r="855">
          <cell r="D855" t="str">
            <v>PE Pipe Equal Bend 90° - 32mm x 32mm</v>
          </cell>
        </row>
        <row r="856">
          <cell r="D856" t="str">
            <v>PE Pipe Equal Bend 90° - 40mm x 40mm</v>
          </cell>
        </row>
        <row r="857">
          <cell r="D857" t="str">
            <v>PE Pipe Equal Bend 90° - 50mm x 50mm</v>
          </cell>
        </row>
        <row r="858">
          <cell r="D858" t="str">
            <v>PE Pipe Equal Bend 90° - 63mm x 63mm</v>
          </cell>
        </row>
        <row r="859">
          <cell r="D859" t="str">
            <v>PE Pipe Equal Bend 90° - 90mm x 90mm</v>
          </cell>
        </row>
        <row r="860">
          <cell r="D860" t="str">
            <v>PE Pipe Equal Tee - 90mm x 90mm</v>
          </cell>
        </row>
        <row r="861">
          <cell r="D861" t="str">
            <v>FEMALE BEND 90°</v>
          </cell>
        </row>
        <row r="862">
          <cell r="D862" t="str">
            <v>PE Pipe Female Bend 90° - 20mm x 1/2"</v>
          </cell>
        </row>
        <row r="863">
          <cell r="D863" t="str">
            <v>PE Pipe Female Bend 90° - 20mm x 3/4"</v>
          </cell>
        </row>
        <row r="864">
          <cell r="D864" t="str">
            <v>PE Pipe Female Bend 90° - 25mm x 1/2"</v>
          </cell>
        </row>
        <row r="865">
          <cell r="D865" t="str">
            <v>PE Pipe Female Bend 90° - 25mm x 3/4"</v>
          </cell>
        </row>
        <row r="866">
          <cell r="D866" t="str">
            <v>PE Pipe Female Bend 90° - 25mm x 1"</v>
          </cell>
        </row>
        <row r="867">
          <cell r="D867" t="str">
            <v>PE Pipe Female Bend 90° - 32mm x 3/4"</v>
          </cell>
        </row>
        <row r="868">
          <cell r="D868" t="str">
            <v>PE Pipe Female Bend 90° - 32mm x 1"</v>
          </cell>
        </row>
        <row r="869">
          <cell r="D869" t="str">
            <v>PE Pipe Female Bend 90° - 50mm x 1-1/2"</v>
          </cell>
        </row>
        <row r="870">
          <cell r="D870" t="str">
            <v>PE Pipe Female Bend 90° - 63mm x 2"</v>
          </cell>
        </row>
        <row r="871">
          <cell r="D871" t="str">
            <v>PE Pipe Female Bend 90° - 90mm x 3"</v>
          </cell>
        </row>
        <row r="872">
          <cell r="D872" t="str">
            <v>PE Pipe Female Bend 90° - 20mm x 1/2"</v>
          </cell>
        </row>
        <row r="873">
          <cell r="D873" t="str">
            <v>MALE BEND 90°</v>
          </cell>
        </row>
        <row r="874">
          <cell r="D874" t="str">
            <v>PE Pipe Male Bend 90° - 20mm x 1/2"</v>
          </cell>
        </row>
        <row r="875">
          <cell r="D875" t="str">
            <v>PE Pipe Male Bend 90° - 20mm x 3/4"</v>
          </cell>
        </row>
        <row r="876">
          <cell r="D876" t="str">
            <v>PE Pipe Male Bend 90° - 25mm x 1/2"</v>
          </cell>
        </row>
        <row r="877">
          <cell r="D877" t="str">
            <v>PE Pipe Male Bend 90° - 25mm x 3/4"</v>
          </cell>
        </row>
        <row r="878">
          <cell r="D878" t="str">
            <v>PE Pipe Male Bend 90° - 25mm x 1"</v>
          </cell>
        </row>
        <row r="879">
          <cell r="D879" t="str">
            <v>PE Pipe Male Bend 90° - 32mm x 3/4"</v>
          </cell>
        </row>
        <row r="880">
          <cell r="D880" t="str">
            <v>PE Pipe Male Bend 90° - 32mm x 1"</v>
          </cell>
        </row>
        <row r="881">
          <cell r="D881" t="str">
            <v>PE Pipe Male Bend 90° - 50mm x 1-1/2"</v>
          </cell>
        </row>
        <row r="882">
          <cell r="D882" t="str">
            <v>PE Pipe Male Bend 90° - 63mm x 2"</v>
          </cell>
        </row>
        <row r="883">
          <cell r="D883" t="str">
            <v>PE Pipe Male Bend 90° - 90mm x 3"</v>
          </cell>
        </row>
        <row r="884">
          <cell r="D884" t="str">
            <v>PE Pipe Male Bend 90° - 20mm x 1/2"</v>
          </cell>
        </row>
        <row r="885">
          <cell r="D885" t="str">
            <v>SINGLE OUTLET SADDLE CLAMP</v>
          </cell>
        </row>
        <row r="886">
          <cell r="D886" t="str">
            <v>PE Pipe Single Outlet Saddle Clamp - 32mm x 3/4"</v>
          </cell>
        </row>
        <row r="887">
          <cell r="D887" t="str">
            <v>PE Pipe Single Outlet Saddle Clamp - 32mm x 1"</v>
          </cell>
        </row>
        <row r="888">
          <cell r="D888" t="str">
            <v>PE Pipe Single Outlet Saddle Clamp - 40mm x 1"</v>
          </cell>
        </row>
        <row r="889">
          <cell r="D889" t="str">
            <v>PE Pipe Single Outlet Saddle Clamp - 50mm x 3/4"</v>
          </cell>
        </row>
        <row r="890">
          <cell r="D890" t="str">
            <v>PE Pipe Single Outlet Saddle Clamp - 50mm x 1"</v>
          </cell>
        </row>
        <row r="891">
          <cell r="D891" t="str">
            <v>PE Pipe Single Outlet Saddle Clamp - 63mm x 3/4"</v>
          </cell>
        </row>
        <row r="892">
          <cell r="D892" t="str">
            <v>PE Pipe Single Outlet Saddle Clamp - 63mm x 1"</v>
          </cell>
        </row>
        <row r="893">
          <cell r="D893" t="str">
            <v>PE Pipe Single Outlet Saddle Clamp - 73mm x 1"</v>
          </cell>
        </row>
        <row r="894">
          <cell r="D894" t="str">
            <v>PE Pipe Single Outlet Saddle Clamp - 90mm x 3/4"</v>
          </cell>
        </row>
        <row r="895">
          <cell r="D895" t="str">
            <v>PE Pipe Single Outlet Saddle Clamp - 90mm x 1"</v>
          </cell>
        </row>
        <row r="896">
          <cell r="D896" t="str">
            <v>PE Pipe Single Outlet Saddle Clamp - 90mm x 2"</v>
          </cell>
        </row>
        <row r="897">
          <cell r="D897" t="str">
            <v>PE Pipe Single Outlet Saddle Clamp - 110mm x 3/4"</v>
          </cell>
        </row>
        <row r="898">
          <cell r="D898" t="str">
            <v>PE Pipe Single Outlet Saddle Clamp - 110mm x 1"</v>
          </cell>
        </row>
        <row r="899">
          <cell r="D899" t="str">
            <v>PE Pipe Single Outlet Saddle Clamp - 110mm x 1-1/4"</v>
          </cell>
        </row>
        <row r="900">
          <cell r="D900" t="str">
            <v>PE Pipe Single Outlet Saddle Clamp - 110mm x 2"</v>
          </cell>
        </row>
        <row r="901">
          <cell r="D901" t="str">
            <v>PE Pipe Single Outlet Saddle Clamp - 160mm x 3/4"</v>
          </cell>
        </row>
        <row r="902">
          <cell r="D902" t="str">
            <v>PE Pipe Single Outlet Saddle Clamp - 160mm x 1"</v>
          </cell>
        </row>
        <row r="903">
          <cell r="D903" t="str">
            <v>PE Pipe Single Outlet Saddle Clamp - 160mm x 2"</v>
          </cell>
        </row>
        <row r="904">
          <cell r="D904" t="str">
            <v>PE Pipe Single Outlet Saddle Clamp - 90mm x 3/4"</v>
          </cell>
        </row>
        <row r="905">
          <cell r="D905" t="str">
            <v>DOUBLE OUTLET SADDLE CLAMP</v>
          </cell>
        </row>
        <row r="906">
          <cell r="D906" t="str">
            <v>PE Pipe Double Outlet Saddle Clamp - 32mm x 3/4" x 3/4"</v>
          </cell>
        </row>
        <row r="907">
          <cell r="D907" t="str">
            <v>PE Pipe Double Outlet Saddle Clamp - 32mm x 1" x 1"</v>
          </cell>
        </row>
        <row r="908">
          <cell r="D908" t="str">
            <v>PE Pipe Double Outlet Saddle Clamp - 50mm x 3/4" x 3/4"</v>
          </cell>
        </row>
        <row r="909">
          <cell r="D909" t="str">
            <v>PE Pipe Double Outlet Saddle Clamp - 50mm x 1" x 1"</v>
          </cell>
        </row>
        <row r="910">
          <cell r="D910" t="str">
            <v>PE Pipe Double Outlet Saddle Clamp - 63mm x 3/4" x 3/4"</v>
          </cell>
        </row>
        <row r="911">
          <cell r="D911" t="str">
            <v>PE Pipe Double Outlet Saddle Clamp - 63mm x 1" x 1"</v>
          </cell>
        </row>
        <row r="912">
          <cell r="D912" t="str">
            <v>PE Pipe Double Outlet Saddle Clamp - 90mm x 3/4" x 3/4"</v>
          </cell>
        </row>
        <row r="913">
          <cell r="D913" t="str">
            <v>PE Pipe Double Outlet Saddle Clamp - 90mm x 1" x 1"</v>
          </cell>
        </row>
        <row r="914">
          <cell r="D914" t="str">
            <v>PE Pipe Double Outlet Saddle Clamp - 90mm x 2" x 2"</v>
          </cell>
        </row>
        <row r="915">
          <cell r="D915" t="str">
            <v>PE Pipe Double Outlet Saddle Clamp - 110mm x 3/4" x 3/4"</v>
          </cell>
        </row>
        <row r="916">
          <cell r="D916" t="str">
            <v>PE Pipe Double Outlet Saddle Clamp - 110mm x 1" x 1"</v>
          </cell>
        </row>
        <row r="917">
          <cell r="D917" t="str">
            <v>PE Pipe Double Outlet Saddle Clamp - 110mm x 2" x 2"</v>
          </cell>
        </row>
        <row r="918">
          <cell r="D918" t="str">
            <v>PE Pipe Double Outlet Saddle Clamp - 160mm x 3/4" x 3/4"</v>
          </cell>
        </row>
        <row r="919">
          <cell r="D919" t="str">
            <v>PE Pipe Double Outlet Saddle Clamp - 160mm x 1" x 1"</v>
          </cell>
        </row>
        <row r="920">
          <cell r="D920" t="str">
            <v>PE Pipe Double Outlet Saddle Clamp - 160mm x 2" x 2"</v>
          </cell>
        </row>
        <row r="921">
          <cell r="D921" t="str">
            <v>PE Pipe Double Outlet Saddle Clamp - 63mm x 1" x 1"</v>
          </cell>
        </row>
        <row r="922">
          <cell r="D922" t="str">
            <v>SPIGOT - Stub End</v>
          </cell>
        </row>
        <row r="923">
          <cell r="D923" t="str">
            <v>PE Pipe Stub End Long Collar - 90mm x 63mm</v>
          </cell>
        </row>
        <row r="924">
          <cell r="D924" t="str">
            <v>PE Pipe Stub End Long Collar - 110mm x 63mm</v>
          </cell>
        </row>
        <row r="925">
          <cell r="D925" t="str">
            <v>PE Pipe Stub End Long Collar - 160mm x 63mm</v>
          </cell>
        </row>
        <row r="926">
          <cell r="D926" t="str">
            <v>PE Pipe Stub End Long Collar - 160mm x 110mm</v>
          </cell>
        </row>
        <row r="927">
          <cell r="D927" t="str">
            <v>PE Pipe Double Outlet Saddle Clamp - 110mm x 2" x 2"</v>
          </cell>
        </row>
        <row r="928">
          <cell r="D928" t="str">
            <v>SPIGOT - Reducer</v>
          </cell>
        </row>
        <row r="929">
          <cell r="D929" t="str">
            <v>PE Pipe (Spigot) Reducer - 63mm</v>
          </cell>
        </row>
        <row r="930">
          <cell r="D930" t="str">
            <v>PE Pipe (Spigot) Reducer - 90mm</v>
          </cell>
        </row>
        <row r="931">
          <cell r="D931" t="str">
            <v>PE Pipe (Spigot) Reducer - 110mm</v>
          </cell>
        </row>
        <row r="932">
          <cell r="D932" t="str">
            <v>PE Pipe (Spigot) Reducer - 160mm</v>
          </cell>
        </row>
        <row r="933">
          <cell r="D933" t="str">
            <v>PE Pipe Stub End Long Collar - 90mm x 63mm</v>
          </cell>
        </row>
        <row r="934">
          <cell r="D934" t="str">
            <v>PE Pipe, SDR 17   25mmØ</v>
          </cell>
        </row>
        <row r="935">
          <cell r="D935" t="str">
            <v>PE Pipe, SDR 17   32mmØ</v>
          </cell>
        </row>
        <row r="936">
          <cell r="D936" t="str">
            <v>PE Pipe, SDR 17   40mmØ</v>
          </cell>
        </row>
        <row r="937">
          <cell r="D937" t="str">
            <v>PE Pipe, SDR 17   50mmØ</v>
          </cell>
        </row>
        <row r="938">
          <cell r="D938" t="str">
            <v>PE Pipe, SDR 17   63mmØ</v>
          </cell>
        </row>
        <row r="939">
          <cell r="D939" t="str">
            <v>PE Pipe, SDR 17  75mmØ</v>
          </cell>
        </row>
        <row r="940">
          <cell r="D940" t="str">
            <v>PE Pipe, SDR 17  90mmØ</v>
          </cell>
        </row>
        <row r="941">
          <cell r="D941" t="str">
            <v>PE Pipe (Spigot) Reducer - 110mm</v>
          </cell>
        </row>
        <row r="942">
          <cell r="D942" t="str">
            <v>3/8" PE Pipe Coupling/Connector</v>
          </cell>
        </row>
        <row r="943">
          <cell r="D943" t="str">
            <v>½" PE Pipe Coupling/Connector</v>
          </cell>
        </row>
        <row r="944">
          <cell r="D944" t="str">
            <v>3/4" PE Pipe Coupling/Connector</v>
          </cell>
        </row>
        <row r="945">
          <cell r="D945" t="str">
            <v>1" PE Pipe Coupling/Connector</v>
          </cell>
        </row>
        <row r="946">
          <cell r="D946" t="str">
            <v>1¼" PE Pipe Coupling/Connector</v>
          </cell>
        </row>
        <row r="947">
          <cell r="D947" t="str">
            <v>1½" PE Pipe Coupling/Connector</v>
          </cell>
        </row>
        <row r="948">
          <cell r="D948" t="str">
            <v>2" PE Pipe Coupling/Connector</v>
          </cell>
        </row>
        <row r="949">
          <cell r="D949" t="str">
            <v>2½" PE Pipe Coupling/Connector</v>
          </cell>
        </row>
        <row r="950">
          <cell r="D950" t="str">
            <v>3" PE Pipe Coupling/Connector</v>
          </cell>
        </row>
        <row r="951">
          <cell r="D951" t="str">
            <v>63mm X 2"dia. Male Adaptor, PLASSON</v>
          </cell>
        </row>
        <row r="952">
          <cell r="D952" t="str">
            <v>75mm X 2½"dia. Male Adaptor, PLASSON</v>
          </cell>
        </row>
        <row r="953">
          <cell r="D953" t="str">
            <v>½" PE Pipe Coupling/Connector</v>
          </cell>
        </row>
        <row r="954">
          <cell r="D954" t="str">
            <v>Butt Fusion</v>
          </cell>
        </row>
        <row r="955">
          <cell r="D955" t="str">
            <v>PE Pipe Butt Fussion - 25mmØ</v>
          </cell>
        </row>
        <row r="956">
          <cell r="D956" t="str">
            <v>PE Pipe Butt Fussion - 32mmØ</v>
          </cell>
        </row>
        <row r="957">
          <cell r="D957" t="str">
            <v>PE Pipe Butt Fussion - 40mmØ</v>
          </cell>
        </row>
        <row r="958">
          <cell r="D958" t="str">
            <v>PE Pipe Butt Fussion - 50mmØ</v>
          </cell>
        </row>
        <row r="959">
          <cell r="D959" t="str">
            <v>PE Pipe Butt Fussion - 63mmØ</v>
          </cell>
        </row>
        <row r="960">
          <cell r="D960" t="str">
            <v>PE Pipe Butt Fussion - 75mmØ</v>
          </cell>
        </row>
        <row r="961">
          <cell r="D961" t="str">
            <v>PE Pipe Butt Fussion - 90mmØ</v>
          </cell>
        </row>
        <row r="962">
          <cell r="D962" t="str">
            <v>75mm X 2½"dia. Male Adaptor, PLASSON</v>
          </cell>
        </row>
        <row r="963">
          <cell r="D963" t="str">
            <v>PE Pipe Butt Fussion - 25mm x 20mm</v>
          </cell>
        </row>
        <row r="964">
          <cell r="D964" t="str">
            <v>PE Pipe Butt Fussion - 32mm x 20mm</v>
          </cell>
        </row>
        <row r="965">
          <cell r="D965" t="str">
            <v>PE Pipe Butt Fussion - 32mm x 25mm</v>
          </cell>
        </row>
        <row r="966">
          <cell r="D966" t="str">
            <v>PE Pipe Butt Fussion - 50mm x 25mm</v>
          </cell>
        </row>
        <row r="967">
          <cell r="D967" t="str">
            <v>PE Pipe Butt Fussion - 50mm x 32mm</v>
          </cell>
        </row>
        <row r="968">
          <cell r="D968" t="str">
            <v>PE Pipe Butt Fussion - 50mm x 40mm</v>
          </cell>
        </row>
        <row r="969">
          <cell r="D969" t="str">
            <v>PE Pipe Butt Fussion - 63mm x 32mm</v>
          </cell>
        </row>
        <row r="970">
          <cell r="D970" t="str">
            <v>PE Pipe Butt Fussion - 63mm x 40mm</v>
          </cell>
        </row>
        <row r="971">
          <cell r="D971" t="str">
            <v>PE Pipe Butt Fussion - 63mm x 50mm</v>
          </cell>
        </row>
        <row r="972">
          <cell r="D972" t="str">
            <v>PE Pipe Butt Fussion - 90mm x 63mm</v>
          </cell>
        </row>
        <row r="973">
          <cell r="D973" t="str">
            <v>PE Pipe Butt Fussion - 25mm x 20mm</v>
          </cell>
        </row>
        <row r="974">
          <cell r="D974" t="str">
            <v>PE Pipe Butt Fussion - 32mm x 20mm</v>
          </cell>
        </row>
        <row r="975">
          <cell r="D975" t="str">
            <v>( SANITARY FIXTURES )</v>
          </cell>
        </row>
        <row r="976">
          <cell r="D976" t="str">
            <v>½" Brass Faucet, Plain Bibb</v>
          </cell>
        </row>
        <row r="977">
          <cell r="D977" t="str">
            <v>Water closet (ordinary)</v>
          </cell>
        </row>
        <row r="978">
          <cell r="D978" t="str">
            <v>Water closet</v>
          </cell>
        </row>
        <row r="979">
          <cell r="D979" t="str">
            <v>Water seal bowl (Pail Flush)</v>
          </cell>
        </row>
        <row r="980">
          <cell r="D980" t="str">
            <v>Lavatory, porcelain</v>
          </cell>
        </row>
        <row r="981">
          <cell r="D981" t="str">
            <v>Kitchen sink ( Aluminum)</v>
          </cell>
        </row>
        <row r="982">
          <cell r="D982" t="str">
            <v>Soap Holder (ceramic)</v>
          </cell>
        </row>
        <row r="983">
          <cell r="D983" t="str">
            <v>Paper Holder (ceramic)</v>
          </cell>
        </row>
        <row r="984">
          <cell r="D984" t="str">
            <v>4x4 Floor drain plate</v>
          </cell>
        </row>
        <row r="985">
          <cell r="D985" t="str">
            <v>6x6 Floor drain plate</v>
          </cell>
        </row>
        <row r="986">
          <cell r="D986" t="str">
            <v>1¼" Jetmatic Pump, Heavy Duty</v>
          </cell>
        </row>
        <row r="987">
          <cell r="D987" t="str">
            <v>Magsaysay Pump, Heavy Duty</v>
          </cell>
        </row>
        <row r="988">
          <cell r="D988" t="str">
            <v>Sink Strainer</v>
          </cell>
        </row>
        <row r="989">
          <cell r="D989" t="str">
            <v>Dome Type Roof Drain</v>
          </cell>
        </row>
        <row r="990">
          <cell r="D990" t="str">
            <v>Kitchen sink (Stainless)</v>
          </cell>
        </row>
        <row r="991">
          <cell r="D991" t="str">
            <v>Brass Faucet</v>
          </cell>
        </row>
        <row r="992">
          <cell r="D992" t="str">
            <v>Stainless Lavatory Faucet</v>
          </cell>
        </row>
        <row r="993">
          <cell r="D993" t="str">
            <v>150mm PVC Sanitary/Sewer Pipe x 3000</v>
          </cell>
        </row>
        <row r="994">
          <cell r="D994" t="str">
            <v>150mm PVC Pipe x 6000</v>
          </cell>
        </row>
        <row r="995">
          <cell r="D995" t="str">
            <v>6x6 Floor drain plate</v>
          </cell>
        </row>
        <row r="996">
          <cell r="D996" t="str">
            <v>( ELECTRICAL WIRES &amp; APURTENANCES )</v>
          </cell>
        </row>
        <row r="997">
          <cell r="D997" t="str">
            <v>#8 AWG TW Wire solid</v>
          </cell>
        </row>
        <row r="998">
          <cell r="D998" t="str">
            <v>#10 AWG TW Wire solid</v>
          </cell>
        </row>
        <row r="999">
          <cell r="D999" t="str">
            <v>#12 AWG TW Wire solid</v>
          </cell>
        </row>
        <row r="1000">
          <cell r="D1000" t="str">
            <v>#14 AWG TW Wire solid</v>
          </cell>
        </row>
        <row r="1001">
          <cell r="D1001" t="str">
            <v>#10 AWG TW Wire stranded</v>
          </cell>
        </row>
        <row r="1002">
          <cell r="D1002" t="str">
            <v>#12 AWG TW Wire stranded</v>
          </cell>
        </row>
        <row r="1003">
          <cell r="D1003" t="str">
            <v>#14 AWG TW Wire stranded</v>
          </cell>
        </row>
        <row r="1004">
          <cell r="D1004" t="str">
            <v>#10  PDX Wire</v>
          </cell>
        </row>
        <row r="1005">
          <cell r="D1005" t="str">
            <v>#12 PDX Wire</v>
          </cell>
        </row>
        <row r="1006">
          <cell r="D1006" t="str">
            <v>#14 PDX Wire</v>
          </cell>
        </row>
        <row r="1007">
          <cell r="D1007" t="str">
            <v>3/4" PolyFlex Pipe</v>
          </cell>
        </row>
        <row r="1008">
          <cell r="D1008" t="str">
            <v>½" Flexible conduit</v>
          </cell>
        </row>
        <row r="1009">
          <cell r="D1009" t="str">
            <v>1" Flexible conduit</v>
          </cell>
        </row>
        <row r="1010">
          <cell r="D1010" t="str">
            <v>½" Entrance Cap</v>
          </cell>
        </row>
        <row r="1011">
          <cell r="D1011" t="str">
            <v>20A Circuit Breakers</v>
          </cell>
        </row>
        <row r="1012">
          <cell r="D1012" t="str">
            <v>30A Circuit Breakers</v>
          </cell>
        </row>
        <row r="1013">
          <cell r="D1013" t="str">
            <v>40A Circuit Breakers</v>
          </cell>
        </row>
        <row r="1014">
          <cell r="D1014" t="str">
            <v>60ACircuit Breakers</v>
          </cell>
        </row>
        <row r="1015">
          <cell r="D1015" t="str">
            <v>100A Circuit Breakers</v>
          </cell>
        </row>
        <row r="1016">
          <cell r="D1016" t="str">
            <v>15A Fuse</v>
          </cell>
        </row>
        <row r="1017">
          <cell r="D1017" t="str">
            <v>20A Fuse</v>
          </cell>
        </row>
        <row r="1018">
          <cell r="D1018" t="str">
            <v>30A Fuse</v>
          </cell>
        </row>
        <row r="1019">
          <cell r="D1019" t="str">
            <v>60A Fuse</v>
          </cell>
        </row>
        <row r="1020">
          <cell r="D1020" t="str">
            <v>30A kWh Meter</v>
          </cell>
        </row>
        <row r="1021">
          <cell r="D1021" t="str">
            <v>60A kWh Meter</v>
          </cell>
        </row>
        <row r="1022">
          <cell r="D1022" t="str">
            <v>100A kWh Meter</v>
          </cell>
        </row>
        <row r="1023">
          <cell r="D1023" t="str">
            <v>2X4, Utility Box</v>
          </cell>
        </row>
        <row r="1024">
          <cell r="D1024" t="str">
            <v>4X4, Junction Box with cover (Square)</v>
          </cell>
        </row>
        <row r="1025">
          <cell r="D1025" t="str">
            <v>4X4, Junction Box with cover (Octagonal)</v>
          </cell>
        </row>
        <row r="1026">
          <cell r="D1026" t="str">
            <v>Porcelain Ceiling Outlet</v>
          </cell>
        </row>
        <row r="1027">
          <cell r="D1027" t="str">
            <v>Duplex convenience outlet (surface type)</v>
          </cell>
        </row>
        <row r="1028">
          <cell r="D1028" t="str">
            <v>Rubber female plug</v>
          </cell>
        </row>
        <row r="1029">
          <cell r="D1029" t="str">
            <v>Electrical Tape</v>
          </cell>
        </row>
        <row r="1030">
          <cell r="D1030" t="str">
            <v>Panel Board, 6-Breakers</v>
          </cell>
        </row>
        <row r="1031">
          <cell r="D1031" t="str">
            <v>One Gang Switch (flush type)</v>
          </cell>
        </row>
        <row r="1032">
          <cell r="D1032" t="str">
            <v>Two Gang Swicth (flush type)</v>
          </cell>
        </row>
        <row r="1033">
          <cell r="D1033" t="str">
            <v>Three Gang Swicth (flush type)</v>
          </cell>
        </row>
        <row r="1034">
          <cell r="D1034" t="str">
            <v>One Gang Outlet (flush type)</v>
          </cell>
        </row>
        <row r="1035">
          <cell r="D1035" t="str">
            <v>Two Gang Outlet (flush type)</v>
          </cell>
        </row>
        <row r="1036">
          <cell r="D1036" t="str">
            <v>Three Gang Outlet (flush type)</v>
          </cell>
        </row>
        <row r="1037">
          <cell r="D1037" t="str">
            <v>1/2" Metal Conduit Pipe, 3.0m</v>
          </cell>
        </row>
        <row r="1038">
          <cell r="D1038" t="str">
            <v>20mmØ PVC Conduit Pipes, 3.0m</v>
          </cell>
        </row>
        <row r="1039">
          <cell r="D1039" t="str">
            <v>Main Switch Box, 2P, Double-Throw</v>
          </cell>
        </row>
        <row r="1040">
          <cell r="D1040" t="str">
            <v>Porcelain Wire Holder</v>
          </cell>
        </row>
        <row r="1041">
          <cell r="D1041" t="str">
            <v>Panel Board, 6-Breakers</v>
          </cell>
        </row>
        <row r="1042">
          <cell r="D1042" t="str">
            <v>( LIGHTS AND LAMPS )</v>
          </cell>
        </row>
        <row r="1043">
          <cell r="D1043" t="str">
            <v>20W 220 V Flourescent Lamp</v>
          </cell>
        </row>
        <row r="1044">
          <cell r="D1044" t="str">
            <v>40W 220 V Flourescent Lamp</v>
          </cell>
        </row>
        <row r="1045">
          <cell r="D1045" t="str">
            <v>20W 220 V Reflectorized Flourescent Lamp, Single Housing</v>
          </cell>
        </row>
        <row r="1046">
          <cell r="D1046" t="str">
            <v>10W Incandescent Bulb</v>
          </cell>
        </row>
        <row r="1047">
          <cell r="D1047" t="str">
            <v>20W Incandescent Bulb</v>
          </cell>
        </row>
        <row r="1048">
          <cell r="D1048" t="str">
            <v>50W Incandescent Bulb</v>
          </cell>
        </row>
        <row r="1049">
          <cell r="D1049" t="str">
            <v>100W Incandescent Bulb</v>
          </cell>
        </row>
        <row r="1050">
          <cell r="D1050" t="str">
            <v>18 W SL 2000 Flourescent Bulb</v>
          </cell>
        </row>
        <row r="1051">
          <cell r="D1051" t="str">
            <v>18 W SL 2000 Flourescent Bulb</v>
          </cell>
        </row>
        <row r="1052">
          <cell r="D1052" t="str">
            <v>Porcelain Wire Holder</v>
          </cell>
        </row>
        <row r="1053">
          <cell r="D1053" t="str">
            <v>( PAINTS &amp; ACCESSORIES )</v>
          </cell>
        </row>
        <row r="1054">
          <cell r="D1054" t="str">
            <v>Latex Paint Flat</v>
          </cell>
        </row>
        <row r="1055">
          <cell r="D1055" t="str">
            <v>Acrylic Latex Paint Flat</v>
          </cell>
        </row>
        <row r="1056">
          <cell r="D1056" t="str">
            <v>Acrylic Semi-Gloss Paint Latex</v>
          </cell>
        </row>
        <row r="1057">
          <cell r="D1057" t="str">
            <v>Acrylic Gloss Latex</v>
          </cell>
        </row>
        <row r="1058">
          <cell r="D1058" t="str">
            <v>Acrylic Clear Gloss Emulsion</v>
          </cell>
        </row>
        <row r="1059">
          <cell r="D1059" t="str">
            <v>Latex High Gloss Enamel</v>
          </cell>
        </row>
        <row r="1060">
          <cell r="D1060" t="str">
            <v>Latex Tinting Color (Water-based)</v>
          </cell>
        </row>
        <row r="1061">
          <cell r="D1061" t="str">
            <v>Quick Drying Enamel</v>
          </cell>
        </row>
        <row r="1062">
          <cell r="D1062" t="str">
            <v>Interior Semi-Gloss Enamel</v>
          </cell>
        </row>
        <row r="1063">
          <cell r="D1063" t="str">
            <v>Flat Wall Enamel</v>
          </cell>
        </row>
        <row r="1064">
          <cell r="D1064" t="str">
            <v>Conc. Primer Sealer</v>
          </cell>
        </row>
        <row r="1065">
          <cell r="D1065" t="str">
            <v>Interior Primer Sealer</v>
          </cell>
        </row>
        <row r="1066">
          <cell r="D1066" t="str">
            <v>Exterior Wood Primer</v>
          </cell>
        </row>
        <row r="1067">
          <cell r="D1067" t="str">
            <v>Prepakote Red Oxide Primer</v>
          </cell>
        </row>
        <row r="1068">
          <cell r="D1068" t="str">
            <v>Zinc Chromate Primer.</v>
          </cell>
        </row>
        <row r="1069">
          <cell r="D1069" t="str">
            <v>Red Lead Primer</v>
          </cell>
        </row>
        <row r="1070">
          <cell r="D1070" t="str">
            <v>Blackboard Paint green</v>
          </cell>
        </row>
        <row r="1071">
          <cell r="D1071" t="str">
            <v>Portland Roofing Paint</v>
          </cell>
        </row>
        <row r="1072">
          <cell r="D1072" t="str">
            <v>Galva wash zinc remover</v>
          </cell>
        </row>
        <row r="1073">
          <cell r="D1073" t="str">
            <v>Sanding Sealer</v>
          </cell>
        </row>
        <row r="1074">
          <cell r="D1074" t="str">
            <v>Clear Gloss Lacquer</v>
          </cell>
        </row>
        <row r="1075">
          <cell r="D1075" t="str">
            <v>Paint Thinner</v>
          </cell>
        </row>
        <row r="1076">
          <cell r="D1076" t="str">
            <v>Concrete Neutralizer</v>
          </cell>
        </row>
        <row r="1077">
          <cell r="D1077" t="str">
            <v>Coal Tar</v>
          </cell>
        </row>
        <row r="1078">
          <cell r="D1078" t="str">
            <v>Wood Stain</v>
          </cell>
        </row>
        <row r="1079">
          <cell r="D1079" t="str">
            <v>Kalsomine powder</v>
          </cell>
        </row>
        <row r="1080">
          <cell r="D1080" t="str">
            <v>Sanding Paper</v>
          </cell>
        </row>
        <row r="1081">
          <cell r="D1081" t="str">
            <v>Epoxy Primer, Boysen</v>
          </cell>
        </row>
        <row r="1082">
          <cell r="D1082" t="str">
            <v>Roller Brush w/ Tray</v>
          </cell>
        </row>
        <row r="1083">
          <cell r="D1083" t="str">
            <v>Paint Brush</v>
          </cell>
        </row>
        <row r="1084">
          <cell r="D1084" t="str">
            <v>Reflectorized Paint</v>
          </cell>
        </row>
        <row r="1085">
          <cell r="D1085" t="str">
            <v>Reflectorized Paint (Black/Yellow)</v>
          </cell>
        </row>
        <row r="1086">
          <cell r="D1086" t="str">
            <v>Marine Paint</v>
          </cell>
        </row>
        <row r="1087">
          <cell r="D1087" t="str">
            <v>Epoxy Enamel, Boysen</v>
          </cell>
        </row>
        <row r="1088">
          <cell r="D1088" t="str">
            <v>Concrete Neutralizer</v>
          </cell>
        </row>
        <row r="1089">
          <cell r="D1089" t="str">
            <v>( PRESERVATIVES )</v>
          </cell>
        </row>
        <row r="1090">
          <cell r="D1090" t="str">
            <v>Wood preservative (Solignum)</v>
          </cell>
        </row>
        <row r="1091">
          <cell r="D1091" t="str">
            <v>Kalsomine powder</v>
          </cell>
        </row>
        <row r="1092">
          <cell r="D1092" t="str">
            <v>( TILES )</v>
          </cell>
        </row>
        <row r="1093">
          <cell r="D1093" t="str">
            <v>Unglazed Tiles  4-1/4" x 4-1/4"</v>
          </cell>
        </row>
        <row r="1094">
          <cell r="D1094" t="str">
            <v>Glazed Tile (Plain Color)  4-1/4" x 4-1/4"</v>
          </cell>
        </row>
        <row r="1095">
          <cell r="D1095" t="str">
            <v>Mosaic Floor Tiles  12 x 12</v>
          </cell>
        </row>
        <row r="1096">
          <cell r="D1096" t="str">
            <v>Glazed Tiles  4" x 4"</v>
          </cell>
        </row>
        <row r="1097">
          <cell r="D1097" t="str">
            <v>Vitirified Tiles  4" x 8"</v>
          </cell>
        </row>
        <row r="1098">
          <cell r="D1098" t="str">
            <v>Floor Tiles (Plain Color)  8" x 8"</v>
          </cell>
        </row>
        <row r="1099">
          <cell r="D1099" t="str">
            <v>Glazed Tiles (Plain Color)  8" x 8"</v>
          </cell>
        </row>
        <row r="1100">
          <cell r="D1100" t="str">
            <v>Vinyl Tiles  8" x 8"</v>
          </cell>
        </row>
        <row r="1101">
          <cell r="D1101" t="str">
            <v>Capping</v>
          </cell>
        </row>
        <row r="1102">
          <cell r="D1102" t="str">
            <v>Internal Bead  4"</v>
          </cell>
        </row>
        <row r="1103">
          <cell r="D1103" t="str">
            <v xml:space="preserve">External Bead  4" </v>
          </cell>
        </row>
        <row r="1104">
          <cell r="D1104" t="str">
            <v>Internal Corner bead</v>
          </cell>
        </row>
        <row r="1105">
          <cell r="D1105" t="str">
            <v>External Corner bead</v>
          </cell>
        </row>
        <row r="1106">
          <cell r="D1106" t="str">
            <v>Unglazed Tiles  4" x 4"</v>
          </cell>
        </row>
        <row r="1107">
          <cell r="D1107" t="str">
            <v>Mosaic Floor Tiles  12 x 12</v>
          </cell>
        </row>
        <row r="1108">
          <cell r="D1108" t="str">
            <v>( INSTRUMENTS )</v>
          </cell>
        </row>
        <row r="1109">
          <cell r="D1109" t="str">
            <v>Weighing Scale w Ht Measurement (Adult)</v>
          </cell>
        </row>
        <row r="1110">
          <cell r="D1110" t="str">
            <v>Weighing Scale (Newborn)</v>
          </cell>
        </row>
        <row r="1111">
          <cell r="D1111" t="str">
            <v>Stethoscope</v>
          </cell>
        </row>
        <row r="1112">
          <cell r="D1112" t="str">
            <v>Medical Trolley w/glass container</v>
          </cell>
        </row>
        <row r="1113">
          <cell r="D1113" t="str">
            <v>Sphygmomanometer (Mercury)</v>
          </cell>
        </row>
        <row r="1114">
          <cell r="D1114" t="str">
            <v>Thermometer</v>
          </cell>
        </row>
        <row r="1115">
          <cell r="D1115" t="str">
            <v>Scissors (Surgical)</v>
          </cell>
        </row>
        <row r="1116">
          <cell r="D1116" t="str">
            <v>Scissors (Bandage)</v>
          </cell>
        </row>
        <row r="1117">
          <cell r="D1117" t="str">
            <v>Forceps (Curve)</v>
          </cell>
        </row>
        <row r="1118">
          <cell r="D1118" t="str">
            <v>Forceps (Straight)</v>
          </cell>
        </row>
        <row r="1119">
          <cell r="D1119" t="str">
            <v>Kidney Basin (Stainless)</v>
          </cell>
        </row>
        <row r="1120">
          <cell r="D1120" t="str">
            <v>Bed Pan (Metal)</v>
          </cell>
        </row>
        <row r="1121">
          <cell r="D1121" t="str">
            <v>Male Urinal</v>
          </cell>
        </row>
        <row r="1122">
          <cell r="D1122" t="str">
            <v>O.B. Bed with Stirrups</v>
          </cell>
        </row>
        <row r="1123">
          <cell r="D1123" t="str">
            <v>Hot Water Bag</v>
          </cell>
        </row>
        <row r="1124">
          <cell r="D1124" t="str">
            <v>Medical Trolley w/glass container</v>
          </cell>
        </row>
        <row r="1125">
          <cell r="D1125" t="str">
            <v>( FURNITURES )</v>
          </cell>
        </row>
        <row r="1126">
          <cell r="D1126" t="str">
            <v>Monoblock Student Chair</v>
          </cell>
        </row>
        <row r="1127">
          <cell r="D1127" t="str">
            <v>Monoblock Chair</v>
          </cell>
        </row>
        <row r="1128">
          <cell r="D1128" t="str">
            <v>Standard Office Table, Wood (SZOPAD Standard)</v>
          </cell>
        </row>
        <row r="1129">
          <cell r="D1129" t="str">
            <v>Blackboard</v>
          </cell>
        </row>
        <row r="1130">
          <cell r="D1130" t="str">
            <v>Kitchen Table, Wood (SZOPAD Standard)</v>
          </cell>
        </row>
        <row r="1131">
          <cell r="D1131" t="str">
            <v>Monoblock Bench (2-seater)</v>
          </cell>
        </row>
        <row r="1132">
          <cell r="D1132" t="str">
            <v>Bed Pan (Metal)</v>
          </cell>
        </row>
        <row r="1133">
          <cell r="D1133" t="str">
            <v>( MOORING &amp; FENDERS )</v>
          </cell>
        </row>
        <row r="1134">
          <cell r="D1134" t="str">
            <v>Mooring Bollard 25T</v>
          </cell>
        </row>
        <row r="1135">
          <cell r="D1135" t="str">
            <v>Mooring Bollard 15T</v>
          </cell>
        </row>
        <row r="1136">
          <cell r="D1136" t="str">
            <v>Mooring Bitt 10T</v>
          </cell>
        </row>
        <row r="1137">
          <cell r="D1137" t="str">
            <v>Mooring Bitt 15T</v>
          </cell>
        </row>
        <row r="1138">
          <cell r="D1138" t="str">
            <v>Mooring Cleat 5T</v>
          </cell>
        </row>
        <row r="1139">
          <cell r="D1139" t="str">
            <v>V-Type Rubber Fender (200x1500) incl. its appurtenances</v>
          </cell>
        </row>
        <row r="1140">
          <cell r="D1140" t="str">
            <v>V-Type Rubber Fender (300x1500) incl. its appurtenances</v>
          </cell>
        </row>
        <row r="1141">
          <cell r="D1141" t="str">
            <v>V-Type Rubber Fender (400x1000) incl. its appurtenances</v>
          </cell>
        </row>
        <row r="1142">
          <cell r="D1142" t="str">
            <v>V-Type Rubber Fender (400x2000) incl. its appurtenances</v>
          </cell>
        </row>
        <row r="1143">
          <cell r="D1143" t="str">
            <v>L Corner Type Rubber Fender (250Hx1000Lx1000L) incl. its appurtenances</v>
          </cell>
        </row>
        <row r="1144">
          <cell r="D1144" t="str">
            <v>Used Tires (800mmØ)</v>
          </cell>
        </row>
        <row r="1145">
          <cell r="D1145" t="str">
            <v>Used Tires (600mmØ)</v>
          </cell>
        </row>
        <row r="1146">
          <cell r="D1146" t="str">
            <v>Used Tires (1000mmØ) and its appurtenances</v>
          </cell>
        </row>
        <row r="1147">
          <cell r="D1147" t="str">
            <v>Mooring Bollard 15T</v>
          </cell>
        </row>
        <row r="1148">
          <cell r="D1148" t="str">
            <v>Mooring Bitt 10T</v>
          </cell>
        </row>
        <row r="1149">
          <cell r="D1149" t="str">
            <v>( LUBRICANT AND OIL )</v>
          </cell>
        </row>
        <row r="1150">
          <cell r="D1150" t="str">
            <v>Used Oil</v>
          </cell>
        </row>
        <row r="1151">
          <cell r="D1151" t="str">
            <v>Oil, No. 110</v>
          </cell>
        </row>
        <row r="1152">
          <cell r="D1152" t="str">
            <v>Gasoline, Regular</v>
          </cell>
        </row>
        <row r="1153">
          <cell r="D1153" t="str">
            <v>V-Type Rubber Fender (400x1000) incl. its appurtenances</v>
          </cell>
        </row>
        <row r="1154">
          <cell r="D1154" t="str">
            <v>( JUNKS &amp; JOB ORDER )</v>
          </cell>
        </row>
        <row r="1155">
          <cell r="D1155" t="str">
            <v>Tension Rod</v>
          </cell>
        </row>
        <row r="1156">
          <cell r="D1156" t="str">
            <v>Steel Plate Cover 0.65 X 0.65 m</v>
          </cell>
        </row>
        <row r="1157">
          <cell r="D1157" t="str">
            <v>Window Grill, Steel</v>
          </cell>
        </row>
        <row r="1158">
          <cell r="D1158" t="str">
            <v xml:space="preserve">Shop-made Door Lock, 5/8" Plain Bar </v>
          </cell>
        </row>
        <row r="1159">
          <cell r="D1159" t="str">
            <v>Fabricated Clamp, 5mm thk x 3"</v>
          </cell>
        </row>
        <row r="1160">
          <cell r="D1160" t="str">
            <v>Used Tires</v>
          </cell>
        </row>
        <row r="1161">
          <cell r="D1161" t="str">
            <v>2.0m X 2.40m  GI Vertical Roll-Up Door</v>
          </cell>
        </row>
        <row r="1162">
          <cell r="D1162" t="str">
            <v>30"  Spherical Roof Vent, Turbine Type</v>
          </cell>
        </row>
        <row r="1163">
          <cell r="D1163" t="str">
            <v>Ga#24 GI Sht Caps</v>
          </cell>
        </row>
        <row r="1164">
          <cell r="D1164" t="str">
            <v>Hard Asphalt Filler</v>
          </cell>
        </row>
        <row r="1165">
          <cell r="D1165" t="str">
            <v>250 x 250 x 3000 Rubbing Timber (Yakal)</v>
          </cell>
        </row>
        <row r="1166">
          <cell r="D1166" t="str">
            <v>Creosoted Wooden Pole 300mmØ x 15m.</v>
          </cell>
        </row>
        <row r="1167">
          <cell r="D1167" t="str">
            <v>Creosoted Wooden Pole 300mmØ x 18m.</v>
          </cell>
        </row>
        <row r="1168">
          <cell r="D1168" t="str">
            <v>Steel Stapples 10mmØ</v>
          </cell>
        </row>
        <row r="1169">
          <cell r="D1169" t="str">
            <v>Fire Extinguishers</v>
          </cell>
        </row>
        <row r="1170">
          <cell r="D1170" t="str">
            <v>Water Proofing Compound &amp; Accessories</v>
          </cell>
        </row>
        <row r="1171">
          <cell r="D1171" t="str">
            <v>Gate Accessories</v>
          </cell>
        </row>
        <row r="1172">
          <cell r="D1172" t="str">
            <v>Electrical &amp; Fixtures</v>
          </cell>
        </row>
        <row r="1173">
          <cell r="D1173" t="str">
            <v>Regulatory Sign</v>
          </cell>
        </row>
        <row r="1174">
          <cell r="D1174" t="str">
            <v>Warning Sign</v>
          </cell>
        </row>
        <row r="1175">
          <cell r="D1175" t="str">
            <v>Elastomeric Bearing Pad Duro 60 (Complete Set)</v>
          </cell>
        </row>
        <row r="1176">
          <cell r="D1176" t="str">
            <v>Restrainer Bolt (25mmØx800</v>
          </cell>
        </row>
        <row r="1177">
          <cell r="D1177" t="str">
            <v>Ga#10 GI Pre-Fab Steel Flex Beam</v>
          </cell>
        </row>
        <row r="1178">
          <cell r="D1178" t="str">
            <v>Ga#10 GI Pre-Fab Steel Flex Beam end</v>
          </cell>
        </row>
        <row r="1179">
          <cell r="D1179" t="str">
            <v>Restrainer Bolt (25mmØx800)</v>
          </cell>
        </row>
        <row r="1180">
          <cell r="D1180" t="str">
            <v>Water Meter</v>
          </cell>
        </row>
        <row r="1181">
          <cell r="D1181" t="str">
            <v>Filter Fabric</v>
          </cell>
        </row>
        <row r="1182">
          <cell r="D1182" t="str">
            <v>Ga# 18 Stainless Steel Tank and Accessories</v>
          </cell>
        </row>
        <row r="1183">
          <cell r="D1183" t="str">
            <v>Engr's Transit</v>
          </cell>
        </row>
        <row r="1184">
          <cell r="D1184" t="str">
            <v>Polyurethane Plastic</v>
          </cell>
        </row>
        <row r="1185">
          <cell r="D1185" t="str">
            <v>Regulatory Sign</v>
          </cell>
        </row>
        <row r="1186">
          <cell r="D1186" t="str">
            <v>Warning Sign</v>
          </cell>
        </row>
        <row r="1187">
          <cell r="D1187" t="str">
            <v>FENESTRATION</v>
          </cell>
        </row>
        <row r="1188">
          <cell r="D1188" t="str">
            <v>Door 1 - Community Center 1</v>
          </cell>
        </row>
        <row r="1189">
          <cell r="D1189" t="str">
            <v>Door 2 - Community Center 1</v>
          </cell>
        </row>
        <row r="1190">
          <cell r="D1190" t="str">
            <v>Window 1 - Community Center 1</v>
          </cell>
        </row>
        <row r="1191">
          <cell r="D1191" t="str">
            <v>Window 2 - Community Center 1</v>
          </cell>
        </row>
        <row r="1192">
          <cell r="D1192" t="str">
            <v>Window 3 - Community Center 1</v>
          </cell>
        </row>
        <row r="1193">
          <cell r="D1193" t="str">
            <v>Filter Fabric</v>
          </cell>
        </row>
        <row r="1194">
          <cell r="D1194" t="str">
            <v>Door 1 - Community Center 2</v>
          </cell>
        </row>
        <row r="1195">
          <cell r="D1195" t="str">
            <v>Door 2 - Community Center 2</v>
          </cell>
        </row>
        <row r="1196">
          <cell r="D1196" t="str">
            <v>Window 1 - Community Center 2</v>
          </cell>
        </row>
        <row r="1197">
          <cell r="D1197" t="str">
            <v>Window 2 - Community Center 2</v>
          </cell>
        </row>
        <row r="1198">
          <cell r="D1198" t="str">
            <v>Window 3 - Community Center 2</v>
          </cell>
        </row>
        <row r="1199">
          <cell r="D1199" t="str">
            <v>FENESTRATION</v>
          </cell>
        </row>
        <row r="1200">
          <cell r="D1200" t="str">
            <v>Door 1 - Community Center 1</v>
          </cell>
        </row>
        <row r="1201">
          <cell r="D1201" t="str">
            <v>FACILITIES FOR ENGINEER</v>
          </cell>
        </row>
        <row r="1202">
          <cell r="D1202" t="str">
            <v>Temporary Field Office/Quarter (2 Container Van w/ Shed)</v>
          </cell>
        </row>
        <row r="1203">
          <cell r="D1203" t="str">
            <v>Temporary Field Office/Quarter</v>
          </cell>
        </row>
        <row r="1204">
          <cell r="D1204" t="str">
            <v>Airconditioning Unit</v>
          </cell>
        </row>
        <row r="1205">
          <cell r="D1205" t="str">
            <v>Computer Pentium 4 w/ HP Deskject Printer (Latest Model)</v>
          </cell>
        </row>
        <row r="1206">
          <cell r="D1206" t="str">
            <v>Office Furnitures/Equipment (Items 81.70, 81.80 and 81.90)</v>
          </cell>
        </row>
        <row r="1207">
          <cell r="D1207" t="str">
            <v>Office Supplies/Water/Electricity</v>
          </cell>
        </row>
        <row r="1208">
          <cell r="D1208" t="str">
            <v>Furnishing on Rental Basis (Mat'ls Laboratory, Operations &amp; Maintenance)</v>
          </cell>
        </row>
        <row r="1209">
          <cell r="D1209" t="str">
            <v>Progress Photographed</v>
          </cell>
        </row>
        <row r="1210">
          <cell r="D1210" t="str">
            <v>Window 3 - Community Center 2</v>
          </cell>
        </row>
        <row r="1211">
          <cell r="D1211" t="str">
            <v>OFFICE FURNITURES</v>
          </cell>
        </row>
        <row r="1212">
          <cell r="D1212" t="str">
            <v>Office Table</v>
          </cell>
        </row>
        <row r="1213">
          <cell r="D1213" t="str">
            <v>Office Chairs</v>
          </cell>
        </row>
        <row r="1214">
          <cell r="D1214" t="str">
            <v>Bench</v>
          </cell>
        </row>
        <row r="1215">
          <cell r="D1215" t="str">
            <v>Plywood Board</v>
          </cell>
        </row>
        <row r="1216">
          <cell r="D1216" t="str">
            <v>Airconditioning Unit</v>
          </cell>
        </row>
        <row r="1217">
          <cell r="D1217" t="str">
            <v>SIGNAGES</v>
          </cell>
        </row>
        <row r="1218">
          <cell r="D1218" t="str">
            <v>Plate Marker</v>
          </cell>
        </row>
        <row r="1219">
          <cell r="D1219" t="str">
            <v>Marker Pedestal</v>
          </cell>
        </row>
        <row r="1220">
          <cell r="D1220" t="str">
            <v>Stainless Steel Plaque</v>
          </cell>
        </row>
        <row r="1221">
          <cell r="D1221" t="str">
            <v>Stainless Steel Plaque w/ Concrete Pedestal</v>
          </cell>
        </row>
        <row r="1222">
          <cell r="D1222" t="str">
            <v>Wooden Type Project Information Signboard</v>
          </cell>
        </row>
        <row r="1223">
          <cell r="D1223" t="str">
            <v>Steel Type Project Information Signboard</v>
          </cell>
        </row>
        <row r="1224">
          <cell r="D1224" t="str">
            <v>Steel Type Project Information Signboard (Tarpaulin w/ Plywood Backing)</v>
          </cell>
        </row>
        <row r="1225">
          <cell r="D1225" t="str">
            <v>Signage</v>
          </cell>
        </row>
        <row r="1226">
          <cell r="D1226" t="str">
            <v>Plate Marker w/ Pedestal</v>
          </cell>
        </row>
        <row r="1227">
          <cell r="D1227" t="str">
            <v>Plywood Board</v>
          </cell>
        </row>
        <row r="1228">
          <cell r="D1228" t="str">
            <v>Solar Dryer</v>
          </cell>
        </row>
        <row r="1229">
          <cell r="D1229" t="str">
            <v>PERMITS &amp; LICENSES</v>
          </cell>
        </row>
        <row r="1230">
          <cell r="D1230" t="str">
            <v>Warehouse</v>
          </cell>
        </row>
        <row r="1231">
          <cell r="D1231" t="str">
            <v>Solar Dryer</v>
          </cell>
        </row>
        <row r="1232">
          <cell r="D1232" t="str">
            <v>Community Center 1</v>
          </cell>
        </row>
        <row r="1233">
          <cell r="D1233" t="str">
            <v>Stainless Steel Plaque w/ Concrete Pedestal</v>
          </cell>
        </row>
        <row r="1234">
          <cell r="D1234" t="str">
            <v>SAFETY</v>
          </cell>
        </row>
        <row r="1235">
          <cell r="D1235" t="str">
            <v>Hard Hats</v>
          </cell>
        </row>
        <row r="1236">
          <cell r="D1236" t="str">
            <v>First Aid Kit</v>
          </cell>
        </row>
        <row r="1237">
          <cell r="D1237" t="str">
            <v>Traffic Barricade Type "D"</v>
          </cell>
        </row>
        <row r="1238">
          <cell r="D1238" t="str">
            <v>4 feet width Plastic Canvas</v>
          </cell>
        </row>
        <row r="1239">
          <cell r="D1239" t="str">
            <v>No.8 diameter Nylon Rope</v>
          </cell>
        </row>
        <row r="1240">
          <cell r="D1240" t="str">
            <v>( LIQUIFIED AND PRESSURE GASES )</v>
          </cell>
        </row>
        <row r="1241">
          <cell r="D1241" t="str">
            <v>Oxygen Gas</v>
          </cell>
        </row>
        <row r="1242">
          <cell r="D1242" t="str">
            <v>Acetylene Gas</v>
          </cell>
        </row>
        <row r="1243">
          <cell r="D1243" t="str">
            <v>Warehouse</v>
          </cell>
        </row>
        <row r="1244">
          <cell r="D1244" t="str">
            <v>Solar Dryer</v>
          </cell>
        </row>
        <row r="1245">
          <cell r="D1245" t="str">
            <v>Community Center 1</v>
          </cell>
        </row>
        <row r="1246">
          <cell r="D1246" t="str">
            <v>Traffic Barricade Type "D"</v>
          </cell>
        </row>
        <row r="1247">
          <cell r="D1247" t="str">
            <v>SAFETY</v>
          </cell>
        </row>
        <row r="1248">
          <cell r="D1248" t="str">
            <v>Hard Hats</v>
          </cell>
        </row>
        <row r="1249">
          <cell r="D1249" t="str">
            <v>First Aid Kit</v>
          </cell>
        </row>
        <row r="1250">
          <cell r="D1250" t="str">
            <v>Traffic Barricade Type "D"</v>
          </cell>
        </row>
        <row r="1251">
          <cell r="D1251" t="str">
            <v>Plastic Canvas (1.2m width)</v>
          </cell>
        </row>
        <row r="1252">
          <cell r="D1252" t="str">
            <v>Nylon Rope</v>
          </cell>
        </row>
        <row r="1253">
          <cell r="D1253" t="str">
            <v>( LIQUIFIED AND PRESSURE GASES )</v>
          </cell>
        </row>
        <row r="1254">
          <cell r="D1254" t="str">
            <v>Oxygen Gas</v>
          </cell>
        </row>
        <row r="1255">
          <cell r="D1255" t="str">
            <v>( LIQUIFIED AND PRESSURE GASES )</v>
          </cell>
        </row>
        <row r="1256">
          <cell r="D1256" t="str">
            <v>Oxygen Gas</v>
          </cell>
        </row>
        <row r="1257">
          <cell r="D1257" t="str">
            <v>Acetylene Gas</v>
          </cell>
        </row>
        <row r="1258">
          <cell r="D1258" t="str">
            <v>Bench</v>
          </cell>
        </row>
        <row r="1259">
          <cell r="D1259" t="str">
            <v>Plywood Board</v>
          </cell>
        </row>
        <row r="1260">
          <cell r="D1260" t="str">
            <v>Plywood Board</v>
          </cell>
        </row>
        <row r="1261">
          <cell r="D1261" t="str">
            <v>SIGNAGES</v>
          </cell>
        </row>
        <row r="1262">
          <cell r="D1262" t="str">
            <v>Plate Marker</v>
          </cell>
        </row>
        <row r="1263">
          <cell r="D1263" t="str">
            <v>Marker Pedestal</v>
          </cell>
        </row>
        <row r="1264">
          <cell r="D1264" t="str">
            <v>Stainless Steel Plaque</v>
          </cell>
        </row>
        <row r="1265">
          <cell r="D1265" t="str">
            <v>Stainless Steel Plaque w/ Concrete Pedestal</v>
          </cell>
        </row>
        <row r="1266">
          <cell r="D1266" t="str">
            <v>Wooden Type Project Information Signboard</v>
          </cell>
        </row>
        <row r="1267">
          <cell r="D1267" t="str">
            <v>Steel Type Project Information Signboard</v>
          </cell>
        </row>
        <row r="1268">
          <cell r="D1268" t="str">
            <v>Steel Type Project Information Signboard (Tarpaulin w/ Plywood Backing)</v>
          </cell>
        </row>
        <row r="1269">
          <cell r="D1269" t="str">
            <v>Signage</v>
          </cell>
        </row>
        <row r="1270">
          <cell r="D1270" t="str">
            <v>Plate Marker w/ Pedestal</v>
          </cell>
        </row>
        <row r="1271">
          <cell r="D1271" t="str">
            <v>Plate Marker w/ Pedestal</v>
          </cell>
        </row>
        <row r="1273">
          <cell r="D1273" t="str">
            <v>PERMITS &amp; LICENSES</v>
          </cell>
        </row>
        <row r="1274">
          <cell r="D1274" t="str">
            <v>Warehouse</v>
          </cell>
        </row>
        <row r="1275">
          <cell r="D1275" t="str">
            <v>Solar Dryer</v>
          </cell>
        </row>
        <row r="1276">
          <cell r="D1276" t="str">
            <v>Community Center 1</v>
          </cell>
        </row>
        <row r="1277">
          <cell r="D1277" t="str">
            <v>Community Center 1</v>
          </cell>
        </row>
        <row r="1278">
          <cell r="D1278" t="str">
            <v>SAFETY</v>
          </cell>
        </row>
        <row r="1279">
          <cell r="D1279" t="str">
            <v>Hard Hats</v>
          </cell>
        </row>
        <row r="1280">
          <cell r="D1280" t="str">
            <v>First Aid Kit</v>
          </cell>
        </row>
        <row r="1281">
          <cell r="D1281" t="str">
            <v>Traffic Barricade Type "D"</v>
          </cell>
        </row>
        <row r="1282">
          <cell r="D1282" t="str">
            <v>Traffic Barricade Type "D"</v>
          </cell>
        </row>
        <row r="1283">
          <cell r="D1283" t="str">
            <v>( LIQUIFIED AND PRESSURE GASES )</v>
          </cell>
        </row>
        <row r="1284">
          <cell r="D1284" t="str">
            <v>Oxygen Gas</v>
          </cell>
        </row>
        <row r="1285">
          <cell r="D1285" t="str">
            <v>Acetylene Gas</v>
          </cell>
        </row>
        <row r="1286">
          <cell r="D1286" t="str">
            <v>Acetylene Gas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A"/>
      <sheetName val="list B"/>
      <sheetName val="NEW SOURCE"/>
      <sheetName val="Source"/>
      <sheetName val="Sheet2"/>
      <sheetName val="FRONT PAGE"/>
      <sheetName val="2ND PAGE"/>
      <sheetName val="Sheet4"/>
      <sheetName val="103"/>
      <sheetName val="401"/>
      <sheetName val="404(a)"/>
      <sheetName val="404(b)"/>
      <sheetName val="405(1)"/>
      <sheetName val="405(2)"/>
      <sheetName val="400(5)"/>
      <sheetName val="400(16)"/>
      <sheetName val="400(15)"/>
      <sheetName val="406"/>
      <sheetName val="412"/>
      <sheetName val="410"/>
      <sheetName val="411"/>
      <sheetName val="100"/>
      <sheetName val="101(3)"/>
      <sheetName val="103(1)"/>
      <sheetName val="104(1)r"/>
      <sheetName val="104(2)"/>
      <sheetName val="105(1)"/>
      <sheetName val="200"/>
      <sheetName val="301"/>
      <sheetName val="310"/>
      <sheetName val="311(1)"/>
      <sheetName val="311(2)"/>
      <sheetName val="505"/>
      <sheetName val="612(1)"/>
      <sheetName val="612(2)"/>
      <sheetName val="603(3)a"/>
      <sheetName val="Sheet3"/>
      <sheetName val="101"/>
      <sheetName val="103(1) FC"/>
      <sheetName val="404"/>
      <sheetName val="405"/>
      <sheetName val="507"/>
      <sheetName val="1"/>
      <sheetName val="509"/>
      <sheetName val="safety 2"/>
      <sheetName val="safety"/>
      <sheetName val="tma rd"/>
      <sheetName val="TRAFFIC"/>
      <sheetName val="tma FC"/>
      <sheetName val="temfacil 6 x 8"/>
      <sheetName val="temfacil 6x 6"/>
      <sheetName val="BILLBOARD2"/>
      <sheetName val="BB"/>
      <sheetName val="vehicle b"/>
      <sheetName val="veh comp"/>
      <sheetName val="VEHICLE A"/>
      <sheetName val="TMA 1"/>
      <sheetName val="TMA"/>
      <sheetName val="bare month equip"/>
      <sheetName val="SUMMARY 2"/>
      <sheetName val="railing sidewalk rebars qty"/>
      <sheetName val="Sheet1"/>
      <sheetName val="mob"/>
      <sheetName val="Materials"/>
    </sheetNames>
    <sheetDataSet>
      <sheetData sheetId="0" refreshError="1"/>
      <sheetData sheetId="1" refreshError="1"/>
      <sheetData sheetId="2" refreshError="1"/>
      <sheetData sheetId="3">
        <row r="13">
          <cell r="B13">
            <v>14</v>
          </cell>
        </row>
        <row r="68">
          <cell r="J68">
            <v>16483.5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SHEET"/>
      <sheetName val="ACTIVITY"/>
      <sheetName val="new ucdb"/>
      <sheetName val="G-195 "/>
      <sheetName val="G-185"/>
      <sheetName val="1-gang switch"/>
      <sheetName val="2-gang switch"/>
      <sheetName val="3-gang switch"/>
      <sheetName val="2-gang outlet"/>
      <sheetName val="No12 TW Wire"/>
      <sheetName val="No14 TW Wire"/>
      <sheetName val="6-Breaker Panel Box"/>
      <sheetName val="ucdb"/>
      <sheetName val="Sheet2"/>
      <sheetName val="Materials"/>
      <sheetName val="S.W.A Apr.01-15"/>
      <sheetName val="Labor"/>
      <sheetName val="Equipment"/>
      <sheetName val="FRONT"/>
      <sheetName val="AS STAKED QUANTITY SHEET"/>
      <sheetName val="EQUIPMENT (2)"/>
      <sheetName val="Materials (2)"/>
      <sheetName val="cover sample"/>
      <sheetName val="FRONT Orig."/>
      <sheetName val="summary of materials"/>
      <sheetName val="Cover Page"/>
      <sheetName val="Front Admin"/>
      <sheetName val="SPL-1"/>
      <sheetName val="B.7"/>
      <sheetName val="103(6)"/>
      <sheetName val="103(6) Comp "/>
      <sheetName val="311(1) orig."/>
      <sheetName val="101(3)a2"/>
      <sheetName val="B-101(3)a2"/>
      <sheetName val="105(1)"/>
      <sheetName val="B-105(1)"/>
      <sheetName val="200"/>
      <sheetName val="B-200"/>
      <sheetName val="311(1)"/>
      <sheetName val="B-311(1)"/>
      <sheetName val="628(3)"/>
      <sheetName val="B-628(3)"/>
      <sheetName val="Manpowr&amp;Duration"/>
      <sheetName val="500(1)b"/>
      <sheetName val="B-500(1)b"/>
      <sheetName val="QS"/>
      <sheetName val="frontpage contract"/>
      <sheetName val="ABC"/>
      <sheetName val="101(3)"/>
      <sheetName val="104(2)"/>
      <sheetName val="603(3a)"/>
      <sheetName val="603(3b)"/>
      <sheetName val="SPL1"/>
      <sheetName val="SPL2"/>
      <sheetName val="SPL3"/>
      <sheetName val="Back up RCPC"/>
      <sheetName val="Time Motion"/>
      <sheetName val="Time motion - Boulders"/>
      <sheetName val="B-103(1)"/>
      <sheetName val="B-103(3)"/>
      <sheetName val="B-103(6)"/>
      <sheetName val="B-104(2)"/>
      <sheetName val="B-311"/>
      <sheetName val="B-404 (HW)"/>
      <sheetName val="QS (2)"/>
      <sheetName val="Bar Cutting 1200"/>
      <sheetName val="B-404(CHB Canal)"/>
      <sheetName val="B-404 (Slab)"/>
      <sheetName val="Bar Cutting 1800"/>
      <sheetName val="B-405(HW)"/>
      <sheetName val="B-405(CHB Canal)"/>
      <sheetName val="B-603(3)"/>
      <sheetName val="SPL(Headwall)"/>
      <sheetName val="SPL (CHB Canal)"/>
      <sheetName val="BARCHART"/>
      <sheetName val="Processed Mat'l"/>
      <sheetName val="Manpower"/>
      <sheetName val="Project List"/>
      <sheetName val="AutoList"/>
    </sheetNames>
    <sheetDataSet>
      <sheetData sheetId="0" refreshError="1"/>
      <sheetData sheetId="1" refreshError="1"/>
      <sheetData sheetId="2" refreshError="1">
        <row r="2">
          <cell r="C2" t="str">
            <v>matcode</v>
          </cell>
          <cell r="D2" t="str">
            <v>matdesc</v>
          </cell>
          <cell r="E2" t="str">
            <v>matunit</v>
          </cell>
          <cell r="F2" t="str">
            <v>mattype</v>
          </cell>
          <cell r="G2" t="str">
            <v>weightm</v>
          </cell>
          <cell r="H2" t="str">
            <v>volumem</v>
          </cell>
          <cell r="I2" t="str">
            <v>Dipolog</v>
          </cell>
          <cell r="J2" t="str">
            <v>Iligan</v>
          </cell>
          <cell r="K2" t="str">
            <v>Sulu</v>
          </cell>
          <cell r="L2" t="str">
            <v>Davao</v>
          </cell>
          <cell r="M2" t="str">
            <v>GenSan</v>
          </cell>
          <cell r="N2" t="str">
            <v>Cotabato</v>
          </cell>
          <cell r="O2" t="str">
            <v>Pagadian</v>
          </cell>
          <cell r="P2" t="str">
            <v>Zambo</v>
          </cell>
          <cell r="Q2" t="str">
            <v>Basilan</v>
          </cell>
          <cell r="R2" t="str">
            <v>Palawan</v>
          </cell>
          <cell r="S2" t="str">
            <v>Tawi</v>
          </cell>
        </row>
        <row r="4">
          <cell r="C4" t="str">
            <v>0001</v>
          </cell>
          <cell r="D4" t="str">
            <v>Sand</v>
          </cell>
          <cell r="E4" t="str">
            <v>cu.m.</v>
          </cell>
          <cell r="F4" t="str">
            <v>Material</v>
          </cell>
          <cell r="G4">
            <v>0</v>
          </cell>
          <cell r="H4">
            <v>0</v>
          </cell>
          <cell r="I4">
            <v>400</v>
          </cell>
          <cell r="J4">
            <v>400</v>
          </cell>
          <cell r="K4">
            <v>400</v>
          </cell>
          <cell r="L4">
            <v>400</v>
          </cell>
          <cell r="M4">
            <v>400</v>
          </cell>
          <cell r="N4">
            <v>400</v>
          </cell>
          <cell r="O4">
            <v>400</v>
          </cell>
          <cell r="P4">
            <v>400</v>
          </cell>
          <cell r="Q4">
            <v>400</v>
          </cell>
          <cell r="R4">
            <v>400</v>
          </cell>
          <cell r="S4">
            <v>400</v>
          </cell>
        </row>
        <row r="5">
          <cell r="C5" t="str">
            <v>0002</v>
          </cell>
          <cell r="D5" t="str">
            <v>Gravel</v>
          </cell>
          <cell r="E5" t="str">
            <v>cu.m.</v>
          </cell>
          <cell r="F5" t="str">
            <v>Material</v>
          </cell>
          <cell r="G5">
            <v>0</v>
          </cell>
          <cell r="H5">
            <v>0</v>
          </cell>
          <cell r="I5">
            <v>400</v>
          </cell>
          <cell r="J5">
            <v>400</v>
          </cell>
          <cell r="K5">
            <v>400</v>
          </cell>
          <cell r="L5">
            <v>400</v>
          </cell>
          <cell r="M5">
            <v>400</v>
          </cell>
          <cell r="N5">
            <v>400</v>
          </cell>
          <cell r="O5">
            <v>400</v>
          </cell>
          <cell r="P5">
            <v>400</v>
          </cell>
          <cell r="Q5">
            <v>400</v>
          </cell>
          <cell r="R5">
            <v>400</v>
          </cell>
          <cell r="S5">
            <v>400</v>
          </cell>
        </row>
        <row r="6">
          <cell r="C6" t="str">
            <v>0003</v>
          </cell>
          <cell r="D6" t="str">
            <v>Boulders (20-30 cm dia.)</v>
          </cell>
          <cell r="E6" t="str">
            <v>cu.m.</v>
          </cell>
          <cell r="F6" t="str">
            <v>Material</v>
          </cell>
          <cell r="G6">
            <v>0</v>
          </cell>
          <cell r="H6">
            <v>0</v>
          </cell>
          <cell r="I6">
            <v>400</v>
          </cell>
          <cell r="J6">
            <v>400</v>
          </cell>
          <cell r="K6">
            <v>400</v>
          </cell>
          <cell r="L6">
            <v>400</v>
          </cell>
          <cell r="M6">
            <v>400</v>
          </cell>
          <cell r="N6">
            <v>400</v>
          </cell>
          <cell r="O6">
            <v>400</v>
          </cell>
          <cell r="P6">
            <v>400</v>
          </cell>
          <cell r="Q6">
            <v>400</v>
          </cell>
          <cell r="R6">
            <v>400</v>
          </cell>
          <cell r="S6">
            <v>400</v>
          </cell>
        </row>
        <row r="7">
          <cell r="C7" t="str">
            <v>0004</v>
          </cell>
          <cell r="D7" t="str">
            <v>Filling Materials</v>
          </cell>
          <cell r="E7" t="str">
            <v>cu.m.</v>
          </cell>
          <cell r="F7" t="str">
            <v>Material</v>
          </cell>
          <cell r="G7">
            <v>0</v>
          </cell>
          <cell r="H7">
            <v>0</v>
          </cell>
          <cell r="I7">
            <v>80</v>
          </cell>
          <cell r="J7">
            <v>80</v>
          </cell>
          <cell r="K7">
            <v>80</v>
          </cell>
          <cell r="L7">
            <v>80</v>
          </cell>
          <cell r="M7">
            <v>80</v>
          </cell>
          <cell r="N7">
            <v>80</v>
          </cell>
          <cell r="O7">
            <v>80</v>
          </cell>
          <cell r="P7">
            <v>80</v>
          </cell>
          <cell r="Q7">
            <v>80</v>
          </cell>
          <cell r="R7">
            <v>80</v>
          </cell>
          <cell r="S7">
            <v>80</v>
          </cell>
        </row>
        <row r="8">
          <cell r="C8" t="str">
            <v>0005</v>
          </cell>
          <cell r="D8" t="str">
            <v>Gravel Surfacing</v>
          </cell>
          <cell r="E8" t="str">
            <v>cu.m.</v>
          </cell>
          <cell r="F8" t="str">
            <v>Material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C9" t="str">
            <v>0006</v>
          </cell>
          <cell r="D9" t="str">
            <v>Selected Borrow</v>
          </cell>
          <cell r="E9" t="str">
            <v>cu.m.</v>
          </cell>
          <cell r="F9" t="str">
            <v>Material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C10" t="str">
            <v>0010</v>
          </cell>
          <cell r="D10" t="str">
            <v>Crushed Stone</v>
          </cell>
          <cell r="E10" t="str">
            <v>cu.m.</v>
          </cell>
          <cell r="F10" t="str">
            <v>Material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D11" t="str">
            <v/>
          </cell>
        </row>
        <row r="12">
          <cell r="C12" t="str">
            <v>0500</v>
          </cell>
          <cell r="D12" t="str">
            <v>Water</v>
          </cell>
          <cell r="E12" t="str">
            <v>cu.m.</v>
          </cell>
          <cell r="F12" t="str">
            <v>Material</v>
          </cell>
          <cell r="G12">
            <v>0</v>
          </cell>
          <cell r="H12">
            <v>1</v>
          </cell>
          <cell r="I12">
            <v>5.72</v>
          </cell>
          <cell r="J12">
            <v>5.72</v>
          </cell>
          <cell r="K12">
            <v>5.72</v>
          </cell>
          <cell r="L12">
            <v>5.72</v>
          </cell>
          <cell r="M12">
            <v>5.72</v>
          </cell>
          <cell r="N12">
            <v>5.72</v>
          </cell>
          <cell r="O12">
            <v>5.72</v>
          </cell>
          <cell r="P12">
            <v>5.72</v>
          </cell>
          <cell r="Q12">
            <v>5.72</v>
          </cell>
          <cell r="R12">
            <v>5.72</v>
          </cell>
          <cell r="S12">
            <v>5.72</v>
          </cell>
        </row>
        <row r="13">
          <cell r="C13" t="str">
            <v>0510</v>
          </cell>
          <cell r="D13" t="str">
            <v>Water</v>
          </cell>
          <cell r="E13" t="str">
            <v>cu.m.</v>
          </cell>
          <cell r="F13" t="str">
            <v>Material</v>
          </cell>
          <cell r="G13">
            <v>0</v>
          </cell>
          <cell r="H13">
            <v>0</v>
          </cell>
          <cell r="I13">
            <v>3</v>
          </cell>
          <cell r="J13">
            <v>3</v>
          </cell>
          <cell r="K13">
            <v>3</v>
          </cell>
          <cell r="L13">
            <v>3</v>
          </cell>
          <cell r="M13">
            <v>3</v>
          </cell>
          <cell r="N13">
            <v>3</v>
          </cell>
          <cell r="O13">
            <v>3</v>
          </cell>
          <cell r="P13">
            <v>3</v>
          </cell>
          <cell r="Q13">
            <v>3</v>
          </cell>
          <cell r="R13">
            <v>3</v>
          </cell>
          <cell r="S13">
            <v>3</v>
          </cell>
        </row>
        <row r="14">
          <cell r="D14" t="str">
            <v/>
          </cell>
        </row>
        <row r="15">
          <cell r="C15" t="str">
            <v>1000</v>
          </cell>
          <cell r="D15" t="str">
            <v>Portland Cement 40kg</v>
          </cell>
          <cell r="E15" t="str">
            <v>Kg</v>
          </cell>
          <cell r="F15" t="str">
            <v>Material</v>
          </cell>
          <cell r="G15">
            <v>1</v>
          </cell>
          <cell r="H15">
            <v>0</v>
          </cell>
          <cell r="I15">
            <v>2.5499999999999998</v>
          </cell>
          <cell r="J15">
            <v>2.4500000000000002</v>
          </cell>
          <cell r="K15">
            <v>2.9</v>
          </cell>
          <cell r="L15">
            <v>2.5499999999999998</v>
          </cell>
          <cell r="M15">
            <v>2.63</v>
          </cell>
          <cell r="N15">
            <v>2.75</v>
          </cell>
          <cell r="O15">
            <v>2.75</v>
          </cell>
          <cell r="P15">
            <v>2.68</v>
          </cell>
          <cell r="Q15">
            <v>2.68</v>
          </cell>
          <cell r="R15">
            <v>2.75</v>
          </cell>
          <cell r="S15">
            <v>3.15</v>
          </cell>
        </row>
        <row r="16">
          <cell r="C16" t="str">
            <v>1002</v>
          </cell>
          <cell r="D16" t="str">
            <v>Pozzoland Cement 40 kg</v>
          </cell>
          <cell r="E16" t="str">
            <v>Kg</v>
          </cell>
          <cell r="F16" t="str">
            <v>Material</v>
          </cell>
          <cell r="G16">
            <v>1</v>
          </cell>
          <cell r="H16">
            <v>0</v>
          </cell>
          <cell r="I16">
            <v>2.48</v>
          </cell>
          <cell r="J16">
            <v>2.4</v>
          </cell>
          <cell r="K16">
            <v>2.85</v>
          </cell>
          <cell r="L16">
            <v>2.5</v>
          </cell>
          <cell r="M16">
            <v>2.5499999999999998</v>
          </cell>
          <cell r="N16">
            <v>2.63</v>
          </cell>
          <cell r="O16">
            <v>2.5</v>
          </cell>
          <cell r="P16">
            <v>2.6</v>
          </cell>
          <cell r="Q16">
            <v>2.6</v>
          </cell>
          <cell r="R16">
            <v>2.63</v>
          </cell>
          <cell r="S16">
            <v>3.1</v>
          </cell>
        </row>
        <row r="17">
          <cell r="C17" t="str">
            <v>1003</v>
          </cell>
          <cell r="D17" t="str">
            <v>Red cement</v>
          </cell>
          <cell r="E17" t="str">
            <v>Kg</v>
          </cell>
          <cell r="F17" t="str">
            <v>Material</v>
          </cell>
          <cell r="G17">
            <v>1</v>
          </cell>
          <cell r="H17">
            <v>0</v>
          </cell>
          <cell r="I17">
            <v>18</v>
          </cell>
          <cell r="J17">
            <v>18</v>
          </cell>
          <cell r="K17">
            <v>20</v>
          </cell>
          <cell r="L17">
            <v>18</v>
          </cell>
          <cell r="M17">
            <v>18</v>
          </cell>
          <cell r="N17">
            <v>20</v>
          </cell>
          <cell r="O17">
            <v>18</v>
          </cell>
          <cell r="P17">
            <v>18</v>
          </cell>
          <cell r="Q17">
            <v>18</v>
          </cell>
          <cell r="R17">
            <v>20</v>
          </cell>
          <cell r="S17">
            <v>22</v>
          </cell>
        </row>
        <row r="18">
          <cell r="C18" t="str">
            <v>1004</v>
          </cell>
          <cell r="D18" t="str">
            <v>White Cement</v>
          </cell>
          <cell r="E18" t="str">
            <v>Kg</v>
          </cell>
          <cell r="F18" t="str">
            <v>Material</v>
          </cell>
          <cell r="G18">
            <v>1</v>
          </cell>
          <cell r="H18">
            <v>0</v>
          </cell>
          <cell r="I18">
            <v>20</v>
          </cell>
          <cell r="J18">
            <v>18</v>
          </cell>
          <cell r="K18">
            <v>18</v>
          </cell>
          <cell r="L18">
            <v>18</v>
          </cell>
          <cell r="M18">
            <v>18</v>
          </cell>
          <cell r="N18">
            <v>20</v>
          </cell>
          <cell r="O18">
            <v>18</v>
          </cell>
          <cell r="P18">
            <v>18</v>
          </cell>
          <cell r="Q18">
            <v>18</v>
          </cell>
          <cell r="R18">
            <v>20</v>
          </cell>
          <cell r="S18">
            <v>18</v>
          </cell>
        </row>
        <row r="19">
          <cell r="C19" t="str">
            <v>1005</v>
          </cell>
          <cell r="D19" t="str">
            <v>Water Sealant Cement</v>
          </cell>
          <cell r="E19" t="str">
            <v>Kg</v>
          </cell>
          <cell r="F19" t="str">
            <v>Material</v>
          </cell>
          <cell r="G19">
            <v>1</v>
          </cell>
          <cell r="H19">
            <v>0</v>
          </cell>
          <cell r="I19">
            <v>20</v>
          </cell>
          <cell r="J19">
            <v>18</v>
          </cell>
          <cell r="K19">
            <v>20</v>
          </cell>
          <cell r="L19">
            <v>20</v>
          </cell>
          <cell r="M19">
            <v>20</v>
          </cell>
          <cell r="N19">
            <v>20</v>
          </cell>
          <cell r="O19">
            <v>18</v>
          </cell>
          <cell r="P19">
            <v>20</v>
          </cell>
          <cell r="Q19">
            <v>20</v>
          </cell>
          <cell r="R19">
            <v>20</v>
          </cell>
          <cell r="S19">
            <v>20</v>
          </cell>
        </row>
        <row r="20">
          <cell r="C20" t="str">
            <v>1006</v>
          </cell>
          <cell r="D20" t="str">
            <v>Bentonite</v>
          </cell>
          <cell r="E20" t="str">
            <v>Kg</v>
          </cell>
          <cell r="F20" t="str">
            <v>Material</v>
          </cell>
          <cell r="G20">
            <v>1</v>
          </cell>
          <cell r="H20">
            <v>0</v>
          </cell>
          <cell r="I20">
            <v>18</v>
          </cell>
          <cell r="J20">
            <v>17.600000000000001</v>
          </cell>
          <cell r="K20">
            <v>18</v>
          </cell>
          <cell r="L20">
            <v>17.600000000000001</v>
          </cell>
          <cell r="M20">
            <v>17.600000000000001</v>
          </cell>
          <cell r="N20">
            <v>18</v>
          </cell>
          <cell r="O20">
            <v>17.600000000000001</v>
          </cell>
          <cell r="P20">
            <v>17.600000000000001</v>
          </cell>
          <cell r="Q20">
            <v>17.600000000000001</v>
          </cell>
          <cell r="R20">
            <v>17.600000000000001</v>
          </cell>
          <cell r="S20">
            <v>17.600000000000001</v>
          </cell>
        </row>
        <row r="22">
          <cell r="C22" t="str">
            <v>1051</v>
          </cell>
          <cell r="D22" t="str">
            <v>100mm, Concrete Hollow Block</v>
          </cell>
          <cell r="E22" t="str">
            <v>pc</v>
          </cell>
          <cell r="F22" t="str">
            <v>Material</v>
          </cell>
          <cell r="G22">
            <v>0</v>
          </cell>
          <cell r="H22">
            <v>8.0000000000000002E-3</v>
          </cell>
          <cell r="I22">
            <v>7.5</v>
          </cell>
          <cell r="J22">
            <v>7</v>
          </cell>
          <cell r="K22">
            <v>7.5</v>
          </cell>
          <cell r="L22">
            <v>7.5</v>
          </cell>
          <cell r="M22">
            <v>7.8</v>
          </cell>
          <cell r="N22">
            <v>8</v>
          </cell>
          <cell r="O22">
            <v>7</v>
          </cell>
          <cell r="P22">
            <v>7</v>
          </cell>
          <cell r="Q22">
            <v>7</v>
          </cell>
          <cell r="R22">
            <v>8</v>
          </cell>
          <cell r="S22">
            <v>8.5</v>
          </cell>
        </row>
        <row r="23">
          <cell r="C23" t="str">
            <v>1052</v>
          </cell>
          <cell r="D23" t="str">
            <v>150mm, Concrete Hollow Block</v>
          </cell>
          <cell r="E23" t="str">
            <v>pc</v>
          </cell>
          <cell r="F23" t="str">
            <v>Material</v>
          </cell>
          <cell r="G23">
            <v>0</v>
          </cell>
          <cell r="H23">
            <v>1.2E-2</v>
          </cell>
          <cell r="I23">
            <v>10</v>
          </cell>
          <cell r="J23">
            <v>9.5</v>
          </cell>
          <cell r="K23">
            <v>10.5</v>
          </cell>
          <cell r="L23">
            <v>10.5</v>
          </cell>
          <cell r="M23">
            <v>10.8</v>
          </cell>
          <cell r="N23">
            <v>9.5</v>
          </cell>
          <cell r="O23">
            <v>9.5</v>
          </cell>
          <cell r="P23">
            <v>9.8000000000000007</v>
          </cell>
          <cell r="Q23">
            <v>9.8000000000000007</v>
          </cell>
          <cell r="R23">
            <v>9.5</v>
          </cell>
          <cell r="S23">
            <v>11.5</v>
          </cell>
        </row>
        <row r="24">
          <cell r="C24" t="str">
            <v>1062</v>
          </cell>
          <cell r="D24" t="str">
            <v>450mm, Reinforced Concrete Pipe Culvert</v>
          </cell>
          <cell r="E24" t="str">
            <v>pc</v>
          </cell>
          <cell r="F24" t="str">
            <v>Material</v>
          </cell>
          <cell r="G24">
            <v>0</v>
          </cell>
          <cell r="H24">
            <v>3.1E-2</v>
          </cell>
          <cell r="I24">
            <v>220</v>
          </cell>
          <cell r="J24">
            <v>250</v>
          </cell>
          <cell r="K24">
            <v>300</v>
          </cell>
          <cell r="L24">
            <v>180</v>
          </cell>
          <cell r="M24">
            <v>200</v>
          </cell>
          <cell r="N24">
            <v>300</v>
          </cell>
          <cell r="O24">
            <v>300</v>
          </cell>
          <cell r="P24">
            <v>250</v>
          </cell>
          <cell r="Q24">
            <v>250</v>
          </cell>
          <cell r="R24">
            <v>300</v>
          </cell>
          <cell r="S24">
            <v>350</v>
          </cell>
        </row>
        <row r="25">
          <cell r="C25" t="str">
            <v>1063</v>
          </cell>
          <cell r="D25" t="str">
            <v>610mm, Reinforced Concrete Pipe Culvert</v>
          </cell>
          <cell r="E25" t="str">
            <v>pc</v>
          </cell>
          <cell r="F25" t="str">
            <v>Material</v>
          </cell>
          <cell r="G25">
            <v>0</v>
          </cell>
          <cell r="H25">
            <v>3.5999999999999997E-2</v>
          </cell>
          <cell r="I25">
            <v>320</v>
          </cell>
          <cell r="J25">
            <v>300</v>
          </cell>
          <cell r="K25">
            <v>400</v>
          </cell>
          <cell r="L25">
            <v>350</v>
          </cell>
          <cell r="M25">
            <v>380</v>
          </cell>
          <cell r="N25">
            <v>350</v>
          </cell>
          <cell r="O25">
            <v>460</v>
          </cell>
          <cell r="P25">
            <v>380</v>
          </cell>
          <cell r="Q25">
            <v>380</v>
          </cell>
          <cell r="R25">
            <v>350</v>
          </cell>
          <cell r="S25">
            <v>520</v>
          </cell>
        </row>
        <row r="26">
          <cell r="C26" t="str">
            <v>1064</v>
          </cell>
          <cell r="D26" t="str">
            <v>760mm, Reinforced Concrete Pipe Culvert</v>
          </cell>
          <cell r="E26" t="str">
            <v>pc</v>
          </cell>
          <cell r="F26" t="str">
            <v>Material</v>
          </cell>
          <cell r="G26">
            <v>0</v>
          </cell>
          <cell r="H26">
            <v>0.16600000000000001</v>
          </cell>
          <cell r="I26">
            <v>550</v>
          </cell>
          <cell r="J26">
            <v>500</v>
          </cell>
          <cell r="K26">
            <v>600</v>
          </cell>
          <cell r="L26">
            <v>480</v>
          </cell>
          <cell r="M26">
            <v>550</v>
          </cell>
          <cell r="N26">
            <v>450</v>
          </cell>
          <cell r="O26">
            <v>650</v>
          </cell>
          <cell r="P26">
            <v>580</v>
          </cell>
          <cell r="Q26">
            <v>580</v>
          </cell>
          <cell r="R26">
            <v>450</v>
          </cell>
          <cell r="S26">
            <v>725</v>
          </cell>
        </row>
        <row r="27">
          <cell r="C27" t="str">
            <v>1065</v>
          </cell>
          <cell r="D27" t="str">
            <v>910mm, Reinforced Concrete Pipe Culvert</v>
          </cell>
          <cell r="E27" t="str">
            <v>pc</v>
          </cell>
          <cell r="F27" t="str">
            <v>Material</v>
          </cell>
          <cell r="G27">
            <v>0</v>
          </cell>
          <cell r="H27">
            <v>0.29199999999999998</v>
          </cell>
          <cell r="I27">
            <v>700</v>
          </cell>
          <cell r="J27">
            <v>600</v>
          </cell>
          <cell r="K27">
            <v>800</v>
          </cell>
          <cell r="L27">
            <v>550</v>
          </cell>
          <cell r="M27">
            <v>350</v>
          </cell>
          <cell r="N27">
            <v>700</v>
          </cell>
          <cell r="O27">
            <v>750</v>
          </cell>
          <cell r="P27">
            <v>750</v>
          </cell>
          <cell r="Q27">
            <v>750</v>
          </cell>
          <cell r="R27">
            <v>700</v>
          </cell>
          <cell r="S27">
            <v>815</v>
          </cell>
        </row>
        <row r="28">
          <cell r="C28" t="str">
            <v>1066</v>
          </cell>
          <cell r="D28" t="str">
            <v>1220mm, Reinforced Concrete Pipe Culvert</v>
          </cell>
          <cell r="E28" t="str">
            <v>pc</v>
          </cell>
          <cell r="F28" t="str">
            <v>Material</v>
          </cell>
          <cell r="G28">
            <v>0</v>
          </cell>
          <cell r="H28">
            <v>0.65</v>
          </cell>
          <cell r="I28">
            <v>1400</v>
          </cell>
          <cell r="J28">
            <v>1200</v>
          </cell>
          <cell r="K28">
            <v>1450</v>
          </cell>
          <cell r="L28">
            <v>1500</v>
          </cell>
          <cell r="M28">
            <v>1500</v>
          </cell>
          <cell r="N28">
            <v>1500</v>
          </cell>
          <cell r="O28">
            <v>1400</v>
          </cell>
          <cell r="P28">
            <v>1400</v>
          </cell>
          <cell r="Q28">
            <v>1400</v>
          </cell>
          <cell r="R28">
            <v>1500</v>
          </cell>
          <cell r="S28">
            <v>1455</v>
          </cell>
        </row>
        <row r="29">
          <cell r="C29" t="str">
            <v>1080</v>
          </cell>
          <cell r="D29" t="str">
            <v>3"dia.  Conc. Baluster, 18"</v>
          </cell>
          <cell r="E29" t="str">
            <v>pc</v>
          </cell>
          <cell r="F29" t="str">
            <v>Material</v>
          </cell>
          <cell r="G29">
            <v>0</v>
          </cell>
          <cell r="H29">
            <v>5.0000000000000001E-3</v>
          </cell>
          <cell r="I29">
            <v>50</v>
          </cell>
          <cell r="J29">
            <v>680</v>
          </cell>
          <cell r="K29">
            <v>50</v>
          </cell>
          <cell r="L29">
            <v>15</v>
          </cell>
          <cell r="M29">
            <v>16</v>
          </cell>
          <cell r="N29">
            <v>50</v>
          </cell>
          <cell r="O29">
            <v>680</v>
          </cell>
          <cell r="P29">
            <v>48</v>
          </cell>
          <cell r="Q29">
            <v>48</v>
          </cell>
          <cell r="R29">
            <v>15</v>
          </cell>
          <cell r="S29">
            <v>48</v>
          </cell>
        </row>
        <row r="31">
          <cell r="C31" t="str">
            <v>1500</v>
          </cell>
          <cell r="D31" t="str">
            <v>Yacal</v>
          </cell>
          <cell r="E31" t="str">
            <v>Bd-ft</v>
          </cell>
          <cell r="F31" t="str">
            <v>Material</v>
          </cell>
          <cell r="G31">
            <v>0</v>
          </cell>
          <cell r="H31">
            <v>2E-3</v>
          </cell>
          <cell r="I31">
            <v>38</v>
          </cell>
          <cell r="J31">
            <v>38</v>
          </cell>
          <cell r="K31">
            <v>40</v>
          </cell>
          <cell r="L31">
            <v>38</v>
          </cell>
          <cell r="M31">
            <v>38</v>
          </cell>
          <cell r="N31">
            <v>38</v>
          </cell>
          <cell r="O31">
            <v>38</v>
          </cell>
          <cell r="P31">
            <v>40</v>
          </cell>
          <cell r="Q31">
            <v>40</v>
          </cell>
          <cell r="R31">
            <v>38</v>
          </cell>
          <cell r="S31">
            <v>35</v>
          </cell>
        </row>
        <row r="32">
          <cell r="C32" t="str">
            <v>1505</v>
          </cell>
          <cell r="D32" t="str">
            <v>Guijo</v>
          </cell>
          <cell r="E32" t="str">
            <v>Bd-ft</v>
          </cell>
          <cell r="F32" t="str">
            <v>Material</v>
          </cell>
          <cell r="G32">
            <v>0</v>
          </cell>
          <cell r="H32">
            <v>2E-3</v>
          </cell>
          <cell r="I32">
            <v>38</v>
          </cell>
          <cell r="J32">
            <v>38</v>
          </cell>
          <cell r="K32">
            <v>40</v>
          </cell>
          <cell r="L32">
            <v>38</v>
          </cell>
          <cell r="M32">
            <v>38</v>
          </cell>
          <cell r="N32">
            <v>38</v>
          </cell>
          <cell r="O32">
            <v>38</v>
          </cell>
          <cell r="P32">
            <v>40</v>
          </cell>
          <cell r="Q32">
            <v>40</v>
          </cell>
          <cell r="R32">
            <v>38</v>
          </cell>
          <cell r="S32">
            <v>35</v>
          </cell>
        </row>
        <row r="33">
          <cell r="C33" t="str">
            <v>1510</v>
          </cell>
          <cell r="D33" t="str">
            <v>Apitong</v>
          </cell>
          <cell r="E33" t="str">
            <v>Bd-ft</v>
          </cell>
          <cell r="F33" t="str">
            <v>Material</v>
          </cell>
          <cell r="G33">
            <v>0</v>
          </cell>
          <cell r="H33">
            <v>2E-3</v>
          </cell>
          <cell r="I33">
            <v>38</v>
          </cell>
          <cell r="J33">
            <v>38</v>
          </cell>
          <cell r="K33">
            <v>40</v>
          </cell>
          <cell r="L33">
            <v>38</v>
          </cell>
          <cell r="M33">
            <v>38</v>
          </cell>
          <cell r="N33">
            <v>38</v>
          </cell>
          <cell r="O33">
            <v>38</v>
          </cell>
          <cell r="P33">
            <v>40</v>
          </cell>
          <cell r="Q33">
            <v>40</v>
          </cell>
          <cell r="R33">
            <v>38</v>
          </cell>
          <cell r="S33">
            <v>35</v>
          </cell>
        </row>
        <row r="34">
          <cell r="C34" t="str">
            <v>1515</v>
          </cell>
          <cell r="D34" t="str">
            <v>Lauan</v>
          </cell>
          <cell r="E34" t="str">
            <v>Bd-ft</v>
          </cell>
          <cell r="F34" t="str">
            <v>Material</v>
          </cell>
          <cell r="G34">
            <v>0</v>
          </cell>
          <cell r="H34">
            <v>2E-3</v>
          </cell>
          <cell r="I34">
            <v>25</v>
          </cell>
          <cell r="J34">
            <v>25</v>
          </cell>
          <cell r="K34">
            <v>25</v>
          </cell>
          <cell r="L34">
            <v>25</v>
          </cell>
          <cell r="M34">
            <v>25</v>
          </cell>
          <cell r="N34">
            <v>25</v>
          </cell>
          <cell r="O34">
            <v>25</v>
          </cell>
          <cell r="P34">
            <v>25</v>
          </cell>
          <cell r="Q34">
            <v>25</v>
          </cell>
          <cell r="R34">
            <v>25</v>
          </cell>
          <cell r="S34">
            <v>25</v>
          </cell>
        </row>
        <row r="35">
          <cell r="C35" t="str">
            <v>1520</v>
          </cell>
          <cell r="D35" t="str">
            <v>Coco Lumber</v>
          </cell>
          <cell r="E35" t="str">
            <v>Bd-ft</v>
          </cell>
          <cell r="F35" t="str">
            <v>Material</v>
          </cell>
          <cell r="G35">
            <v>0</v>
          </cell>
          <cell r="H35">
            <v>2E-3</v>
          </cell>
          <cell r="I35">
            <v>9</v>
          </cell>
          <cell r="J35">
            <v>8</v>
          </cell>
          <cell r="K35">
            <v>8</v>
          </cell>
          <cell r="L35">
            <v>9</v>
          </cell>
          <cell r="M35">
            <v>9.5</v>
          </cell>
          <cell r="N35">
            <v>10</v>
          </cell>
          <cell r="O35">
            <v>8</v>
          </cell>
          <cell r="P35">
            <v>9</v>
          </cell>
          <cell r="Q35">
            <v>9</v>
          </cell>
          <cell r="R35">
            <v>10</v>
          </cell>
          <cell r="S35">
            <v>8</v>
          </cell>
        </row>
        <row r="36">
          <cell r="C36" t="str">
            <v>1525</v>
          </cell>
          <cell r="D36" t="str">
            <v>Tambulian</v>
          </cell>
          <cell r="E36" t="str">
            <v>Bd-ft</v>
          </cell>
          <cell r="F36" t="str">
            <v>Material</v>
          </cell>
          <cell r="G36">
            <v>0</v>
          </cell>
          <cell r="H36">
            <v>2E-3</v>
          </cell>
          <cell r="I36">
            <v>22</v>
          </cell>
          <cell r="J36">
            <v>22</v>
          </cell>
          <cell r="K36">
            <v>22</v>
          </cell>
          <cell r="L36">
            <v>22</v>
          </cell>
          <cell r="M36">
            <v>22</v>
          </cell>
          <cell r="N36">
            <v>22</v>
          </cell>
          <cell r="O36">
            <v>22</v>
          </cell>
          <cell r="P36">
            <v>22</v>
          </cell>
          <cell r="Q36">
            <v>22</v>
          </cell>
          <cell r="R36">
            <v>22</v>
          </cell>
          <cell r="S36">
            <v>22</v>
          </cell>
        </row>
        <row r="38">
          <cell r="C38" t="str">
            <v>1600</v>
          </cell>
          <cell r="D38" t="str">
            <v>Mouldings</v>
          </cell>
          <cell r="E38" t="str">
            <v>lin.ft.</v>
          </cell>
          <cell r="F38" t="str">
            <v>Material</v>
          </cell>
          <cell r="G38">
            <v>0</v>
          </cell>
          <cell r="H38">
            <v>0</v>
          </cell>
          <cell r="I38">
            <v>5</v>
          </cell>
          <cell r="J38">
            <v>5</v>
          </cell>
          <cell r="K38">
            <v>5</v>
          </cell>
          <cell r="L38">
            <v>5</v>
          </cell>
          <cell r="M38">
            <v>5</v>
          </cell>
          <cell r="N38">
            <v>5</v>
          </cell>
          <cell r="O38">
            <v>5</v>
          </cell>
          <cell r="P38">
            <v>5</v>
          </cell>
          <cell r="Q38">
            <v>5</v>
          </cell>
          <cell r="R38">
            <v>5</v>
          </cell>
          <cell r="S38">
            <v>5</v>
          </cell>
        </row>
        <row r="39">
          <cell r="C39" t="str">
            <v>1601</v>
          </cell>
          <cell r="D39" t="str">
            <v>0.70 x 1.00 fixed Louvers</v>
          </cell>
          <cell r="E39" t="str">
            <v>Set</v>
          </cell>
          <cell r="F39" t="str">
            <v>Material</v>
          </cell>
          <cell r="G39">
            <v>0</v>
          </cell>
          <cell r="H39">
            <v>2E-3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C40" t="str">
            <v>1602</v>
          </cell>
          <cell r="D40" t="str">
            <v>Wall Boards, T&amp;G, stone-cut, etc.</v>
          </cell>
          <cell r="E40" t="str">
            <v>Bd-Ft</v>
          </cell>
          <cell r="F40" t="str">
            <v>Material</v>
          </cell>
          <cell r="G40">
            <v>0</v>
          </cell>
          <cell r="H40">
            <v>2E-3</v>
          </cell>
          <cell r="I40">
            <v>40</v>
          </cell>
          <cell r="J40">
            <v>40</v>
          </cell>
          <cell r="K40">
            <v>40</v>
          </cell>
          <cell r="L40">
            <v>40</v>
          </cell>
          <cell r="M40">
            <v>40</v>
          </cell>
          <cell r="N40">
            <v>40</v>
          </cell>
          <cell r="O40">
            <v>40</v>
          </cell>
          <cell r="P40">
            <v>40</v>
          </cell>
          <cell r="Q40">
            <v>40</v>
          </cell>
          <cell r="R40">
            <v>40</v>
          </cell>
          <cell r="S40">
            <v>40</v>
          </cell>
        </row>
        <row r="41">
          <cell r="C41" t="str">
            <v>1610</v>
          </cell>
          <cell r="D41" t="str">
            <v>¼"thk, Ordinary Plywood</v>
          </cell>
          <cell r="E41" t="str">
            <v>sq.m.</v>
          </cell>
          <cell r="F41" t="str">
            <v>Material</v>
          </cell>
          <cell r="G41">
            <v>0</v>
          </cell>
          <cell r="H41">
            <v>6.0000000000000001E-3</v>
          </cell>
          <cell r="I41">
            <v>93.75</v>
          </cell>
          <cell r="J41">
            <v>90.3</v>
          </cell>
          <cell r="K41">
            <v>92</v>
          </cell>
          <cell r="L41">
            <v>81.599999999999994</v>
          </cell>
          <cell r="M41">
            <v>83.33</v>
          </cell>
          <cell r="N41">
            <v>93.75</v>
          </cell>
          <cell r="O41">
            <v>90.3</v>
          </cell>
          <cell r="P41">
            <v>90.3</v>
          </cell>
          <cell r="Q41">
            <v>90.3</v>
          </cell>
          <cell r="R41">
            <v>93.75</v>
          </cell>
          <cell r="S41">
            <v>80.540000000000006</v>
          </cell>
        </row>
        <row r="42">
          <cell r="C42" t="str">
            <v>1611</v>
          </cell>
          <cell r="D42" t="str">
            <v>3/8", Ordinary Plywood</v>
          </cell>
          <cell r="E42" t="str">
            <v>sq.m.</v>
          </cell>
          <cell r="F42" t="str">
            <v>Material</v>
          </cell>
          <cell r="G42">
            <v>0</v>
          </cell>
          <cell r="H42">
            <v>8.9999999999999993E-3</v>
          </cell>
          <cell r="I42">
            <v>105.21</v>
          </cell>
          <cell r="J42">
            <v>105</v>
          </cell>
          <cell r="K42">
            <v>110</v>
          </cell>
          <cell r="L42">
            <v>90.3</v>
          </cell>
          <cell r="M42">
            <v>93.75</v>
          </cell>
          <cell r="N42">
            <v>111.11</v>
          </cell>
          <cell r="O42">
            <v>105</v>
          </cell>
          <cell r="P42">
            <v>108</v>
          </cell>
          <cell r="Q42">
            <v>108</v>
          </cell>
          <cell r="R42">
            <v>111.11</v>
          </cell>
          <cell r="S42">
            <v>90</v>
          </cell>
        </row>
        <row r="43">
          <cell r="C43" t="str">
            <v>1612</v>
          </cell>
          <cell r="D43" t="str">
            <v>½", Ordinary Plywood</v>
          </cell>
          <cell r="E43" t="str">
            <v>sq.m.</v>
          </cell>
          <cell r="F43" t="str">
            <v>Material</v>
          </cell>
          <cell r="G43">
            <v>0</v>
          </cell>
          <cell r="H43">
            <v>1.2E-2</v>
          </cell>
          <cell r="I43">
            <v>180</v>
          </cell>
          <cell r="J43">
            <v>180</v>
          </cell>
          <cell r="K43">
            <v>193</v>
          </cell>
          <cell r="L43">
            <v>166.7</v>
          </cell>
          <cell r="M43">
            <v>171.88</v>
          </cell>
          <cell r="N43">
            <v>180.6</v>
          </cell>
          <cell r="O43">
            <v>182</v>
          </cell>
          <cell r="P43">
            <v>180</v>
          </cell>
          <cell r="Q43">
            <v>180</v>
          </cell>
          <cell r="R43">
            <v>180.6</v>
          </cell>
          <cell r="S43">
            <v>203.75</v>
          </cell>
        </row>
        <row r="44">
          <cell r="C44" t="str">
            <v>1613</v>
          </cell>
          <cell r="D44" t="str">
            <v>3/4" Ordinary Plywood</v>
          </cell>
          <cell r="E44" t="str">
            <v>sq.m.</v>
          </cell>
          <cell r="F44" t="str">
            <v>Material</v>
          </cell>
          <cell r="G44">
            <v>0</v>
          </cell>
          <cell r="H44">
            <v>1.7999999999999999E-2</v>
          </cell>
          <cell r="I44">
            <v>310</v>
          </cell>
          <cell r="J44">
            <v>260</v>
          </cell>
          <cell r="K44">
            <v>272</v>
          </cell>
          <cell r="L44">
            <v>204.9</v>
          </cell>
          <cell r="M44">
            <v>208.33</v>
          </cell>
          <cell r="N44">
            <v>260.45</v>
          </cell>
          <cell r="O44">
            <v>262</v>
          </cell>
          <cell r="P44">
            <v>260</v>
          </cell>
          <cell r="Q44">
            <v>260</v>
          </cell>
          <cell r="R44">
            <v>260.45</v>
          </cell>
          <cell r="S44">
            <v>275</v>
          </cell>
        </row>
        <row r="45">
          <cell r="C45" t="str">
            <v>1620</v>
          </cell>
          <cell r="D45" t="str">
            <v>¼", Marine Plywood</v>
          </cell>
          <cell r="E45" t="str">
            <v>sq.m.</v>
          </cell>
          <cell r="F45" t="str">
            <v>Material</v>
          </cell>
          <cell r="G45">
            <v>0</v>
          </cell>
          <cell r="H45">
            <v>6.0000000000000001E-3</v>
          </cell>
          <cell r="I45">
            <v>115</v>
          </cell>
          <cell r="J45">
            <v>115</v>
          </cell>
          <cell r="K45">
            <v>130</v>
          </cell>
          <cell r="L45">
            <v>98.95</v>
          </cell>
          <cell r="M45">
            <v>100</v>
          </cell>
          <cell r="N45">
            <v>114.58</v>
          </cell>
          <cell r="O45">
            <v>115</v>
          </cell>
          <cell r="P45">
            <v>110</v>
          </cell>
          <cell r="Q45">
            <v>110</v>
          </cell>
          <cell r="R45">
            <v>114.58</v>
          </cell>
          <cell r="S45">
            <v>130</v>
          </cell>
        </row>
        <row r="46">
          <cell r="C46" t="str">
            <v>1621</v>
          </cell>
          <cell r="D46" t="str">
            <v>½", Marine Plywood</v>
          </cell>
          <cell r="E46" t="str">
            <v>sq.m.</v>
          </cell>
          <cell r="F46" t="str">
            <v>Material</v>
          </cell>
          <cell r="G46">
            <v>0</v>
          </cell>
          <cell r="H46">
            <v>1.2E-2</v>
          </cell>
          <cell r="I46">
            <v>205</v>
          </cell>
          <cell r="J46">
            <v>200</v>
          </cell>
          <cell r="K46">
            <v>205</v>
          </cell>
          <cell r="L46">
            <v>208.3</v>
          </cell>
          <cell r="M46">
            <v>208.33</v>
          </cell>
          <cell r="N46">
            <v>206.6</v>
          </cell>
          <cell r="O46">
            <v>200</v>
          </cell>
          <cell r="P46">
            <v>204</v>
          </cell>
          <cell r="Q46">
            <v>204</v>
          </cell>
          <cell r="R46">
            <v>206.6</v>
          </cell>
          <cell r="S46">
            <v>195</v>
          </cell>
        </row>
        <row r="47">
          <cell r="C47" t="str">
            <v>1630</v>
          </cell>
          <cell r="D47" t="str">
            <v>3/8", Form Plywood</v>
          </cell>
          <cell r="E47" t="str">
            <v>sq.m.</v>
          </cell>
          <cell r="F47" t="str">
            <v>Material</v>
          </cell>
          <cell r="G47">
            <v>0</v>
          </cell>
          <cell r="H47">
            <v>8.9999999999999993E-3</v>
          </cell>
          <cell r="I47">
            <v>200</v>
          </cell>
          <cell r="J47">
            <v>200</v>
          </cell>
          <cell r="K47">
            <v>200</v>
          </cell>
          <cell r="L47">
            <v>200</v>
          </cell>
          <cell r="M47">
            <v>200</v>
          </cell>
          <cell r="N47">
            <v>200</v>
          </cell>
          <cell r="O47">
            <v>200</v>
          </cell>
          <cell r="P47">
            <v>200</v>
          </cell>
          <cell r="Q47">
            <v>200</v>
          </cell>
          <cell r="R47">
            <v>200</v>
          </cell>
          <cell r="S47">
            <v>205</v>
          </cell>
        </row>
        <row r="49">
          <cell r="C49" t="str">
            <v>2000</v>
          </cell>
          <cell r="D49" t="str">
            <v>Deformed bars</v>
          </cell>
          <cell r="E49" t="str">
            <v>Kg</v>
          </cell>
          <cell r="F49" t="str">
            <v>Material</v>
          </cell>
          <cell r="G49">
            <v>1</v>
          </cell>
          <cell r="H49">
            <v>0</v>
          </cell>
          <cell r="I49">
            <v>17</v>
          </cell>
          <cell r="J49">
            <v>16</v>
          </cell>
          <cell r="K49">
            <v>18</v>
          </cell>
          <cell r="L49">
            <v>16.2</v>
          </cell>
          <cell r="M49">
            <v>17</v>
          </cell>
          <cell r="N49">
            <v>17</v>
          </cell>
          <cell r="O49">
            <v>18</v>
          </cell>
          <cell r="P49">
            <v>16</v>
          </cell>
          <cell r="Q49">
            <v>16</v>
          </cell>
          <cell r="R49">
            <v>17</v>
          </cell>
          <cell r="S49">
            <v>18</v>
          </cell>
        </row>
        <row r="50">
          <cell r="C50" t="str">
            <v>2001</v>
          </cell>
          <cell r="D50" t="str">
            <v>Round Bars</v>
          </cell>
          <cell r="E50" t="str">
            <v>Kg</v>
          </cell>
          <cell r="F50" t="str">
            <v>Material</v>
          </cell>
          <cell r="G50">
            <v>1</v>
          </cell>
          <cell r="H50">
            <v>0</v>
          </cell>
          <cell r="I50">
            <v>17</v>
          </cell>
          <cell r="J50">
            <v>16</v>
          </cell>
          <cell r="K50">
            <v>18</v>
          </cell>
          <cell r="L50">
            <v>16.2</v>
          </cell>
          <cell r="M50">
            <v>17</v>
          </cell>
          <cell r="N50">
            <v>17</v>
          </cell>
          <cell r="O50">
            <v>18</v>
          </cell>
          <cell r="P50">
            <v>16</v>
          </cell>
          <cell r="Q50">
            <v>16</v>
          </cell>
          <cell r="R50">
            <v>17</v>
          </cell>
          <cell r="S50">
            <v>17.75</v>
          </cell>
        </row>
        <row r="52">
          <cell r="C52" t="str">
            <v>2050</v>
          </cell>
          <cell r="D52" t="str">
            <v>Structural Steel, ASTM A36</v>
          </cell>
          <cell r="E52" t="str">
            <v>Kg</v>
          </cell>
          <cell r="F52" t="str">
            <v>Material</v>
          </cell>
          <cell r="G52">
            <v>1</v>
          </cell>
          <cell r="H52">
            <v>0</v>
          </cell>
          <cell r="I52">
            <v>20.5</v>
          </cell>
          <cell r="J52">
            <v>16</v>
          </cell>
          <cell r="K52">
            <v>20</v>
          </cell>
          <cell r="L52">
            <v>18.5</v>
          </cell>
          <cell r="M52">
            <v>18.5</v>
          </cell>
          <cell r="N52">
            <v>17</v>
          </cell>
          <cell r="O52">
            <v>16</v>
          </cell>
          <cell r="P52">
            <v>16</v>
          </cell>
          <cell r="Q52">
            <v>16</v>
          </cell>
          <cell r="R52">
            <v>17</v>
          </cell>
          <cell r="S52">
            <v>22.8</v>
          </cell>
        </row>
        <row r="53">
          <cell r="C53" t="str">
            <v>2052</v>
          </cell>
          <cell r="D53" t="str">
            <v>Steel Channel, 4 x 7.25</v>
          </cell>
          <cell r="E53" t="str">
            <v>Kg</v>
          </cell>
          <cell r="F53" t="str">
            <v>Material</v>
          </cell>
          <cell r="G53">
            <v>1</v>
          </cell>
          <cell r="H53">
            <v>0</v>
          </cell>
          <cell r="I53">
            <v>20.420000000000002</v>
          </cell>
          <cell r="J53">
            <v>20.420000000000002</v>
          </cell>
          <cell r="K53">
            <v>20.420000000000002</v>
          </cell>
          <cell r="L53">
            <v>20.420000000000002</v>
          </cell>
          <cell r="M53">
            <v>20.420000000000002</v>
          </cell>
          <cell r="N53">
            <v>20.420000000000002</v>
          </cell>
          <cell r="O53">
            <v>20.420000000000002</v>
          </cell>
          <cell r="P53">
            <v>20.420000000000002</v>
          </cell>
          <cell r="Q53">
            <v>20.420000000000002</v>
          </cell>
          <cell r="R53">
            <v>20.420000000000002</v>
          </cell>
          <cell r="S53">
            <v>20.420000000000002</v>
          </cell>
        </row>
        <row r="54">
          <cell r="C54" t="str">
            <v>2054</v>
          </cell>
          <cell r="D54" t="str">
            <v>Steel Channel, 6 x 13</v>
          </cell>
          <cell r="E54" t="str">
            <v>Kg</v>
          </cell>
          <cell r="F54" t="str">
            <v>Material</v>
          </cell>
          <cell r="G54">
            <v>1</v>
          </cell>
          <cell r="H54">
            <v>0</v>
          </cell>
          <cell r="I54">
            <v>18.559999999999999</v>
          </cell>
          <cell r="J54">
            <v>18.559999999999999</v>
          </cell>
          <cell r="K54">
            <v>18.559999999999999</v>
          </cell>
          <cell r="L54">
            <v>18.559999999999999</v>
          </cell>
          <cell r="M54">
            <v>18.559999999999999</v>
          </cell>
          <cell r="N54">
            <v>18.559999999999999</v>
          </cell>
          <cell r="O54">
            <v>18.559999999999999</v>
          </cell>
          <cell r="P54">
            <v>18.559999999999999</v>
          </cell>
          <cell r="Q54">
            <v>18.559999999999999</v>
          </cell>
          <cell r="R54">
            <v>18.559999999999999</v>
          </cell>
          <cell r="S54">
            <v>18.559999999999999</v>
          </cell>
        </row>
        <row r="56">
          <cell r="C56" t="str">
            <v>2200</v>
          </cell>
          <cell r="D56" t="str">
            <v>6mm,  IWRC (6 x  25)</v>
          </cell>
          <cell r="E56" t="str">
            <v>lnm.</v>
          </cell>
          <cell r="F56" t="str">
            <v>Material</v>
          </cell>
          <cell r="G56">
            <v>0.17299999999999999</v>
          </cell>
          <cell r="H56">
            <v>0</v>
          </cell>
          <cell r="I56">
            <v>418</v>
          </cell>
          <cell r="J56">
            <v>418</v>
          </cell>
          <cell r="K56">
            <v>418</v>
          </cell>
          <cell r="L56">
            <v>418</v>
          </cell>
          <cell r="M56">
            <v>418</v>
          </cell>
          <cell r="N56">
            <v>418</v>
          </cell>
          <cell r="O56">
            <v>418</v>
          </cell>
          <cell r="P56">
            <v>418</v>
          </cell>
          <cell r="Q56">
            <v>418</v>
          </cell>
          <cell r="R56">
            <v>418</v>
          </cell>
          <cell r="S56">
            <v>418</v>
          </cell>
        </row>
        <row r="57">
          <cell r="C57" t="str">
            <v>2201</v>
          </cell>
          <cell r="D57" t="str">
            <v>8mm,  IWRC (6 x  25)</v>
          </cell>
          <cell r="E57" t="str">
            <v>lnm.</v>
          </cell>
          <cell r="F57" t="str">
            <v>Material</v>
          </cell>
          <cell r="G57">
            <v>0.26900000000000002</v>
          </cell>
          <cell r="H57">
            <v>0</v>
          </cell>
          <cell r="I57">
            <v>21.59</v>
          </cell>
          <cell r="J57">
            <v>21.59</v>
          </cell>
          <cell r="K57">
            <v>21.59</v>
          </cell>
          <cell r="L57">
            <v>21.59</v>
          </cell>
          <cell r="M57">
            <v>21.59</v>
          </cell>
          <cell r="N57">
            <v>21.59</v>
          </cell>
          <cell r="O57">
            <v>21.59</v>
          </cell>
          <cell r="P57">
            <v>21.59</v>
          </cell>
          <cell r="Q57">
            <v>21.59</v>
          </cell>
          <cell r="R57">
            <v>21.59</v>
          </cell>
          <cell r="S57">
            <v>21.59</v>
          </cell>
        </row>
        <row r="58">
          <cell r="C58" t="str">
            <v>2202</v>
          </cell>
          <cell r="D58" t="str">
            <v>10mm,  IWRC (6 x  25)</v>
          </cell>
          <cell r="E58" t="str">
            <v>lnm.</v>
          </cell>
          <cell r="F58" t="str">
            <v>Material</v>
          </cell>
          <cell r="G58">
            <v>0.38700000000000001</v>
          </cell>
          <cell r="H58">
            <v>0</v>
          </cell>
          <cell r="I58">
            <v>31.1</v>
          </cell>
          <cell r="J58">
            <v>31.1</v>
          </cell>
          <cell r="K58">
            <v>31.1</v>
          </cell>
          <cell r="L58">
            <v>31.1</v>
          </cell>
          <cell r="M58">
            <v>31.1</v>
          </cell>
          <cell r="N58">
            <v>31.1</v>
          </cell>
          <cell r="O58">
            <v>31.1</v>
          </cell>
          <cell r="P58">
            <v>31.1</v>
          </cell>
          <cell r="Q58">
            <v>31.1</v>
          </cell>
          <cell r="R58">
            <v>31.1</v>
          </cell>
          <cell r="S58">
            <v>31.1</v>
          </cell>
        </row>
        <row r="59">
          <cell r="C59" t="str">
            <v>2003</v>
          </cell>
          <cell r="D59" t="str">
            <v>11mm,  IWRC (6 x  25)</v>
          </cell>
          <cell r="E59" t="str">
            <v>lnm.</v>
          </cell>
          <cell r="F59" t="str">
            <v>Material</v>
          </cell>
          <cell r="G59">
            <v>0.52100000000000002</v>
          </cell>
          <cell r="H59">
            <v>0</v>
          </cell>
          <cell r="I59">
            <v>41.81</v>
          </cell>
          <cell r="J59">
            <v>41.81</v>
          </cell>
          <cell r="K59">
            <v>41.81</v>
          </cell>
          <cell r="L59">
            <v>41.81</v>
          </cell>
          <cell r="M59">
            <v>41.81</v>
          </cell>
          <cell r="N59">
            <v>41.81</v>
          </cell>
          <cell r="O59">
            <v>41.81</v>
          </cell>
          <cell r="P59">
            <v>41.81</v>
          </cell>
          <cell r="Q59">
            <v>41.81</v>
          </cell>
          <cell r="R59">
            <v>41.81</v>
          </cell>
          <cell r="S59">
            <v>41.81</v>
          </cell>
        </row>
        <row r="60">
          <cell r="C60" t="str">
            <v>2004</v>
          </cell>
          <cell r="D60" t="str">
            <v>13mm,  IWRC (6 x  25)</v>
          </cell>
          <cell r="E60" t="str">
            <v>lnm.</v>
          </cell>
          <cell r="F60" t="str">
            <v>Material</v>
          </cell>
          <cell r="G60">
            <v>0.68500000000000005</v>
          </cell>
          <cell r="H60">
            <v>0</v>
          </cell>
          <cell r="I60">
            <v>54.97</v>
          </cell>
          <cell r="J60">
            <v>54.97</v>
          </cell>
          <cell r="K60">
            <v>54.97</v>
          </cell>
          <cell r="L60">
            <v>54.97</v>
          </cell>
          <cell r="M60">
            <v>54.97</v>
          </cell>
          <cell r="N60">
            <v>54.97</v>
          </cell>
          <cell r="O60">
            <v>54.97</v>
          </cell>
          <cell r="P60">
            <v>54.97</v>
          </cell>
          <cell r="Q60">
            <v>54.97</v>
          </cell>
          <cell r="R60">
            <v>54.97</v>
          </cell>
          <cell r="S60">
            <v>54.97</v>
          </cell>
        </row>
        <row r="61">
          <cell r="C61" t="str">
            <v>2005</v>
          </cell>
          <cell r="D61" t="str">
            <v>14mm,  IWRC (6 x  25)</v>
          </cell>
          <cell r="E61" t="str">
            <v>lnm.</v>
          </cell>
          <cell r="F61" t="str">
            <v>Material</v>
          </cell>
          <cell r="G61">
            <v>0.878</v>
          </cell>
          <cell r="H61">
            <v>0</v>
          </cell>
          <cell r="I61">
            <v>70.459999999999994</v>
          </cell>
          <cell r="J61">
            <v>70.459999999999994</v>
          </cell>
          <cell r="K61">
            <v>70.459999999999994</v>
          </cell>
          <cell r="L61">
            <v>70.459999999999994</v>
          </cell>
          <cell r="M61">
            <v>70.459999999999994</v>
          </cell>
          <cell r="N61">
            <v>70.459999999999994</v>
          </cell>
          <cell r="O61">
            <v>70.459999999999994</v>
          </cell>
          <cell r="P61">
            <v>70.459999999999994</v>
          </cell>
          <cell r="Q61">
            <v>70.459999999999994</v>
          </cell>
          <cell r="R61">
            <v>70.459999999999994</v>
          </cell>
          <cell r="S61">
            <v>70.459999999999994</v>
          </cell>
        </row>
        <row r="62">
          <cell r="C62" t="str">
            <v>2006</v>
          </cell>
          <cell r="D62" t="str">
            <v>16mm,  IWRC (6 x  25)</v>
          </cell>
          <cell r="E62" t="str">
            <v>lnm.</v>
          </cell>
          <cell r="F62" t="str">
            <v>Material</v>
          </cell>
          <cell r="G62">
            <v>1.071</v>
          </cell>
          <cell r="H62">
            <v>0</v>
          </cell>
          <cell r="I62">
            <v>85.95</v>
          </cell>
          <cell r="J62">
            <v>85.95</v>
          </cell>
          <cell r="K62">
            <v>85.95</v>
          </cell>
          <cell r="L62">
            <v>85.95</v>
          </cell>
          <cell r="M62">
            <v>85.95</v>
          </cell>
          <cell r="N62">
            <v>85.95</v>
          </cell>
          <cell r="O62">
            <v>85.95</v>
          </cell>
          <cell r="P62">
            <v>85.95</v>
          </cell>
          <cell r="Q62">
            <v>85.95</v>
          </cell>
          <cell r="R62">
            <v>85.95</v>
          </cell>
          <cell r="S62">
            <v>85.95</v>
          </cell>
        </row>
        <row r="63">
          <cell r="C63" t="str">
            <v>2007</v>
          </cell>
          <cell r="D63" t="str">
            <v>20mm,  IWRC (6 x  25)</v>
          </cell>
          <cell r="E63" t="str">
            <v>lnm.</v>
          </cell>
          <cell r="F63" t="str">
            <v>Material</v>
          </cell>
          <cell r="G63">
            <v>1.548</v>
          </cell>
          <cell r="H63">
            <v>0</v>
          </cell>
          <cell r="I63">
            <v>124.23</v>
          </cell>
          <cell r="J63">
            <v>124.23</v>
          </cell>
          <cell r="K63">
            <v>124.23</v>
          </cell>
          <cell r="L63">
            <v>124.23</v>
          </cell>
          <cell r="M63">
            <v>124.23</v>
          </cell>
          <cell r="N63">
            <v>124.23</v>
          </cell>
          <cell r="O63">
            <v>124.23</v>
          </cell>
          <cell r="P63">
            <v>124.23</v>
          </cell>
          <cell r="Q63">
            <v>124.23</v>
          </cell>
          <cell r="R63">
            <v>124.23</v>
          </cell>
          <cell r="S63">
            <v>124.23</v>
          </cell>
        </row>
        <row r="64">
          <cell r="C64" t="str">
            <v>2008</v>
          </cell>
          <cell r="D64" t="str">
            <v>22mm,  IWRC (6 x  25)</v>
          </cell>
          <cell r="E64" t="str">
            <v>lnm.</v>
          </cell>
          <cell r="F64" t="str">
            <v>Material</v>
          </cell>
          <cell r="G64">
            <v>2.113</v>
          </cell>
          <cell r="H64">
            <v>0</v>
          </cell>
          <cell r="I64">
            <v>169.57</v>
          </cell>
          <cell r="J64">
            <v>169.57</v>
          </cell>
          <cell r="K64">
            <v>169.57</v>
          </cell>
          <cell r="L64">
            <v>169.57</v>
          </cell>
          <cell r="M64">
            <v>169.57</v>
          </cell>
          <cell r="N64">
            <v>169.57</v>
          </cell>
          <cell r="O64">
            <v>169.57</v>
          </cell>
          <cell r="P64">
            <v>169.57</v>
          </cell>
          <cell r="Q64">
            <v>169.57</v>
          </cell>
          <cell r="R64">
            <v>169.57</v>
          </cell>
          <cell r="S64">
            <v>169.57</v>
          </cell>
        </row>
        <row r="65">
          <cell r="C65" t="str">
            <v>2009</v>
          </cell>
          <cell r="D65" t="str">
            <v>25mm,  IWRC (6 x  25)</v>
          </cell>
          <cell r="E65" t="str">
            <v>lnm.</v>
          </cell>
          <cell r="F65" t="str">
            <v>Material</v>
          </cell>
          <cell r="G65">
            <v>2.7530000000000001</v>
          </cell>
          <cell r="H65">
            <v>0</v>
          </cell>
          <cell r="I65">
            <v>220.93</v>
          </cell>
          <cell r="J65">
            <v>220.93</v>
          </cell>
          <cell r="K65">
            <v>220.93</v>
          </cell>
          <cell r="L65">
            <v>220.93</v>
          </cell>
          <cell r="M65">
            <v>220.93</v>
          </cell>
          <cell r="N65">
            <v>220.93</v>
          </cell>
          <cell r="O65">
            <v>220.93</v>
          </cell>
          <cell r="P65">
            <v>220.93</v>
          </cell>
          <cell r="Q65">
            <v>220.93</v>
          </cell>
          <cell r="R65">
            <v>220.93</v>
          </cell>
          <cell r="S65">
            <v>220.93</v>
          </cell>
        </row>
        <row r="66">
          <cell r="C66" t="str">
            <v>2010</v>
          </cell>
          <cell r="D66" t="str">
            <v>29mm,  IWRC (6 x  25)</v>
          </cell>
          <cell r="E66" t="str">
            <v>lnm.</v>
          </cell>
          <cell r="F66" t="str">
            <v>Material</v>
          </cell>
          <cell r="G66">
            <v>3.4820000000000002</v>
          </cell>
          <cell r="H66">
            <v>0</v>
          </cell>
          <cell r="I66">
            <v>279.43</v>
          </cell>
          <cell r="J66">
            <v>279.43</v>
          </cell>
          <cell r="K66">
            <v>279.43</v>
          </cell>
          <cell r="L66">
            <v>279.43</v>
          </cell>
          <cell r="M66">
            <v>279.43</v>
          </cell>
          <cell r="N66">
            <v>279.43</v>
          </cell>
          <cell r="O66">
            <v>279.43</v>
          </cell>
          <cell r="P66">
            <v>279.43</v>
          </cell>
          <cell r="Q66">
            <v>279.43</v>
          </cell>
          <cell r="R66">
            <v>279.43</v>
          </cell>
          <cell r="S66">
            <v>279.43</v>
          </cell>
        </row>
        <row r="67">
          <cell r="C67" t="str">
            <v>2011</v>
          </cell>
          <cell r="D67" t="str">
            <v>32mm,  IWRC (6 x  25)</v>
          </cell>
          <cell r="E67" t="str">
            <v>lnm.</v>
          </cell>
          <cell r="F67" t="str">
            <v>Material</v>
          </cell>
          <cell r="G67">
            <v>4.3010000000000002</v>
          </cell>
          <cell r="H67">
            <v>0</v>
          </cell>
          <cell r="I67">
            <v>345.16</v>
          </cell>
          <cell r="J67">
            <v>345.16</v>
          </cell>
          <cell r="K67">
            <v>345.16</v>
          </cell>
          <cell r="L67">
            <v>345.16</v>
          </cell>
          <cell r="M67">
            <v>345.16</v>
          </cell>
          <cell r="N67">
            <v>345.16</v>
          </cell>
          <cell r="O67">
            <v>345.16</v>
          </cell>
          <cell r="P67">
            <v>345.16</v>
          </cell>
          <cell r="Q67">
            <v>345.16</v>
          </cell>
          <cell r="R67">
            <v>345.16</v>
          </cell>
          <cell r="S67">
            <v>345.16</v>
          </cell>
        </row>
        <row r="68">
          <cell r="C68" t="str">
            <v>2012</v>
          </cell>
          <cell r="D68" t="str">
            <v>35mm, ,  IWRC (6 x  25)</v>
          </cell>
          <cell r="E68" t="str">
            <v>lnm.</v>
          </cell>
          <cell r="F68" t="str">
            <v>Material</v>
          </cell>
          <cell r="G68">
            <v>5.2089999999999996</v>
          </cell>
          <cell r="H68">
            <v>0</v>
          </cell>
          <cell r="I68">
            <v>418.02</v>
          </cell>
          <cell r="J68">
            <v>418.02</v>
          </cell>
          <cell r="K68">
            <v>418.02</v>
          </cell>
          <cell r="L68">
            <v>418.02</v>
          </cell>
          <cell r="M68">
            <v>418.02</v>
          </cell>
          <cell r="N68">
            <v>418.02</v>
          </cell>
          <cell r="O68">
            <v>418.02</v>
          </cell>
          <cell r="P68">
            <v>418.02</v>
          </cell>
          <cell r="Q68">
            <v>418.02</v>
          </cell>
          <cell r="R68">
            <v>418.02</v>
          </cell>
          <cell r="S68">
            <v>418.02</v>
          </cell>
        </row>
        <row r="69">
          <cell r="C69" t="str">
            <v>2013</v>
          </cell>
          <cell r="D69" t="str">
            <v>38mm,  IWRC (6 x  25)</v>
          </cell>
          <cell r="E69" t="str">
            <v>lnm.</v>
          </cell>
          <cell r="F69" t="str">
            <v>Material</v>
          </cell>
          <cell r="G69">
            <v>6.1909999999999998</v>
          </cell>
          <cell r="H69">
            <v>0</v>
          </cell>
          <cell r="I69">
            <v>496.83</v>
          </cell>
          <cell r="J69">
            <v>496.83</v>
          </cell>
          <cell r="K69">
            <v>496.83</v>
          </cell>
          <cell r="L69">
            <v>496.83</v>
          </cell>
          <cell r="M69">
            <v>496.83</v>
          </cell>
          <cell r="N69">
            <v>496.83</v>
          </cell>
          <cell r="O69">
            <v>496.83</v>
          </cell>
          <cell r="P69">
            <v>496.83</v>
          </cell>
          <cell r="Q69">
            <v>496.83</v>
          </cell>
          <cell r="R69">
            <v>496.83</v>
          </cell>
          <cell r="S69">
            <v>496.83</v>
          </cell>
        </row>
        <row r="70">
          <cell r="C70" t="str">
            <v>2014</v>
          </cell>
          <cell r="D70" t="str">
            <v>41mm,  IWRC (6 x  25)</v>
          </cell>
          <cell r="E70" t="str">
            <v>lnm.</v>
          </cell>
          <cell r="F70" t="str">
            <v>Material</v>
          </cell>
          <cell r="G70">
            <v>7.2619999999999996</v>
          </cell>
          <cell r="H70">
            <v>0</v>
          </cell>
          <cell r="I70">
            <v>582.78</v>
          </cell>
          <cell r="J70">
            <v>582.78</v>
          </cell>
          <cell r="K70">
            <v>582.78</v>
          </cell>
          <cell r="L70">
            <v>582.78</v>
          </cell>
          <cell r="M70">
            <v>582.78</v>
          </cell>
          <cell r="N70">
            <v>582.78</v>
          </cell>
          <cell r="O70">
            <v>582.78</v>
          </cell>
          <cell r="P70">
            <v>582.78</v>
          </cell>
          <cell r="Q70">
            <v>582.78</v>
          </cell>
          <cell r="R70">
            <v>582.78</v>
          </cell>
          <cell r="S70">
            <v>582.78</v>
          </cell>
        </row>
        <row r="71">
          <cell r="C71" t="str">
            <v>2015</v>
          </cell>
          <cell r="D71" t="str">
            <v>44mm,  IWRC (6 x  25)</v>
          </cell>
          <cell r="E71" t="str">
            <v>lnm.</v>
          </cell>
          <cell r="F71" t="str">
            <v>Material</v>
          </cell>
          <cell r="G71">
            <v>8.4380000000000006</v>
          </cell>
          <cell r="H71">
            <v>0</v>
          </cell>
          <cell r="I71">
            <v>677.15</v>
          </cell>
          <cell r="J71">
            <v>677.15</v>
          </cell>
          <cell r="K71">
            <v>677.15</v>
          </cell>
          <cell r="L71">
            <v>677.15</v>
          </cell>
          <cell r="M71">
            <v>677.15</v>
          </cell>
          <cell r="N71">
            <v>677.15</v>
          </cell>
          <cell r="O71">
            <v>677.15</v>
          </cell>
          <cell r="P71">
            <v>677.15</v>
          </cell>
          <cell r="Q71">
            <v>677.15</v>
          </cell>
          <cell r="R71">
            <v>677.15</v>
          </cell>
          <cell r="S71">
            <v>677.15</v>
          </cell>
        </row>
        <row r="72">
          <cell r="C72" t="str">
            <v>2016</v>
          </cell>
          <cell r="D72" t="str">
            <v>48mm,  IWRC (6 x  25)</v>
          </cell>
          <cell r="E72" t="str">
            <v>lnm.</v>
          </cell>
          <cell r="F72" t="str">
            <v>Material</v>
          </cell>
          <cell r="G72">
            <v>9.673</v>
          </cell>
          <cell r="H72">
            <v>0</v>
          </cell>
          <cell r="I72">
            <v>776.26</v>
          </cell>
          <cell r="J72">
            <v>776.26</v>
          </cell>
          <cell r="K72">
            <v>776.26</v>
          </cell>
          <cell r="L72">
            <v>776.26</v>
          </cell>
          <cell r="M72">
            <v>776.26</v>
          </cell>
          <cell r="N72">
            <v>776.26</v>
          </cell>
          <cell r="O72">
            <v>776.26</v>
          </cell>
          <cell r="P72">
            <v>776.26</v>
          </cell>
          <cell r="Q72">
            <v>776.26</v>
          </cell>
          <cell r="R72">
            <v>776.26</v>
          </cell>
          <cell r="S72">
            <v>776.26</v>
          </cell>
        </row>
        <row r="73">
          <cell r="C73" t="str">
            <v>2017</v>
          </cell>
          <cell r="D73" t="str">
            <v>51mm,  IWRC (6 x  25)</v>
          </cell>
          <cell r="E73" t="str">
            <v>lnm.</v>
          </cell>
          <cell r="F73" t="str">
            <v>Material</v>
          </cell>
          <cell r="G73">
            <v>10.997</v>
          </cell>
          <cell r="H73">
            <v>0</v>
          </cell>
          <cell r="I73">
            <v>882.51</v>
          </cell>
          <cell r="J73">
            <v>882.51</v>
          </cell>
          <cell r="K73">
            <v>882.51</v>
          </cell>
          <cell r="L73">
            <v>882.51</v>
          </cell>
          <cell r="M73">
            <v>882.51</v>
          </cell>
          <cell r="N73">
            <v>882.51</v>
          </cell>
          <cell r="O73">
            <v>882.51</v>
          </cell>
          <cell r="P73">
            <v>882.51</v>
          </cell>
          <cell r="Q73">
            <v>882.51</v>
          </cell>
          <cell r="R73">
            <v>882.51</v>
          </cell>
          <cell r="S73">
            <v>882.51</v>
          </cell>
        </row>
        <row r="74">
          <cell r="C74" t="str">
            <v>2018</v>
          </cell>
          <cell r="D74" t="str">
            <v>54mm,  IWRC (6 x  25)</v>
          </cell>
          <cell r="E74" t="str">
            <v>lnm.</v>
          </cell>
          <cell r="F74" t="str">
            <v>Material</v>
          </cell>
          <cell r="G74">
            <v>12.426</v>
          </cell>
          <cell r="H74">
            <v>0</v>
          </cell>
          <cell r="I74">
            <v>997.19</v>
          </cell>
          <cell r="J74">
            <v>997.19</v>
          </cell>
          <cell r="K74">
            <v>997.19</v>
          </cell>
          <cell r="L74">
            <v>997.19</v>
          </cell>
          <cell r="M74">
            <v>997.19</v>
          </cell>
          <cell r="N74">
            <v>997.19</v>
          </cell>
          <cell r="O74">
            <v>997.19</v>
          </cell>
          <cell r="P74">
            <v>997.19</v>
          </cell>
          <cell r="Q74">
            <v>997.19</v>
          </cell>
          <cell r="R74">
            <v>997.19</v>
          </cell>
          <cell r="S74">
            <v>997.19</v>
          </cell>
        </row>
        <row r="75">
          <cell r="C75" t="str">
            <v>2019</v>
          </cell>
          <cell r="D75" t="str">
            <v>57mm,  IWRC (6 x  25)</v>
          </cell>
          <cell r="E75" t="str">
            <v>lnm.</v>
          </cell>
          <cell r="F75" t="str">
            <v>Material</v>
          </cell>
          <cell r="G75">
            <v>13.929</v>
          </cell>
          <cell r="H75">
            <v>0</v>
          </cell>
          <cell r="I75">
            <v>1117.8</v>
          </cell>
          <cell r="J75">
            <v>1117.8</v>
          </cell>
          <cell r="K75">
            <v>1117.8</v>
          </cell>
          <cell r="L75">
            <v>1117.8</v>
          </cell>
          <cell r="M75">
            <v>1117.8</v>
          </cell>
          <cell r="N75">
            <v>1117.8</v>
          </cell>
          <cell r="O75">
            <v>1117.8</v>
          </cell>
          <cell r="P75">
            <v>1117.8</v>
          </cell>
          <cell r="Q75">
            <v>1117.8</v>
          </cell>
          <cell r="R75">
            <v>1117.8</v>
          </cell>
          <cell r="S75">
            <v>1117.8</v>
          </cell>
        </row>
        <row r="76">
          <cell r="C76" t="str">
            <v>2030</v>
          </cell>
          <cell r="D76" t="str">
            <v>5mm, Wire Rope Fiber Core (6 x 25)</v>
          </cell>
          <cell r="E76" t="str">
            <v>lnm.</v>
          </cell>
          <cell r="F76" t="str">
            <v>Material</v>
          </cell>
          <cell r="G76">
            <v>8.7999999999999995E-2</v>
          </cell>
          <cell r="H76">
            <v>0</v>
          </cell>
          <cell r="I76">
            <v>15.68</v>
          </cell>
          <cell r="J76">
            <v>15.68</v>
          </cell>
          <cell r="K76">
            <v>15.68</v>
          </cell>
          <cell r="L76">
            <v>15.68</v>
          </cell>
          <cell r="M76">
            <v>15.68</v>
          </cell>
          <cell r="N76">
            <v>15.68</v>
          </cell>
          <cell r="O76">
            <v>15.68</v>
          </cell>
          <cell r="P76">
            <v>15.68</v>
          </cell>
          <cell r="Q76">
            <v>15.68</v>
          </cell>
          <cell r="R76">
            <v>15.68</v>
          </cell>
          <cell r="S76">
            <v>15.68</v>
          </cell>
        </row>
        <row r="77">
          <cell r="C77" t="str">
            <v>2031</v>
          </cell>
          <cell r="D77" t="str">
            <v>6mm, Wire Rope Fiber Core (6 x 25)</v>
          </cell>
          <cell r="E77" t="str">
            <v>lnm.</v>
          </cell>
          <cell r="F77" t="str">
            <v>Material</v>
          </cell>
          <cell r="G77">
            <v>0.156</v>
          </cell>
          <cell r="H77">
            <v>0</v>
          </cell>
          <cell r="I77">
            <v>27.8</v>
          </cell>
          <cell r="J77">
            <v>27.8</v>
          </cell>
          <cell r="K77">
            <v>27.8</v>
          </cell>
          <cell r="L77">
            <v>27.8</v>
          </cell>
          <cell r="M77">
            <v>27.8</v>
          </cell>
          <cell r="N77">
            <v>27.8</v>
          </cell>
          <cell r="O77">
            <v>27.8</v>
          </cell>
          <cell r="P77">
            <v>27.8</v>
          </cell>
          <cell r="Q77">
            <v>27.8</v>
          </cell>
          <cell r="R77">
            <v>27.8</v>
          </cell>
          <cell r="S77">
            <v>27.8</v>
          </cell>
        </row>
        <row r="78">
          <cell r="C78" t="str">
            <v>2032</v>
          </cell>
          <cell r="D78" t="str">
            <v>8mm, Wire Rope Fiber Core (6 x 25)</v>
          </cell>
          <cell r="E78" t="str">
            <v>lnm.</v>
          </cell>
          <cell r="F78" t="str">
            <v>Material</v>
          </cell>
          <cell r="G78">
            <v>0.24399999999999999</v>
          </cell>
          <cell r="H78">
            <v>0</v>
          </cell>
          <cell r="I78">
            <v>43.48</v>
          </cell>
          <cell r="J78">
            <v>43.48</v>
          </cell>
          <cell r="K78">
            <v>43.48</v>
          </cell>
          <cell r="L78">
            <v>43.48</v>
          </cell>
          <cell r="M78">
            <v>43.48</v>
          </cell>
          <cell r="N78">
            <v>43.48</v>
          </cell>
          <cell r="O78">
            <v>43.48</v>
          </cell>
          <cell r="P78">
            <v>43.48</v>
          </cell>
          <cell r="Q78">
            <v>43.48</v>
          </cell>
          <cell r="R78">
            <v>43.48</v>
          </cell>
          <cell r="S78">
            <v>43.48</v>
          </cell>
        </row>
        <row r="79">
          <cell r="C79" t="str">
            <v>2033</v>
          </cell>
          <cell r="D79" t="str">
            <v>10mm, Wire Rope Fiber Core (6 x 25)</v>
          </cell>
          <cell r="E79" t="str">
            <v>lnm.</v>
          </cell>
          <cell r="F79" t="str">
            <v>Material</v>
          </cell>
          <cell r="G79">
            <v>0.35099999999999998</v>
          </cell>
          <cell r="H79">
            <v>0</v>
          </cell>
          <cell r="I79">
            <v>62.55</v>
          </cell>
          <cell r="J79">
            <v>62.55</v>
          </cell>
          <cell r="K79">
            <v>62.55</v>
          </cell>
          <cell r="L79">
            <v>62.55</v>
          </cell>
          <cell r="M79">
            <v>62.55</v>
          </cell>
          <cell r="N79">
            <v>62.55</v>
          </cell>
          <cell r="O79">
            <v>62.55</v>
          </cell>
          <cell r="P79">
            <v>62.55</v>
          </cell>
          <cell r="Q79">
            <v>62.55</v>
          </cell>
          <cell r="R79">
            <v>62.55</v>
          </cell>
          <cell r="S79">
            <v>62.55</v>
          </cell>
        </row>
        <row r="80">
          <cell r="C80" t="str">
            <v>2034</v>
          </cell>
          <cell r="D80" t="str">
            <v>11mm, Wire Rope Fiber Core (6 x 25)</v>
          </cell>
          <cell r="E80" t="str">
            <v>lnm.</v>
          </cell>
          <cell r="F80" t="str">
            <v>Material</v>
          </cell>
          <cell r="G80">
            <v>0.47599999999999998</v>
          </cell>
          <cell r="H80">
            <v>0</v>
          </cell>
          <cell r="I80">
            <v>84.83</v>
          </cell>
          <cell r="J80">
            <v>84.83</v>
          </cell>
          <cell r="K80">
            <v>84.83</v>
          </cell>
          <cell r="L80">
            <v>84.83</v>
          </cell>
          <cell r="M80">
            <v>84.83</v>
          </cell>
          <cell r="N80">
            <v>84.83</v>
          </cell>
          <cell r="O80">
            <v>84.83</v>
          </cell>
          <cell r="P80">
            <v>84.83</v>
          </cell>
          <cell r="Q80">
            <v>84.83</v>
          </cell>
          <cell r="R80">
            <v>84.83</v>
          </cell>
          <cell r="S80">
            <v>84.83</v>
          </cell>
        </row>
        <row r="81">
          <cell r="C81" t="str">
            <v>2035</v>
          </cell>
          <cell r="D81" t="str">
            <v>13mm, Wire Rope Fiber Core (6 x 25)</v>
          </cell>
          <cell r="E81" t="str">
            <v>lnm.</v>
          </cell>
          <cell r="F81" t="str">
            <v>Material</v>
          </cell>
          <cell r="G81">
            <v>0.625</v>
          </cell>
          <cell r="H81">
            <v>0</v>
          </cell>
          <cell r="I81">
            <v>111.38</v>
          </cell>
          <cell r="J81">
            <v>111.38</v>
          </cell>
          <cell r="K81">
            <v>111.38</v>
          </cell>
          <cell r="L81">
            <v>111.38</v>
          </cell>
          <cell r="M81">
            <v>111.38</v>
          </cell>
          <cell r="N81">
            <v>111.38</v>
          </cell>
          <cell r="O81">
            <v>111.38</v>
          </cell>
          <cell r="P81">
            <v>111.38</v>
          </cell>
          <cell r="Q81">
            <v>111.38</v>
          </cell>
          <cell r="R81">
            <v>111.38</v>
          </cell>
          <cell r="S81">
            <v>111.38</v>
          </cell>
        </row>
        <row r="82">
          <cell r="C82" t="str">
            <v>2036</v>
          </cell>
          <cell r="D82" t="str">
            <v>14mm, Wire Rope Fiber Core (6 x 25)</v>
          </cell>
          <cell r="E82" t="str">
            <v>lnm.</v>
          </cell>
          <cell r="F82" t="str">
            <v>Material</v>
          </cell>
          <cell r="G82">
            <v>0.78900000000000003</v>
          </cell>
          <cell r="H82">
            <v>0</v>
          </cell>
          <cell r="I82">
            <v>140.61000000000001</v>
          </cell>
          <cell r="J82">
            <v>140.61000000000001</v>
          </cell>
          <cell r="K82">
            <v>140.61000000000001</v>
          </cell>
          <cell r="L82">
            <v>140.61000000000001</v>
          </cell>
          <cell r="M82">
            <v>140.61000000000001</v>
          </cell>
          <cell r="N82">
            <v>140.61000000000001</v>
          </cell>
          <cell r="O82">
            <v>140.61000000000001</v>
          </cell>
          <cell r="P82">
            <v>140.61000000000001</v>
          </cell>
          <cell r="Q82">
            <v>140.61000000000001</v>
          </cell>
          <cell r="R82">
            <v>140.61000000000001</v>
          </cell>
          <cell r="S82">
            <v>140.61000000000001</v>
          </cell>
        </row>
        <row r="83">
          <cell r="C83" t="str">
            <v>2037</v>
          </cell>
          <cell r="D83" t="str">
            <v>16mm, Wire Rope Fiber Core (6 x 25)</v>
          </cell>
          <cell r="E83" t="str">
            <v>lnm.</v>
          </cell>
          <cell r="F83" t="str">
            <v>Material</v>
          </cell>
          <cell r="G83">
            <v>0.98199999999999998</v>
          </cell>
          <cell r="H83">
            <v>0</v>
          </cell>
          <cell r="I83">
            <v>175</v>
          </cell>
          <cell r="J83">
            <v>175</v>
          </cell>
          <cell r="K83">
            <v>175</v>
          </cell>
          <cell r="L83">
            <v>175</v>
          </cell>
          <cell r="M83">
            <v>175</v>
          </cell>
          <cell r="N83">
            <v>175</v>
          </cell>
          <cell r="O83">
            <v>175</v>
          </cell>
          <cell r="P83">
            <v>175</v>
          </cell>
          <cell r="Q83">
            <v>175</v>
          </cell>
          <cell r="R83">
            <v>175</v>
          </cell>
          <cell r="S83">
            <v>175</v>
          </cell>
        </row>
        <row r="84">
          <cell r="C84" t="str">
            <v>2038</v>
          </cell>
          <cell r="D84" t="str">
            <v>20mm, Wire Rope Fiber Core (6 x 25)</v>
          </cell>
          <cell r="E84" t="str">
            <v>lnm.</v>
          </cell>
          <cell r="F84" t="str">
            <v>Material</v>
          </cell>
          <cell r="G84">
            <v>1.41</v>
          </cell>
          <cell r="H84">
            <v>0</v>
          </cell>
          <cell r="I84">
            <v>251.27</v>
          </cell>
          <cell r="J84">
            <v>251.27</v>
          </cell>
          <cell r="K84">
            <v>251.27</v>
          </cell>
          <cell r="L84">
            <v>251.27</v>
          </cell>
          <cell r="M84">
            <v>251.27291242362523</v>
          </cell>
          <cell r="N84">
            <v>251.27</v>
          </cell>
          <cell r="O84">
            <v>251.27</v>
          </cell>
          <cell r="P84">
            <v>251.27</v>
          </cell>
          <cell r="Q84">
            <v>251.27</v>
          </cell>
          <cell r="R84">
            <v>251.27</v>
          </cell>
          <cell r="S84">
            <v>251.27</v>
          </cell>
        </row>
        <row r="85">
          <cell r="C85" t="str">
            <v>2039</v>
          </cell>
          <cell r="D85" t="str">
            <v>22mm, Wire Rope Fiber Core (6 x 25)</v>
          </cell>
          <cell r="E85" t="str">
            <v>lnm.</v>
          </cell>
          <cell r="F85" t="str">
            <v>Material</v>
          </cell>
          <cell r="G85">
            <v>1.92</v>
          </cell>
          <cell r="H85">
            <v>0</v>
          </cell>
          <cell r="I85">
            <v>342.16</v>
          </cell>
          <cell r="J85">
            <v>342.16</v>
          </cell>
          <cell r="K85">
            <v>342.16</v>
          </cell>
          <cell r="L85">
            <v>342.16</v>
          </cell>
          <cell r="M85">
            <v>342.16</v>
          </cell>
          <cell r="N85">
            <v>342.16</v>
          </cell>
          <cell r="O85">
            <v>342.16</v>
          </cell>
          <cell r="P85">
            <v>342.16</v>
          </cell>
          <cell r="Q85">
            <v>342.16</v>
          </cell>
          <cell r="R85">
            <v>342.16</v>
          </cell>
          <cell r="S85">
            <v>342.16</v>
          </cell>
        </row>
        <row r="86">
          <cell r="C86">
            <v>2040</v>
          </cell>
          <cell r="D86" t="str">
            <v>25mm, Wire Rope Fiber Core (6 x 25)</v>
          </cell>
          <cell r="E86" t="str">
            <v>lnm.</v>
          </cell>
          <cell r="F86" t="str">
            <v>Material</v>
          </cell>
          <cell r="G86">
            <v>2.5</v>
          </cell>
          <cell r="H86">
            <v>0</v>
          </cell>
          <cell r="I86">
            <v>445.52</v>
          </cell>
          <cell r="J86">
            <v>445.52</v>
          </cell>
          <cell r="K86">
            <v>445.52</v>
          </cell>
          <cell r="L86">
            <v>445.52</v>
          </cell>
          <cell r="M86">
            <v>445.52</v>
          </cell>
          <cell r="N86">
            <v>445.52</v>
          </cell>
          <cell r="O86">
            <v>445.52</v>
          </cell>
          <cell r="P86">
            <v>445.52</v>
          </cell>
          <cell r="Q86">
            <v>445.52</v>
          </cell>
          <cell r="R86">
            <v>445.52</v>
          </cell>
          <cell r="S86">
            <v>445.52</v>
          </cell>
        </row>
        <row r="87">
          <cell r="C87">
            <v>2041</v>
          </cell>
          <cell r="D87" t="str">
            <v>29mm, Wire Rope Fiber Core (6 x 25)</v>
          </cell>
          <cell r="E87" t="str">
            <v>lnm.</v>
          </cell>
          <cell r="F87" t="str">
            <v>Material</v>
          </cell>
          <cell r="G87">
            <v>3.17</v>
          </cell>
          <cell r="H87">
            <v>0</v>
          </cell>
          <cell r="I87">
            <v>564.91999999999996</v>
          </cell>
          <cell r="J87">
            <v>564.91999999999996</v>
          </cell>
          <cell r="K87">
            <v>564.91999999999996</v>
          </cell>
          <cell r="L87">
            <v>564.91999999999996</v>
          </cell>
          <cell r="M87">
            <v>564.91999999999996</v>
          </cell>
          <cell r="N87">
            <v>564.91999999999996</v>
          </cell>
          <cell r="O87">
            <v>564.91999999999996</v>
          </cell>
          <cell r="P87">
            <v>564.91999999999996</v>
          </cell>
          <cell r="Q87">
            <v>564.91999999999996</v>
          </cell>
          <cell r="R87">
            <v>564.91999999999996</v>
          </cell>
          <cell r="S87">
            <v>564.91999999999996</v>
          </cell>
        </row>
        <row r="88">
          <cell r="C88">
            <v>2042</v>
          </cell>
          <cell r="D88" t="str">
            <v>32mm, Wire Rope Fiber Core (6 x 25)</v>
          </cell>
          <cell r="E88" t="str">
            <v>lnm.</v>
          </cell>
          <cell r="F88" t="str">
            <v>Material</v>
          </cell>
          <cell r="G88">
            <v>3.9140000000000001</v>
          </cell>
          <cell r="H88">
            <v>0</v>
          </cell>
          <cell r="I88">
            <v>697.51</v>
          </cell>
          <cell r="J88">
            <v>697.51</v>
          </cell>
          <cell r="K88">
            <v>697.51</v>
          </cell>
          <cell r="L88">
            <v>697.51</v>
          </cell>
          <cell r="M88">
            <v>697.51</v>
          </cell>
          <cell r="N88">
            <v>697.51</v>
          </cell>
          <cell r="O88">
            <v>697.51</v>
          </cell>
          <cell r="P88">
            <v>697.51</v>
          </cell>
          <cell r="Q88">
            <v>697.51</v>
          </cell>
          <cell r="R88">
            <v>697.51</v>
          </cell>
          <cell r="S88">
            <v>697.51</v>
          </cell>
        </row>
        <row r="89">
          <cell r="C89">
            <v>2043</v>
          </cell>
          <cell r="D89" t="str">
            <v>35mm, , Wire Rope Fiber Core (6 x 25)</v>
          </cell>
          <cell r="E89" t="str">
            <v>lnm.</v>
          </cell>
          <cell r="F89" t="str">
            <v>Material</v>
          </cell>
          <cell r="G89">
            <v>4.7320000000000002</v>
          </cell>
          <cell r="H89">
            <v>0</v>
          </cell>
          <cell r="I89">
            <v>843.28</v>
          </cell>
          <cell r="J89">
            <v>843.28</v>
          </cell>
          <cell r="K89">
            <v>843.28</v>
          </cell>
          <cell r="L89">
            <v>843.28</v>
          </cell>
          <cell r="M89">
            <v>843.28</v>
          </cell>
          <cell r="N89">
            <v>843.28</v>
          </cell>
          <cell r="O89">
            <v>843.28</v>
          </cell>
          <cell r="P89">
            <v>843.28</v>
          </cell>
          <cell r="Q89">
            <v>843.28</v>
          </cell>
          <cell r="R89">
            <v>843.28</v>
          </cell>
          <cell r="S89">
            <v>843.28</v>
          </cell>
        </row>
        <row r="90">
          <cell r="C90">
            <v>2044</v>
          </cell>
          <cell r="D90" t="str">
            <v>38mm, Wire Rope Fiber Core (6 x 25)</v>
          </cell>
          <cell r="E90" t="str">
            <v>lnm.</v>
          </cell>
          <cell r="F90" t="str">
            <v>Material</v>
          </cell>
          <cell r="G90">
            <v>5.625</v>
          </cell>
          <cell r="H90">
            <v>0</v>
          </cell>
          <cell r="I90">
            <v>1002.42</v>
          </cell>
          <cell r="J90">
            <v>1002.42</v>
          </cell>
          <cell r="K90">
            <v>1002.42</v>
          </cell>
          <cell r="L90">
            <v>1002.42</v>
          </cell>
          <cell r="M90">
            <v>1002.42</v>
          </cell>
          <cell r="N90">
            <v>1002.42</v>
          </cell>
          <cell r="O90">
            <v>1002.42</v>
          </cell>
          <cell r="P90">
            <v>1002.42</v>
          </cell>
          <cell r="Q90">
            <v>1002.42</v>
          </cell>
          <cell r="R90">
            <v>1002.42</v>
          </cell>
          <cell r="S90">
            <v>1002.42</v>
          </cell>
        </row>
        <row r="91">
          <cell r="C91">
            <v>2045</v>
          </cell>
          <cell r="D91" t="str">
            <v>41mm, Wire Rope Fiber Core (6 x 25)</v>
          </cell>
          <cell r="E91" t="str">
            <v>lnm.</v>
          </cell>
          <cell r="F91" t="str">
            <v>Material</v>
          </cell>
          <cell r="G91">
            <v>6.6070000000000002</v>
          </cell>
          <cell r="H91">
            <v>0</v>
          </cell>
          <cell r="I91">
            <v>1177.42</v>
          </cell>
          <cell r="J91">
            <v>1177.42</v>
          </cell>
          <cell r="K91">
            <v>1177.42</v>
          </cell>
          <cell r="L91">
            <v>1177.42</v>
          </cell>
          <cell r="M91">
            <v>1177.42</v>
          </cell>
          <cell r="N91">
            <v>1177.42</v>
          </cell>
          <cell r="O91">
            <v>1177.42</v>
          </cell>
          <cell r="P91">
            <v>1177.42</v>
          </cell>
          <cell r="Q91">
            <v>1177.42</v>
          </cell>
          <cell r="R91">
            <v>1177.42</v>
          </cell>
          <cell r="S91">
            <v>1177.42</v>
          </cell>
        </row>
        <row r="92">
          <cell r="C92">
            <v>2046</v>
          </cell>
          <cell r="D92" t="str">
            <v>44mm, Wire Rope Fiber Core (6 x 25)</v>
          </cell>
          <cell r="E92" t="str">
            <v>lnm.</v>
          </cell>
          <cell r="F92" t="str">
            <v>Material</v>
          </cell>
          <cell r="G92">
            <v>7.6639999999999997</v>
          </cell>
          <cell r="H92">
            <v>0</v>
          </cell>
          <cell r="I92">
            <v>1365.78</v>
          </cell>
          <cell r="J92">
            <v>1365.78</v>
          </cell>
          <cell r="K92">
            <v>1365.78</v>
          </cell>
          <cell r="L92">
            <v>1365.78</v>
          </cell>
          <cell r="M92">
            <v>1365.78</v>
          </cell>
          <cell r="N92">
            <v>1365.78</v>
          </cell>
          <cell r="O92">
            <v>1365.78</v>
          </cell>
          <cell r="P92">
            <v>1365.78</v>
          </cell>
          <cell r="Q92">
            <v>1365.78</v>
          </cell>
          <cell r="R92">
            <v>1365.78</v>
          </cell>
          <cell r="S92">
            <v>1365.78</v>
          </cell>
        </row>
        <row r="93">
          <cell r="C93">
            <v>2047</v>
          </cell>
          <cell r="D93" t="str">
            <v>48mm, Wire Rope Fiber Core (6 x 25)</v>
          </cell>
          <cell r="E93" t="str">
            <v>lnm.</v>
          </cell>
          <cell r="F93" t="str">
            <v>Material</v>
          </cell>
          <cell r="G93">
            <v>8.7949999999999999</v>
          </cell>
          <cell r="H93">
            <v>0</v>
          </cell>
          <cell r="I93">
            <v>1567.34</v>
          </cell>
          <cell r="J93">
            <v>1567.34</v>
          </cell>
          <cell r="K93">
            <v>1567.34</v>
          </cell>
          <cell r="L93">
            <v>1567.34</v>
          </cell>
          <cell r="M93">
            <v>1567.34</v>
          </cell>
          <cell r="N93">
            <v>1567.34</v>
          </cell>
          <cell r="O93">
            <v>1567.34</v>
          </cell>
          <cell r="P93">
            <v>1567.34</v>
          </cell>
          <cell r="Q93">
            <v>1567.34</v>
          </cell>
          <cell r="R93">
            <v>1567.34</v>
          </cell>
          <cell r="S93">
            <v>1567.34</v>
          </cell>
        </row>
        <row r="94">
          <cell r="C94">
            <v>2048</v>
          </cell>
          <cell r="D94" t="str">
            <v>51mm, Wire Rope Fiber Core (6 x 25)</v>
          </cell>
          <cell r="E94" t="str">
            <v>lnm.</v>
          </cell>
          <cell r="F94" t="str">
            <v>Material</v>
          </cell>
          <cell r="G94">
            <v>10</v>
          </cell>
          <cell r="H94">
            <v>0</v>
          </cell>
          <cell r="I94">
            <v>1782.08</v>
          </cell>
          <cell r="J94">
            <v>1782.08</v>
          </cell>
          <cell r="K94">
            <v>1782.08</v>
          </cell>
          <cell r="L94">
            <v>1782.08</v>
          </cell>
          <cell r="M94">
            <v>1782.08</v>
          </cell>
          <cell r="N94">
            <v>1782.08</v>
          </cell>
          <cell r="O94">
            <v>1782.08</v>
          </cell>
          <cell r="P94">
            <v>1782.08</v>
          </cell>
          <cell r="Q94">
            <v>1782.08</v>
          </cell>
          <cell r="R94">
            <v>1782.08</v>
          </cell>
          <cell r="S94">
            <v>1782.08</v>
          </cell>
        </row>
        <row r="95">
          <cell r="C95">
            <v>2049</v>
          </cell>
          <cell r="D95" t="str">
            <v>54mm, Wire Rope Fiber Core (6 x 25)</v>
          </cell>
          <cell r="E95" t="str">
            <v>lnm.</v>
          </cell>
          <cell r="F95" t="str">
            <v>Material</v>
          </cell>
          <cell r="G95">
            <v>11.295</v>
          </cell>
          <cell r="H95">
            <v>0</v>
          </cell>
          <cell r="I95">
            <v>2012.86</v>
          </cell>
          <cell r="J95">
            <v>2012.86</v>
          </cell>
          <cell r="K95">
            <v>2012.86</v>
          </cell>
          <cell r="L95">
            <v>2012.86</v>
          </cell>
          <cell r="M95">
            <v>2012.86</v>
          </cell>
          <cell r="N95">
            <v>2012.86</v>
          </cell>
          <cell r="O95">
            <v>2012.86</v>
          </cell>
          <cell r="P95">
            <v>2012.86</v>
          </cell>
          <cell r="Q95">
            <v>2012.86</v>
          </cell>
          <cell r="R95">
            <v>2012.86</v>
          </cell>
          <cell r="S95">
            <v>2012.86</v>
          </cell>
        </row>
        <row r="96">
          <cell r="C96">
            <v>2050</v>
          </cell>
          <cell r="D96" t="str">
            <v>57mm, Wire Rope Fiber Core (6 x 25)</v>
          </cell>
          <cell r="E96" t="str">
            <v>lnm.</v>
          </cell>
          <cell r="F96" t="str">
            <v>Material</v>
          </cell>
          <cell r="G96">
            <v>12.664</v>
          </cell>
          <cell r="H96">
            <v>0</v>
          </cell>
          <cell r="I96">
            <v>2256.8200000000002</v>
          </cell>
          <cell r="J96">
            <v>2256.8200000000002</v>
          </cell>
          <cell r="K96">
            <v>2256.8200000000002</v>
          </cell>
          <cell r="L96">
            <v>2256.8200000000002</v>
          </cell>
          <cell r="M96">
            <v>2256.8200000000002</v>
          </cell>
          <cell r="N96">
            <v>2256.8200000000002</v>
          </cell>
          <cell r="O96">
            <v>2256.8200000000002</v>
          </cell>
          <cell r="P96">
            <v>2256.8200000000002</v>
          </cell>
          <cell r="Q96">
            <v>2256.8200000000002</v>
          </cell>
          <cell r="R96">
            <v>2256.8200000000002</v>
          </cell>
          <cell r="S96">
            <v>2256.8200000000002</v>
          </cell>
        </row>
        <row r="97">
          <cell r="C97" t="str">
            <v>2060</v>
          </cell>
          <cell r="D97" t="str">
            <v>10mm, High Grade Steel Cable</v>
          </cell>
          <cell r="E97" t="str">
            <v>lnm.</v>
          </cell>
          <cell r="F97" t="str">
            <v>Material</v>
          </cell>
          <cell r="G97">
            <v>0</v>
          </cell>
          <cell r="H97">
            <v>0</v>
          </cell>
          <cell r="I97">
            <v>50</v>
          </cell>
          <cell r="J97">
            <v>28</v>
          </cell>
          <cell r="K97">
            <v>52</v>
          </cell>
          <cell r="L97">
            <v>50</v>
          </cell>
          <cell r="M97">
            <v>25</v>
          </cell>
          <cell r="N97">
            <v>50</v>
          </cell>
          <cell r="O97">
            <v>30</v>
          </cell>
          <cell r="P97">
            <v>50</v>
          </cell>
          <cell r="Q97">
            <v>50</v>
          </cell>
          <cell r="R97">
            <v>50</v>
          </cell>
          <cell r="S97">
            <v>50</v>
          </cell>
        </row>
        <row r="99">
          <cell r="C99" t="str">
            <v>2100</v>
          </cell>
          <cell r="D99" t="str">
            <v>6mm, Expanded Metal Mesh</v>
          </cell>
          <cell r="E99" t="str">
            <v>sq.m.</v>
          </cell>
          <cell r="F99" t="str">
            <v>Material</v>
          </cell>
          <cell r="G99">
            <v>48.77</v>
          </cell>
          <cell r="H99">
            <v>0</v>
          </cell>
          <cell r="I99">
            <v>1273</v>
          </cell>
          <cell r="J99">
            <v>1273</v>
          </cell>
          <cell r="K99">
            <v>1273</v>
          </cell>
          <cell r="L99">
            <v>1273</v>
          </cell>
          <cell r="M99">
            <v>1273</v>
          </cell>
          <cell r="N99">
            <v>1273</v>
          </cell>
          <cell r="O99">
            <v>1273</v>
          </cell>
          <cell r="P99">
            <v>1273</v>
          </cell>
          <cell r="Q99">
            <v>1273</v>
          </cell>
          <cell r="R99">
            <v>1273</v>
          </cell>
          <cell r="S99">
            <v>1273</v>
          </cell>
        </row>
        <row r="100">
          <cell r="C100" t="str">
            <v>2101</v>
          </cell>
          <cell r="D100" t="str">
            <v>10mm, Steel Plate</v>
          </cell>
          <cell r="E100" t="str">
            <v>Sht</v>
          </cell>
          <cell r="F100" t="str">
            <v>Material</v>
          </cell>
          <cell r="G100">
            <v>226.08</v>
          </cell>
          <cell r="H100">
            <v>0</v>
          </cell>
          <cell r="I100">
            <v>1073</v>
          </cell>
          <cell r="J100">
            <v>1073</v>
          </cell>
          <cell r="K100">
            <v>1073</v>
          </cell>
          <cell r="L100">
            <v>1073</v>
          </cell>
          <cell r="M100">
            <v>1073</v>
          </cell>
          <cell r="N100">
            <v>1073</v>
          </cell>
          <cell r="O100">
            <v>1073</v>
          </cell>
          <cell r="P100">
            <v>1073</v>
          </cell>
          <cell r="Q100">
            <v>1073</v>
          </cell>
          <cell r="R100">
            <v>1073</v>
          </cell>
          <cell r="S100">
            <v>1073</v>
          </cell>
        </row>
        <row r="102">
          <cell r="C102" t="str">
            <v>2200</v>
          </cell>
          <cell r="D102" t="str">
            <v>Common Wire Nails</v>
          </cell>
          <cell r="E102" t="str">
            <v>Kg</v>
          </cell>
          <cell r="F102" t="str">
            <v>Material</v>
          </cell>
          <cell r="G102">
            <v>1</v>
          </cell>
          <cell r="H102">
            <v>0</v>
          </cell>
          <cell r="I102">
            <v>30</v>
          </cell>
          <cell r="J102">
            <v>30</v>
          </cell>
          <cell r="K102">
            <v>33</v>
          </cell>
          <cell r="L102">
            <v>30</v>
          </cell>
          <cell r="M102">
            <v>30</v>
          </cell>
          <cell r="N102">
            <v>30</v>
          </cell>
          <cell r="O102">
            <v>30</v>
          </cell>
          <cell r="P102">
            <v>30</v>
          </cell>
          <cell r="Q102">
            <v>30</v>
          </cell>
          <cell r="R102">
            <v>30</v>
          </cell>
          <cell r="S102">
            <v>40</v>
          </cell>
        </row>
        <row r="103">
          <cell r="C103">
            <v>2201</v>
          </cell>
          <cell r="D103" t="str">
            <v>Finishing Nails</v>
          </cell>
          <cell r="E103" t="str">
            <v>Kg</v>
          </cell>
          <cell r="F103" t="str">
            <v>Material</v>
          </cell>
          <cell r="G103">
            <v>1</v>
          </cell>
          <cell r="H103">
            <v>0</v>
          </cell>
          <cell r="I103">
            <v>40</v>
          </cell>
          <cell r="J103">
            <v>40</v>
          </cell>
          <cell r="K103">
            <v>41</v>
          </cell>
          <cell r="L103">
            <v>45</v>
          </cell>
          <cell r="M103">
            <v>45</v>
          </cell>
          <cell r="N103">
            <v>45</v>
          </cell>
          <cell r="O103">
            <v>40</v>
          </cell>
          <cell r="P103">
            <v>41</v>
          </cell>
          <cell r="Q103">
            <v>41</v>
          </cell>
          <cell r="R103">
            <v>45</v>
          </cell>
          <cell r="S103">
            <v>58</v>
          </cell>
        </row>
        <row r="104">
          <cell r="C104" t="str">
            <v>2220</v>
          </cell>
          <cell r="D104" t="str">
            <v>Roofing Nails umbrella type</v>
          </cell>
          <cell r="E104" t="str">
            <v>Kg</v>
          </cell>
          <cell r="F104" t="str">
            <v>Material</v>
          </cell>
          <cell r="G104">
            <v>1</v>
          </cell>
          <cell r="H104">
            <v>0</v>
          </cell>
          <cell r="I104">
            <v>50</v>
          </cell>
          <cell r="J104">
            <v>49</v>
          </cell>
          <cell r="K104">
            <v>50</v>
          </cell>
          <cell r="L104">
            <v>55</v>
          </cell>
          <cell r="M104">
            <v>58</v>
          </cell>
          <cell r="N104">
            <v>52</v>
          </cell>
          <cell r="O104">
            <v>50</v>
          </cell>
          <cell r="P104">
            <v>50</v>
          </cell>
          <cell r="Q104">
            <v>50</v>
          </cell>
          <cell r="R104">
            <v>52</v>
          </cell>
          <cell r="S104">
            <v>62</v>
          </cell>
        </row>
        <row r="105">
          <cell r="C105" t="str">
            <v>2230</v>
          </cell>
          <cell r="D105" t="str">
            <v>Concrete Nail</v>
          </cell>
          <cell r="E105" t="str">
            <v>Kg</v>
          </cell>
          <cell r="F105" t="str">
            <v>Material</v>
          </cell>
          <cell r="G105">
            <v>1</v>
          </cell>
          <cell r="H105">
            <v>0</v>
          </cell>
          <cell r="I105">
            <v>95</v>
          </cell>
          <cell r="J105">
            <v>90</v>
          </cell>
          <cell r="K105">
            <v>110</v>
          </cell>
          <cell r="L105">
            <v>110</v>
          </cell>
          <cell r="M105">
            <v>115</v>
          </cell>
          <cell r="N105">
            <v>100</v>
          </cell>
          <cell r="O105">
            <v>90</v>
          </cell>
          <cell r="P105">
            <v>95</v>
          </cell>
          <cell r="Q105">
            <v>95</v>
          </cell>
          <cell r="R105">
            <v>100</v>
          </cell>
          <cell r="S105">
            <v>14048</v>
          </cell>
        </row>
        <row r="106">
          <cell r="C106" t="str">
            <v>2240</v>
          </cell>
          <cell r="D106" t="str">
            <v>13mm, High-Strength Bolt, 4"</v>
          </cell>
          <cell r="E106" t="str">
            <v>Kg</v>
          </cell>
          <cell r="F106" t="str">
            <v>Material</v>
          </cell>
          <cell r="G106">
            <v>0.3</v>
          </cell>
          <cell r="H106">
            <v>0</v>
          </cell>
          <cell r="I106">
            <v>32</v>
          </cell>
          <cell r="J106">
            <v>38.5</v>
          </cell>
          <cell r="K106">
            <v>38.5</v>
          </cell>
          <cell r="L106">
            <v>38.5</v>
          </cell>
          <cell r="M106">
            <v>38.5</v>
          </cell>
          <cell r="N106">
            <v>38.5</v>
          </cell>
          <cell r="O106">
            <v>38.5</v>
          </cell>
          <cell r="P106">
            <v>38.5</v>
          </cell>
          <cell r="Q106">
            <v>38.5</v>
          </cell>
          <cell r="R106">
            <v>38.5</v>
          </cell>
          <cell r="S106">
            <v>38.5</v>
          </cell>
        </row>
        <row r="107">
          <cell r="C107">
            <v>2241</v>
          </cell>
          <cell r="D107" t="str">
            <v>Machine Bolts</v>
          </cell>
          <cell r="E107" t="str">
            <v>Kg</v>
          </cell>
          <cell r="F107" t="str">
            <v>Material</v>
          </cell>
          <cell r="G107">
            <v>1</v>
          </cell>
          <cell r="H107">
            <v>0</v>
          </cell>
          <cell r="I107">
            <v>20.25</v>
          </cell>
          <cell r="J107">
            <v>32</v>
          </cell>
          <cell r="K107">
            <v>45</v>
          </cell>
          <cell r="L107">
            <v>30</v>
          </cell>
          <cell r="M107">
            <v>30</v>
          </cell>
          <cell r="N107">
            <v>35</v>
          </cell>
          <cell r="O107">
            <v>35</v>
          </cell>
          <cell r="P107">
            <v>36</v>
          </cell>
          <cell r="Q107">
            <v>36</v>
          </cell>
          <cell r="R107">
            <v>35</v>
          </cell>
          <cell r="S107">
            <v>48</v>
          </cell>
        </row>
        <row r="108">
          <cell r="C108" t="str">
            <v>2250</v>
          </cell>
          <cell r="D108" t="str">
            <v>7/8" Anchor Bolt, 10"</v>
          </cell>
          <cell r="E108" t="str">
            <v>pc</v>
          </cell>
          <cell r="F108" t="str">
            <v>Material</v>
          </cell>
          <cell r="G108">
            <v>0.4</v>
          </cell>
          <cell r="H108">
            <v>0</v>
          </cell>
          <cell r="I108">
            <v>55</v>
          </cell>
          <cell r="J108">
            <v>55</v>
          </cell>
          <cell r="K108">
            <v>55</v>
          </cell>
          <cell r="L108">
            <v>55</v>
          </cell>
          <cell r="M108">
            <v>55</v>
          </cell>
          <cell r="N108">
            <v>55</v>
          </cell>
          <cell r="O108">
            <v>55</v>
          </cell>
          <cell r="P108">
            <v>55</v>
          </cell>
          <cell r="Q108">
            <v>55</v>
          </cell>
          <cell r="R108">
            <v>55</v>
          </cell>
          <cell r="S108">
            <v>55</v>
          </cell>
        </row>
        <row r="109">
          <cell r="C109" t="str">
            <v>2260</v>
          </cell>
          <cell r="D109" t="str">
            <v>20mm, Turn Buckle</v>
          </cell>
          <cell r="E109" t="str">
            <v>pc</v>
          </cell>
          <cell r="F109" t="str">
            <v>Material</v>
          </cell>
          <cell r="G109">
            <v>0.5</v>
          </cell>
          <cell r="H109">
            <v>0</v>
          </cell>
          <cell r="I109">
            <v>332</v>
          </cell>
          <cell r="J109">
            <v>332</v>
          </cell>
          <cell r="K109">
            <v>332</v>
          </cell>
          <cell r="L109">
            <v>332</v>
          </cell>
          <cell r="M109">
            <v>332</v>
          </cell>
          <cell r="N109">
            <v>332</v>
          </cell>
          <cell r="O109">
            <v>332</v>
          </cell>
          <cell r="P109">
            <v>332</v>
          </cell>
          <cell r="Q109">
            <v>332</v>
          </cell>
          <cell r="R109">
            <v>332</v>
          </cell>
          <cell r="S109">
            <v>332</v>
          </cell>
        </row>
        <row r="110">
          <cell r="C110">
            <v>2261</v>
          </cell>
          <cell r="D110" t="str">
            <v>16mm, Turn Buckle</v>
          </cell>
          <cell r="E110" t="str">
            <v>pc</v>
          </cell>
          <cell r="F110" t="str">
            <v>Material</v>
          </cell>
          <cell r="G110">
            <v>0.5</v>
          </cell>
          <cell r="H110">
            <v>0</v>
          </cell>
          <cell r="I110">
            <v>203</v>
          </cell>
          <cell r="J110">
            <v>203</v>
          </cell>
          <cell r="K110">
            <v>203</v>
          </cell>
          <cell r="L110">
            <v>203</v>
          </cell>
          <cell r="M110">
            <v>203</v>
          </cell>
          <cell r="N110">
            <v>203</v>
          </cell>
          <cell r="O110">
            <v>203</v>
          </cell>
          <cell r="P110">
            <v>203</v>
          </cell>
          <cell r="Q110">
            <v>203</v>
          </cell>
          <cell r="R110">
            <v>203</v>
          </cell>
          <cell r="S110">
            <v>203</v>
          </cell>
        </row>
        <row r="111">
          <cell r="C111" t="str">
            <v>2270</v>
          </cell>
          <cell r="D111" t="str">
            <v>13mm, U-Bolt</v>
          </cell>
          <cell r="E111" t="str">
            <v>pc</v>
          </cell>
          <cell r="F111" t="str">
            <v>Material</v>
          </cell>
          <cell r="G111">
            <v>0.5</v>
          </cell>
          <cell r="H111">
            <v>0</v>
          </cell>
          <cell r="I111">
            <v>55</v>
          </cell>
          <cell r="J111">
            <v>55</v>
          </cell>
          <cell r="K111">
            <v>55</v>
          </cell>
          <cell r="L111">
            <v>55</v>
          </cell>
          <cell r="M111">
            <v>55</v>
          </cell>
          <cell r="N111">
            <v>55</v>
          </cell>
          <cell r="O111">
            <v>55</v>
          </cell>
          <cell r="P111">
            <v>55</v>
          </cell>
          <cell r="Q111">
            <v>55</v>
          </cell>
          <cell r="R111">
            <v>55</v>
          </cell>
          <cell r="S111">
            <v>55</v>
          </cell>
        </row>
        <row r="112">
          <cell r="C112" t="str">
            <v>2280</v>
          </cell>
          <cell r="D112" t="str">
            <v>13mm, Cable Clip</v>
          </cell>
          <cell r="E112" t="str">
            <v>pc</v>
          </cell>
          <cell r="F112" t="str">
            <v>Material</v>
          </cell>
          <cell r="G112">
            <v>0.1</v>
          </cell>
          <cell r="H112">
            <v>0</v>
          </cell>
          <cell r="I112">
            <v>130</v>
          </cell>
          <cell r="J112">
            <v>130</v>
          </cell>
          <cell r="K112">
            <v>130</v>
          </cell>
          <cell r="L112">
            <v>130</v>
          </cell>
          <cell r="M112">
            <v>130</v>
          </cell>
          <cell r="N112">
            <v>130</v>
          </cell>
          <cell r="O112">
            <v>130</v>
          </cell>
          <cell r="P112">
            <v>130</v>
          </cell>
          <cell r="Q112">
            <v>130</v>
          </cell>
          <cell r="R112">
            <v>130</v>
          </cell>
          <cell r="S112">
            <v>130</v>
          </cell>
        </row>
        <row r="113">
          <cell r="C113">
            <v>2281</v>
          </cell>
          <cell r="D113" t="str">
            <v>32mm, Cable Clip</v>
          </cell>
          <cell r="E113" t="str">
            <v>pc</v>
          </cell>
          <cell r="F113" t="str">
            <v>Material</v>
          </cell>
          <cell r="G113">
            <v>0.5</v>
          </cell>
          <cell r="H113">
            <v>0</v>
          </cell>
          <cell r="I113">
            <v>165</v>
          </cell>
          <cell r="J113">
            <v>165</v>
          </cell>
          <cell r="K113">
            <v>165</v>
          </cell>
          <cell r="L113">
            <v>165</v>
          </cell>
          <cell r="M113">
            <v>165</v>
          </cell>
          <cell r="N113">
            <v>165</v>
          </cell>
          <cell r="O113">
            <v>165</v>
          </cell>
          <cell r="P113">
            <v>165</v>
          </cell>
          <cell r="Q113">
            <v>165</v>
          </cell>
          <cell r="R113">
            <v>165</v>
          </cell>
          <cell r="S113">
            <v>165</v>
          </cell>
        </row>
        <row r="114">
          <cell r="C114" t="str">
            <v>2290</v>
          </cell>
          <cell r="D114" t="str">
            <v>13mm,  Thimble</v>
          </cell>
          <cell r="E114" t="str">
            <v>pc</v>
          </cell>
          <cell r="F114" t="str">
            <v>Material</v>
          </cell>
          <cell r="G114">
            <v>0.1</v>
          </cell>
          <cell r="H114">
            <v>0</v>
          </cell>
          <cell r="I114">
            <v>19</v>
          </cell>
          <cell r="J114">
            <v>19</v>
          </cell>
          <cell r="K114">
            <v>19</v>
          </cell>
          <cell r="L114">
            <v>19</v>
          </cell>
          <cell r="M114">
            <v>19</v>
          </cell>
          <cell r="N114">
            <v>19</v>
          </cell>
          <cell r="O114">
            <v>19</v>
          </cell>
          <cell r="P114">
            <v>19</v>
          </cell>
          <cell r="Q114">
            <v>19</v>
          </cell>
          <cell r="R114">
            <v>19</v>
          </cell>
          <cell r="S114">
            <v>19</v>
          </cell>
        </row>
        <row r="116">
          <cell r="C116" t="str">
            <v>2500</v>
          </cell>
          <cell r="D116" t="str">
            <v>G18 Galvanized Tie Wires</v>
          </cell>
          <cell r="E116" t="str">
            <v>Kg</v>
          </cell>
          <cell r="F116" t="str">
            <v>Material</v>
          </cell>
          <cell r="G116">
            <v>1</v>
          </cell>
          <cell r="H116">
            <v>0</v>
          </cell>
          <cell r="I116">
            <v>31.5</v>
          </cell>
          <cell r="J116">
            <v>31.5</v>
          </cell>
          <cell r="K116">
            <v>40</v>
          </cell>
          <cell r="L116">
            <v>30</v>
          </cell>
          <cell r="M116">
            <v>30</v>
          </cell>
          <cell r="N116">
            <v>35</v>
          </cell>
          <cell r="O116">
            <v>30</v>
          </cell>
          <cell r="P116">
            <v>30</v>
          </cell>
          <cell r="Q116">
            <v>30</v>
          </cell>
          <cell r="R116">
            <v>35</v>
          </cell>
          <cell r="S116">
            <v>42</v>
          </cell>
        </row>
        <row r="117">
          <cell r="C117" t="str">
            <v>2505</v>
          </cell>
          <cell r="D117" t="str">
            <v>G.I. Rivets</v>
          </cell>
          <cell r="E117" t="str">
            <v>Kg</v>
          </cell>
          <cell r="F117" t="str">
            <v>Material</v>
          </cell>
          <cell r="G117">
            <v>1</v>
          </cell>
          <cell r="H117">
            <v>0</v>
          </cell>
          <cell r="I117">
            <v>58</v>
          </cell>
          <cell r="J117">
            <v>55</v>
          </cell>
          <cell r="K117">
            <v>60</v>
          </cell>
          <cell r="L117">
            <v>60</v>
          </cell>
          <cell r="M117">
            <v>60</v>
          </cell>
          <cell r="N117">
            <v>60</v>
          </cell>
          <cell r="O117">
            <v>60</v>
          </cell>
          <cell r="P117">
            <v>59</v>
          </cell>
          <cell r="Q117">
            <v>59</v>
          </cell>
          <cell r="R117">
            <v>60</v>
          </cell>
          <cell r="S117">
            <v>140</v>
          </cell>
        </row>
        <row r="119">
          <cell r="C119" t="str">
            <v>2750</v>
          </cell>
          <cell r="D119" t="str">
            <v>CORR. G.I.sheets, Ga.26</v>
          </cell>
          <cell r="E119" t="str">
            <v>ln.ft</v>
          </cell>
          <cell r="F119" t="str">
            <v>Material</v>
          </cell>
          <cell r="G119">
            <v>1.24</v>
          </cell>
          <cell r="H119">
            <v>0</v>
          </cell>
          <cell r="I119">
            <v>22.8</v>
          </cell>
          <cell r="J119">
            <v>22.75</v>
          </cell>
          <cell r="K119">
            <v>28</v>
          </cell>
          <cell r="L119">
            <v>24</v>
          </cell>
          <cell r="M119">
            <v>24.1</v>
          </cell>
          <cell r="N119">
            <v>24</v>
          </cell>
          <cell r="O119">
            <v>23</v>
          </cell>
          <cell r="P119">
            <v>25</v>
          </cell>
          <cell r="Q119">
            <v>25</v>
          </cell>
          <cell r="R119">
            <v>24</v>
          </cell>
          <cell r="S119">
            <v>31</v>
          </cell>
        </row>
        <row r="120">
          <cell r="C120" t="str">
            <v>2751</v>
          </cell>
          <cell r="D120" t="str">
            <v>Plain G.I. Sheet, Ga.26</v>
          </cell>
          <cell r="E120" t="str">
            <v>ln.ft</v>
          </cell>
          <cell r="F120" t="str">
            <v>Material</v>
          </cell>
          <cell r="G120">
            <v>1.24</v>
          </cell>
          <cell r="H120">
            <v>0</v>
          </cell>
          <cell r="I120">
            <v>22.5</v>
          </cell>
          <cell r="J120">
            <v>22</v>
          </cell>
          <cell r="K120">
            <v>28</v>
          </cell>
          <cell r="L120">
            <v>23.5</v>
          </cell>
          <cell r="M120">
            <v>24.3</v>
          </cell>
          <cell r="N120">
            <v>24</v>
          </cell>
          <cell r="O120">
            <v>23</v>
          </cell>
          <cell r="P120">
            <v>24</v>
          </cell>
          <cell r="Q120">
            <v>24</v>
          </cell>
          <cell r="R120">
            <v>24</v>
          </cell>
          <cell r="S120">
            <v>31</v>
          </cell>
        </row>
        <row r="121">
          <cell r="C121" t="str">
            <v>2752</v>
          </cell>
          <cell r="D121" t="str">
            <v>Pre-Painted Corr. GI Sht, G26</v>
          </cell>
          <cell r="E121" t="str">
            <v>ln.ft</v>
          </cell>
          <cell r="F121" t="str">
            <v>Material</v>
          </cell>
          <cell r="G121">
            <v>1.24</v>
          </cell>
          <cell r="H121">
            <v>0</v>
          </cell>
          <cell r="I121">
            <v>44</v>
          </cell>
          <cell r="J121">
            <v>44</v>
          </cell>
          <cell r="K121">
            <v>44</v>
          </cell>
          <cell r="L121">
            <v>44</v>
          </cell>
          <cell r="M121">
            <v>44</v>
          </cell>
          <cell r="N121">
            <v>44</v>
          </cell>
          <cell r="O121">
            <v>44</v>
          </cell>
          <cell r="P121">
            <v>44</v>
          </cell>
          <cell r="Q121">
            <v>44</v>
          </cell>
          <cell r="R121">
            <v>44</v>
          </cell>
          <cell r="S121">
            <v>44</v>
          </cell>
        </row>
        <row r="123">
          <cell r="C123" t="str">
            <v>3000</v>
          </cell>
          <cell r="D123" t="str">
            <v>Gutter seal</v>
          </cell>
          <cell r="E123" t="str">
            <v>Quart</v>
          </cell>
          <cell r="F123" t="str">
            <v>Material</v>
          </cell>
          <cell r="G123">
            <v>0</v>
          </cell>
          <cell r="H123">
            <v>4.0000000000000001E-3</v>
          </cell>
          <cell r="I123">
            <v>180</v>
          </cell>
          <cell r="J123">
            <v>150</v>
          </cell>
          <cell r="K123">
            <v>200</v>
          </cell>
          <cell r="L123">
            <v>185</v>
          </cell>
          <cell r="M123">
            <v>90</v>
          </cell>
          <cell r="N123">
            <v>200</v>
          </cell>
          <cell r="O123">
            <v>160</v>
          </cell>
          <cell r="P123">
            <v>180</v>
          </cell>
          <cell r="Q123">
            <v>180</v>
          </cell>
          <cell r="R123">
            <v>200</v>
          </cell>
          <cell r="S123">
            <v>201</v>
          </cell>
        </row>
        <row r="124">
          <cell r="C124" t="str">
            <v>3001</v>
          </cell>
          <cell r="D124" t="str">
            <v>4'-wide Cyclone  Wire</v>
          </cell>
          <cell r="E124" t="str">
            <v>lnm.</v>
          </cell>
          <cell r="F124" t="str">
            <v>Material</v>
          </cell>
          <cell r="G124">
            <v>10</v>
          </cell>
          <cell r="H124">
            <v>0</v>
          </cell>
          <cell r="I124">
            <v>60</v>
          </cell>
          <cell r="J124">
            <v>60</v>
          </cell>
          <cell r="K124">
            <v>60</v>
          </cell>
          <cell r="L124">
            <v>60</v>
          </cell>
          <cell r="M124">
            <v>60</v>
          </cell>
          <cell r="N124">
            <v>60</v>
          </cell>
          <cell r="O124">
            <v>60</v>
          </cell>
          <cell r="P124">
            <v>60</v>
          </cell>
          <cell r="Q124">
            <v>60</v>
          </cell>
          <cell r="R124">
            <v>60</v>
          </cell>
          <cell r="S124">
            <v>60</v>
          </cell>
        </row>
        <row r="125">
          <cell r="C125" t="str">
            <v>3002</v>
          </cell>
          <cell r="D125" t="str">
            <v>1¼ "dia. X 6" Double Type Pulley Level</v>
          </cell>
          <cell r="E125" t="str">
            <v>pc</v>
          </cell>
          <cell r="F125" t="str">
            <v>Material</v>
          </cell>
          <cell r="G125">
            <v>0</v>
          </cell>
          <cell r="H125">
            <v>0.01</v>
          </cell>
          <cell r="I125">
            <v>75</v>
          </cell>
          <cell r="J125">
            <v>35</v>
          </cell>
          <cell r="K125">
            <v>80</v>
          </cell>
          <cell r="L125">
            <v>75</v>
          </cell>
          <cell r="M125">
            <v>37</v>
          </cell>
          <cell r="N125">
            <v>75</v>
          </cell>
          <cell r="O125">
            <v>34.5</v>
          </cell>
          <cell r="P125">
            <v>75</v>
          </cell>
          <cell r="Q125">
            <v>75</v>
          </cell>
          <cell r="R125">
            <v>75</v>
          </cell>
          <cell r="S125">
            <v>75</v>
          </cell>
        </row>
        <row r="126">
          <cell r="C126" t="str">
            <v>3003</v>
          </cell>
          <cell r="D126" t="str">
            <v>1¼ "dia. X 6" Steel Ring Bolt Adaptor</v>
          </cell>
          <cell r="E126" t="str">
            <v>pc</v>
          </cell>
          <cell r="F126" t="str">
            <v>Material</v>
          </cell>
          <cell r="G126">
            <v>0</v>
          </cell>
          <cell r="H126">
            <v>0</v>
          </cell>
          <cell r="I126">
            <v>35</v>
          </cell>
          <cell r="J126">
            <v>104</v>
          </cell>
          <cell r="K126">
            <v>35</v>
          </cell>
          <cell r="L126">
            <v>35</v>
          </cell>
          <cell r="M126">
            <v>109</v>
          </cell>
          <cell r="N126">
            <v>35</v>
          </cell>
          <cell r="O126">
            <v>104.5</v>
          </cell>
          <cell r="P126">
            <v>35</v>
          </cell>
          <cell r="Q126">
            <v>35</v>
          </cell>
          <cell r="R126">
            <v>40</v>
          </cell>
          <cell r="S126">
            <v>40</v>
          </cell>
        </row>
        <row r="127">
          <cell r="C127" t="str">
            <v>3004</v>
          </cell>
          <cell r="D127" t="str">
            <v>1¼ "dia. X 1¼" Steel Ring Bolt Adaptor</v>
          </cell>
          <cell r="E127" t="str">
            <v>pc</v>
          </cell>
          <cell r="F127" t="str">
            <v>Material</v>
          </cell>
          <cell r="G127">
            <v>0</v>
          </cell>
          <cell r="H127">
            <v>0</v>
          </cell>
          <cell r="I127">
            <v>104</v>
          </cell>
          <cell r="J127">
            <v>68.900000000000006</v>
          </cell>
          <cell r="K127">
            <v>104</v>
          </cell>
          <cell r="L127">
            <v>104.5</v>
          </cell>
          <cell r="M127">
            <v>68.900000000000006</v>
          </cell>
          <cell r="N127">
            <v>104</v>
          </cell>
          <cell r="O127">
            <v>68.900000000000006</v>
          </cell>
          <cell r="P127">
            <v>105</v>
          </cell>
          <cell r="Q127">
            <v>105</v>
          </cell>
          <cell r="R127">
            <v>108</v>
          </cell>
          <cell r="S127">
            <v>105</v>
          </cell>
        </row>
        <row r="128">
          <cell r="C128" t="str">
            <v>3005</v>
          </cell>
          <cell r="D128" t="str">
            <v>1" Cylindrical Ejector Assembly, 32"</v>
          </cell>
          <cell r="E128" t="str">
            <v>Set</v>
          </cell>
          <cell r="F128" t="str">
            <v>Material</v>
          </cell>
          <cell r="G128">
            <v>2</v>
          </cell>
          <cell r="H128">
            <v>0</v>
          </cell>
          <cell r="I128">
            <v>2250</v>
          </cell>
          <cell r="J128">
            <v>2250</v>
          </cell>
          <cell r="K128">
            <v>2250</v>
          </cell>
          <cell r="L128">
            <v>2250</v>
          </cell>
          <cell r="M128">
            <v>2250</v>
          </cell>
          <cell r="N128">
            <v>2250</v>
          </cell>
          <cell r="O128">
            <v>2250</v>
          </cell>
          <cell r="P128">
            <v>2250</v>
          </cell>
          <cell r="Q128">
            <v>2250</v>
          </cell>
          <cell r="R128">
            <v>2250</v>
          </cell>
          <cell r="S128">
            <v>2250</v>
          </cell>
        </row>
        <row r="129">
          <cell r="C129" t="str">
            <v>3006</v>
          </cell>
          <cell r="D129" t="str">
            <v>1¼" Cylindrical Ejector Assembly, 32"</v>
          </cell>
          <cell r="E129" t="str">
            <v>Set</v>
          </cell>
          <cell r="F129" t="str">
            <v>Material</v>
          </cell>
          <cell r="G129">
            <v>2</v>
          </cell>
          <cell r="H129">
            <v>0</v>
          </cell>
          <cell r="I129">
            <v>2250</v>
          </cell>
          <cell r="J129">
            <v>68</v>
          </cell>
          <cell r="K129">
            <v>2250</v>
          </cell>
          <cell r="L129">
            <v>2250</v>
          </cell>
          <cell r="M129">
            <v>68</v>
          </cell>
          <cell r="N129">
            <v>2250</v>
          </cell>
          <cell r="O129">
            <v>68</v>
          </cell>
          <cell r="P129">
            <v>2250</v>
          </cell>
          <cell r="Q129">
            <v>2250</v>
          </cell>
          <cell r="R129">
            <v>2250</v>
          </cell>
          <cell r="S129">
            <v>2250</v>
          </cell>
        </row>
        <row r="130">
          <cell r="C130" t="str">
            <v>3007</v>
          </cell>
          <cell r="D130" t="str">
            <v>Cylindrical Door Knob</v>
          </cell>
          <cell r="E130" t="str">
            <v>Set</v>
          </cell>
          <cell r="F130" t="str">
            <v>Material</v>
          </cell>
          <cell r="G130">
            <v>0.85</v>
          </cell>
          <cell r="H130">
            <v>0</v>
          </cell>
          <cell r="I130">
            <v>680</v>
          </cell>
          <cell r="J130">
            <v>28.5</v>
          </cell>
          <cell r="K130">
            <v>680</v>
          </cell>
          <cell r="L130">
            <v>15</v>
          </cell>
          <cell r="M130">
            <v>15</v>
          </cell>
          <cell r="N130">
            <v>680</v>
          </cell>
          <cell r="O130">
            <v>30</v>
          </cell>
          <cell r="P130">
            <v>680</v>
          </cell>
          <cell r="Q130">
            <v>680</v>
          </cell>
          <cell r="R130">
            <v>30</v>
          </cell>
          <cell r="S130">
            <v>680</v>
          </cell>
        </row>
        <row r="131">
          <cell r="C131" t="str">
            <v>3008</v>
          </cell>
          <cell r="D131" t="str">
            <v>4" Barrel Bolts</v>
          </cell>
          <cell r="E131" t="str">
            <v>Set</v>
          </cell>
          <cell r="F131" t="str">
            <v>Material</v>
          </cell>
          <cell r="G131">
            <v>0.2</v>
          </cell>
          <cell r="H131">
            <v>0</v>
          </cell>
          <cell r="I131">
            <v>19</v>
          </cell>
          <cell r="J131">
            <v>28</v>
          </cell>
          <cell r="K131">
            <v>20</v>
          </cell>
          <cell r="L131">
            <v>28</v>
          </cell>
          <cell r="M131">
            <v>28</v>
          </cell>
          <cell r="N131">
            <v>30</v>
          </cell>
          <cell r="O131">
            <v>30</v>
          </cell>
          <cell r="P131">
            <v>15</v>
          </cell>
          <cell r="Q131">
            <v>15</v>
          </cell>
          <cell r="R131">
            <v>31</v>
          </cell>
          <cell r="S131">
            <v>15</v>
          </cell>
        </row>
        <row r="132">
          <cell r="C132" t="str">
            <v>3009</v>
          </cell>
          <cell r="D132" t="str">
            <v>4x4 Loose Pin Butt Hinges</v>
          </cell>
          <cell r="E132" t="str">
            <v>pair</v>
          </cell>
          <cell r="F132" t="str">
            <v>Material</v>
          </cell>
          <cell r="G132">
            <v>0.35</v>
          </cell>
          <cell r="H132">
            <v>0</v>
          </cell>
          <cell r="I132">
            <v>32</v>
          </cell>
          <cell r="J132">
            <v>18</v>
          </cell>
          <cell r="K132">
            <v>35</v>
          </cell>
          <cell r="L132">
            <v>25</v>
          </cell>
          <cell r="M132">
            <v>28</v>
          </cell>
          <cell r="N132">
            <v>31</v>
          </cell>
          <cell r="O132">
            <v>20</v>
          </cell>
          <cell r="P132">
            <v>25</v>
          </cell>
          <cell r="Q132">
            <v>25</v>
          </cell>
          <cell r="R132">
            <v>25</v>
          </cell>
          <cell r="S132">
            <v>25</v>
          </cell>
        </row>
        <row r="133">
          <cell r="C133" t="str">
            <v>3010</v>
          </cell>
          <cell r="D133" t="str">
            <v>3x3 Loose Pin Butt Hinges</v>
          </cell>
          <cell r="E133" t="str">
            <v>pair</v>
          </cell>
          <cell r="F133" t="str">
            <v>Material</v>
          </cell>
          <cell r="G133">
            <v>0.25</v>
          </cell>
          <cell r="H133">
            <v>0</v>
          </cell>
          <cell r="I133">
            <v>30</v>
          </cell>
          <cell r="J133">
            <v>40</v>
          </cell>
          <cell r="K133">
            <v>28</v>
          </cell>
          <cell r="L133">
            <v>20</v>
          </cell>
          <cell r="M133">
            <v>20</v>
          </cell>
          <cell r="N133">
            <v>25</v>
          </cell>
          <cell r="O133">
            <v>40</v>
          </cell>
          <cell r="P133">
            <v>26</v>
          </cell>
          <cell r="Q133">
            <v>26</v>
          </cell>
          <cell r="R133">
            <v>30</v>
          </cell>
          <cell r="S133">
            <v>26</v>
          </cell>
        </row>
        <row r="134">
          <cell r="C134" t="str">
            <v>3011</v>
          </cell>
          <cell r="D134" t="str">
            <v>4" Hasp Lock Hinges</v>
          </cell>
          <cell r="E134" t="str">
            <v>pair</v>
          </cell>
          <cell r="F134" t="str">
            <v>Material</v>
          </cell>
          <cell r="G134">
            <v>0.8</v>
          </cell>
          <cell r="H134">
            <v>0</v>
          </cell>
          <cell r="I134">
            <v>18</v>
          </cell>
          <cell r="J134">
            <v>80</v>
          </cell>
          <cell r="K134">
            <v>25</v>
          </cell>
          <cell r="L134">
            <v>40</v>
          </cell>
          <cell r="M134">
            <v>45</v>
          </cell>
          <cell r="N134">
            <v>30</v>
          </cell>
          <cell r="O134">
            <v>80</v>
          </cell>
          <cell r="P134">
            <v>20</v>
          </cell>
          <cell r="Q134">
            <v>20</v>
          </cell>
          <cell r="R134">
            <v>50</v>
          </cell>
          <cell r="S134">
            <v>20</v>
          </cell>
        </row>
        <row r="135">
          <cell r="C135" t="str">
            <v>3012</v>
          </cell>
          <cell r="D135" t="str">
            <v>Alum. Mesh Wire, 1/8" eye x 3'</v>
          </cell>
          <cell r="E135" t="str">
            <v>lnm.</v>
          </cell>
          <cell r="F135" t="str">
            <v>Material</v>
          </cell>
          <cell r="G135">
            <v>0.35</v>
          </cell>
          <cell r="H135">
            <v>0</v>
          </cell>
          <cell r="I135">
            <v>80</v>
          </cell>
          <cell r="J135">
            <v>58</v>
          </cell>
          <cell r="K135">
            <v>90</v>
          </cell>
          <cell r="L135">
            <v>60</v>
          </cell>
          <cell r="M135">
            <v>60</v>
          </cell>
          <cell r="N135">
            <v>92</v>
          </cell>
          <cell r="O135">
            <v>60</v>
          </cell>
          <cell r="P135">
            <v>78</v>
          </cell>
          <cell r="Q135">
            <v>78</v>
          </cell>
          <cell r="R135">
            <v>70</v>
          </cell>
          <cell r="S135">
            <v>78</v>
          </cell>
        </row>
        <row r="136">
          <cell r="C136" t="str">
            <v>3013</v>
          </cell>
          <cell r="D136" t="str">
            <v>Alum. Mesh Wire, 1/2" eye x 3'</v>
          </cell>
          <cell r="E136" t="str">
            <v>lnm.</v>
          </cell>
          <cell r="F136" t="str">
            <v>Material</v>
          </cell>
          <cell r="G136">
            <v>0.35</v>
          </cell>
          <cell r="H136">
            <v>0</v>
          </cell>
          <cell r="I136">
            <v>50</v>
          </cell>
          <cell r="J136">
            <v>110</v>
          </cell>
          <cell r="K136">
            <v>65</v>
          </cell>
          <cell r="L136">
            <v>50</v>
          </cell>
          <cell r="M136">
            <v>50</v>
          </cell>
          <cell r="N136">
            <v>70</v>
          </cell>
          <cell r="O136">
            <v>110</v>
          </cell>
          <cell r="P136">
            <v>60</v>
          </cell>
          <cell r="Q136">
            <v>60</v>
          </cell>
          <cell r="R136">
            <v>60</v>
          </cell>
          <cell r="S136">
            <v>60</v>
          </cell>
        </row>
        <row r="137">
          <cell r="C137" t="str">
            <v>3014</v>
          </cell>
          <cell r="D137" t="str">
            <v>Alum. Mesh Wire, 1" eye x 3'</v>
          </cell>
          <cell r="E137" t="str">
            <v>lnm.</v>
          </cell>
          <cell r="F137" t="str">
            <v>Material</v>
          </cell>
          <cell r="G137">
            <v>0.35</v>
          </cell>
          <cell r="H137">
            <v>0</v>
          </cell>
          <cell r="I137">
            <v>58</v>
          </cell>
          <cell r="J137">
            <v>680</v>
          </cell>
          <cell r="K137">
            <v>70</v>
          </cell>
          <cell r="L137">
            <v>105</v>
          </cell>
          <cell r="M137">
            <v>105</v>
          </cell>
          <cell r="N137">
            <v>60</v>
          </cell>
          <cell r="O137">
            <v>680</v>
          </cell>
          <cell r="P137">
            <v>55</v>
          </cell>
          <cell r="Q137">
            <v>55</v>
          </cell>
          <cell r="R137">
            <v>130</v>
          </cell>
          <cell r="S137">
            <v>55</v>
          </cell>
        </row>
        <row r="138">
          <cell r="C138" t="str">
            <v>3015</v>
          </cell>
          <cell r="D138" t="str">
            <v>Aluminum Mosquito Screen, 3ft-wide</v>
          </cell>
          <cell r="E138" t="str">
            <v>lnm.</v>
          </cell>
          <cell r="F138" t="str">
            <v>Material</v>
          </cell>
          <cell r="G138">
            <v>0.35</v>
          </cell>
          <cell r="H138">
            <v>0</v>
          </cell>
          <cell r="I138">
            <v>110</v>
          </cell>
          <cell r="J138">
            <v>300</v>
          </cell>
          <cell r="K138">
            <v>120</v>
          </cell>
          <cell r="L138">
            <v>680</v>
          </cell>
          <cell r="M138">
            <v>680</v>
          </cell>
          <cell r="N138">
            <v>130</v>
          </cell>
          <cell r="O138">
            <v>300</v>
          </cell>
          <cell r="P138">
            <v>100</v>
          </cell>
          <cell r="Q138">
            <v>100</v>
          </cell>
          <cell r="R138">
            <v>680</v>
          </cell>
          <cell r="S138">
            <v>100</v>
          </cell>
        </row>
        <row r="139">
          <cell r="C139" t="str">
            <v>3016</v>
          </cell>
          <cell r="D139" t="str">
            <v>Aukom Rug</v>
          </cell>
          <cell r="E139" t="str">
            <v>Kg</v>
          </cell>
          <cell r="F139" t="str">
            <v>Material</v>
          </cell>
          <cell r="G139">
            <v>1</v>
          </cell>
          <cell r="H139">
            <v>0</v>
          </cell>
          <cell r="I139">
            <v>100</v>
          </cell>
          <cell r="J139">
            <v>10</v>
          </cell>
          <cell r="K139">
            <v>100</v>
          </cell>
          <cell r="L139">
            <v>100</v>
          </cell>
          <cell r="M139">
            <v>34</v>
          </cell>
          <cell r="N139">
            <v>100</v>
          </cell>
          <cell r="O139">
            <v>10</v>
          </cell>
          <cell r="P139">
            <v>100</v>
          </cell>
          <cell r="Q139">
            <v>100</v>
          </cell>
          <cell r="R139">
            <v>30</v>
          </cell>
          <cell r="S139">
            <v>100</v>
          </cell>
        </row>
        <row r="140">
          <cell r="C140" t="str">
            <v>3017</v>
          </cell>
          <cell r="D140" t="str">
            <v>Welding Rods E60</v>
          </cell>
          <cell r="E140" t="str">
            <v>Kg</v>
          </cell>
          <cell r="F140" t="str">
            <v>Material</v>
          </cell>
          <cell r="G140">
            <v>1</v>
          </cell>
          <cell r="H140">
            <v>0</v>
          </cell>
          <cell r="I140">
            <v>98</v>
          </cell>
          <cell r="J140">
            <v>475</v>
          </cell>
          <cell r="K140">
            <v>98</v>
          </cell>
          <cell r="L140">
            <v>98</v>
          </cell>
          <cell r="M140">
            <v>475</v>
          </cell>
          <cell r="N140">
            <v>0</v>
          </cell>
          <cell r="O140">
            <v>475</v>
          </cell>
          <cell r="P140">
            <v>98</v>
          </cell>
          <cell r="Q140">
            <v>98</v>
          </cell>
          <cell r="R140">
            <v>475</v>
          </cell>
          <cell r="S140">
            <v>98</v>
          </cell>
        </row>
        <row r="141">
          <cell r="C141" t="str">
            <v>3018</v>
          </cell>
          <cell r="D141" t="str">
            <v>Welwood Glue</v>
          </cell>
          <cell r="E141" t="str">
            <v>Pint</v>
          </cell>
          <cell r="F141" t="str">
            <v>Material</v>
          </cell>
          <cell r="G141">
            <v>0</v>
          </cell>
          <cell r="H141">
            <v>7.0000000000000001E-3</v>
          </cell>
          <cell r="I141">
            <v>35</v>
          </cell>
          <cell r="J141">
            <v>12</v>
          </cell>
          <cell r="K141">
            <v>35</v>
          </cell>
          <cell r="L141">
            <v>30</v>
          </cell>
          <cell r="M141">
            <v>10</v>
          </cell>
          <cell r="N141">
            <v>30</v>
          </cell>
          <cell r="O141">
            <v>12</v>
          </cell>
          <cell r="P141">
            <v>32</v>
          </cell>
          <cell r="Q141">
            <v>32</v>
          </cell>
          <cell r="R141">
            <v>20</v>
          </cell>
          <cell r="S141">
            <v>32</v>
          </cell>
        </row>
        <row r="142">
          <cell r="C142" t="str">
            <v>3019</v>
          </cell>
          <cell r="D142" t="str">
            <v>Solvent Cement</v>
          </cell>
          <cell r="E142" t="str">
            <v>Pint</v>
          </cell>
          <cell r="F142" t="str">
            <v>Material</v>
          </cell>
          <cell r="G142">
            <v>0</v>
          </cell>
          <cell r="H142">
            <v>1E-3</v>
          </cell>
          <cell r="I142">
            <v>40</v>
          </cell>
          <cell r="J142">
            <v>300</v>
          </cell>
          <cell r="K142">
            <v>45</v>
          </cell>
          <cell r="L142">
            <v>40</v>
          </cell>
          <cell r="M142">
            <v>300</v>
          </cell>
          <cell r="N142">
            <v>50</v>
          </cell>
          <cell r="O142">
            <v>300</v>
          </cell>
          <cell r="P142">
            <v>40</v>
          </cell>
          <cell r="Q142">
            <v>40</v>
          </cell>
          <cell r="R142">
            <v>50</v>
          </cell>
          <cell r="S142">
            <v>50</v>
          </cell>
        </row>
        <row r="144">
          <cell r="C144" t="str">
            <v>3500</v>
          </cell>
          <cell r="D144" t="str">
            <v>Jalousie Glass Blade w/ Alum. Frame</v>
          </cell>
          <cell r="E144" t="str">
            <v>sq.m.</v>
          </cell>
          <cell r="F144" t="str">
            <v>Material</v>
          </cell>
          <cell r="G144">
            <v>0</v>
          </cell>
          <cell r="H144">
            <v>7.3999999999999996E-2</v>
          </cell>
          <cell r="I144">
            <v>590.29999999999995</v>
          </cell>
          <cell r="J144">
            <v>590.29999999999995</v>
          </cell>
          <cell r="K144">
            <v>590.29999999999995</v>
          </cell>
          <cell r="L144">
            <v>590.29999999999995</v>
          </cell>
          <cell r="M144">
            <v>590.29999999999995</v>
          </cell>
          <cell r="N144">
            <v>590.29999999999995</v>
          </cell>
          <cell r="O144">
            <v>590.29999999999995</v>
          </cell>
          <cell r="P144">
            <v>590.29999999999995</v>
          </cell>
          <cell r="Q144">
            <v>590.29999999999995</v>
          </cell>
          <cell r="R144">
            <v>590.29999999999995</v>
          </cell>
          <cell r="S144">
            <v>590.29999999999995</v>
          </cell>
        </row>
        <row r="145">
          <cell r="C145" t="str">
            <v>3501</v>
          </cell>
          <cell r="D145" t="str">
            <v>Clear Glass</v>
          </cell>
          <cell r="E145" t="str">
            <v>sq.m.</v>
          </cell>
          <cell r="F145" t="str">
            <v>Material</v>
          </cell>
          <cell r="G145">
            <v>0</v>
          </cell>
          <cell r="H145">
            <v>7.3999999999999996E-2</v>
          </cell>
          <cell r="I145">
            <v>38</v>
          </cell>
          <cell r="J145">
            <v>38</v>
          </cell>
          <cell r="K145">
            <v>38</v>
          </cell>
          <cell r="L145">
            <v>38</v>
          </cell>
          <cell r="M145">
            <v>38</v>
          </cell>
          <cell r="N145">
            <v>38</v>
          </cell>
          <cell r="O145">
            <v>38</v>
          </cell>
          <cell r="P145">
            <v>38</v>
          </cell>
          <cell r="Q145">
            <v>38</v>
          </cell>
          <cell r="R145">
            <v>38</v>
          </cell>
          <cell r="S145">
            <v>38</v>
          </cell>
        </row>
        <row r="146">
          <cell r="C146" t="str">
            <v>3502</v>
          </cell>
          <cell r="D146" t="str">
            <v>Smoke Glass</v>
          </cell>
          <cell r="E146" t="str">
            <v>sq.m.</v>
          </cell>
          <cell r="F146" t="str">
            <v>Material</v>
          </cell>
          <cell r="G146">
            <v>0</v>
          </cell>
          <cell r="H146">
            <v>7.3999999999999996E-2</v>
          </cell>
          <cell r="I146">
            <v>38</v>
          </cell>
          <cell r="J146">
            <v>38</v>
          </cell>
          <cell r="K146">
            <v>38</v>
          </cell>
          <cell r="L146">
            <v>38</v>
          </cell>
          <cell r="M146">
            <v>38</v>
          </cell>
          <cell r="N146">
            <v>38</v>
          </cell>
          <cell r="O146">
            <v>38</v>
          </cell>
          <cell r="P146">
            <v>38</v>
          </cell>
          <cell r="Q146">
            <v>38</v>
          </cell>
          <cell r="R146">
            <v>38</v>
          </cell>
          <cell r="S146">
            <v>38</v>
          </cell>
        </row>
        <row r="148">
          <cell r="C148" t="str">
            <v>3750</v>
          </cell>
          <cell r="D148" t="str">
            <v>25mmPlastic Stranded Rope</v>
          </cell>
          <cell r="E148" t="str">
            <v>lnm.</v>
          </cell>
          <cell r="F148" t="str">
            <v>Material</v>
          </cell>
          <cell r="G148">
            <v>0.3</v>
          </cell>
          <cell r="H148">
            <v>0</v>
          </cell>
          <cell r="I148">
            <v>10</v>
          </cell>
          <cell r="J148">
            <v>10</v>
          </cell>
          <cell r="K148">
            <v>10</v>
          </cell>
          <cell r="L148">
            <v>10</v>
          </cell>
          <cell r="M148">
            <v>10</v>
          </cell>
          <cell r="N148">
            <v>10</v>
          </cell>
          <cell r="O148">
            <v>10</v>
          </cell>
          <cell r="P148">
            <v>10</v>
          </cell>
          <cell r="Q148">
            <v>10</v>
          </cell>
          <cell r="R148">
            <v>10</v>
          </cell>
          <cell r="S148">
            <v>10</v>
          </cell>
        </row>
        <row r="150">
          <cell r="C150" t="str">
            <v>4000</v>
          </cell>
          <cell r="D150" t="str">
            <v>½" G.I. Pipe, sch. 40</v>
          </cell>
          <cell r="E150" t="str">
            <v>lnm.</v>
          </cell>
          <cell r="F150" t="str">
            <v>Material</v>
          </cell>
          <cell r="G150">
            <v>0</v>
          </cell>
          <cell r="H150">
            <v>1E-4</v>
          </cell>
          <cell r="I150">
            <v>33.333333333333336</v>
          </cell>
          <cell r="J150">
            <v>89.166666666666671</v>
          </cell>
          <cell r="K150">
            <v>41.666666666666664</v>
          </cell>
          <cell r="L150">
            <v>34.166666666666664</v>
          </cell>
          <cell r="M150">
            <v>57.5</v>
          </cell>
          <cell r="N150">
            <v>43.333333333333336</v>
          </cell>
          <cell r="O150">
            <v>93.333333333333329</v>
          </cell>
          <cell r="P150">
            <v>35.833333333333336</v>
          </cell>
          <cell r="Q150">
            <v>35.833333333333336</v>
          </cell>
          <cell r="R150">
            <v>43.333333333333336</v>
          </cell>
          <cell r="S150">
            <v>43.333333333333336</v>
          </cell>
        </row>
        <row r="151">
          <cell r="C151" t="str">
            <v>4001</v>
          </cell>
          <cell r="D151" t="str">
            <v>3/4" G.I. Pipe, sch. 40</v>
          </cell>
          <cell r="E151" t="str">
            <v>lnm.</v>
          </cell>
          <cell r="F151" t="str">
            <v>Material</v>
          </cell>
          <cell r="G151">
            <v>0</v>
          </cell>
          <cell r="H151">
            <v>1E-4</v>
          </cell>
        </row>
        <row r="152">
          <cell r="C152" t="str">
            <v>4002</v>
          </cell>
          <cell r="D152" t="str">
            <v>1" G.I. Pipe, sch. 40</v>
          </cell>
          <cell r="E152" t="str">
            <v>lnm.</v>
          </cell>
          <cell r="F152" t="str">
            <v>Material</v>
          </cell>
          <cell r="G152">
            <v>0</v>
          </cell>
          <cell r="H152">
            <v>5.0000000000000001E-4</v>
          </cell>
          <cell r="I152">
            <v>61.666666666666664</v>
          </cell>
          <cell r="J152">
            <v>105</v>
          </cell>
          <cell r="K152">
            <v>474</v>
          </cell>
          <cell r="L152">
            <v>342</v>
          </cell>
          <cell r="M152">
            <v>505</v>
          </cell>
          <cell r="N152">
            <v>480</v>
          </cell>
          <cell r="O152">
            <v>660</v>
          </cell>
          <cell r="P152">
            <v>380</v>
          </cell>
          <cell r="Q152">
            <v>380</v>
          </cell>
          <cell r="R152">
            <v>480</v>
          </cell>
          <cell r="S152">
            <v>480</v>
          </cell>
        </row>
        <row r="153">
          <cell r="C153" t="str">
            <v>4003</v>
          </cell>
          <cell r="D153" t="str">
            <v>1¼" G.I. Pipe, sch. 40</v>
          </cell>
          <cell r="E153" t="str">
            <v>lnm.</v>
          </cell>
          <cell r="F153" t="str">
            <v>Material</v>
          </cell>
          <cell r="G153">
            <v>0</v>
          </cell>
          <cell r="H153">
            <v>8.0000000000000004E-4</v>
          </cell>
          <cell r="I153">
            <v>89.166666666666671</v>
          </cell>
          <cell r="J153">
            <v>139.16666666666666</v>
          </cell>
          <cell r="K153">
            <v>600</v>
          </cell>
          <cell r="L153">
            <v>505</v>
          </cell>
          <cell r="M153">
            <v>595</v>
          </cell>
          <cell r="N153">
            <v>680</v>
          </cell>
          <cell r="O153">
            <v>895</v>
          </cell>
          <cell r="P153">
            <v>540</v>
          </cell>
          <cell r="Q153">
            <v>540</v>
          </cell>
          <cell r="R153">
            <v>680</v>
          </cell>
          <cell r="S153">
            <v>680</v>
          </cell>
        </row>
        <row r="154">
          <cell r="C154" t="str">
            <v>4004</v>
          </cell>
          <cell r="D154" t="str">
            <v>1½" G.I. Pipe, sch. 40</v>
          </cell>
          <cell r="E154" t="str">
            <v>lnm.</v>
          </cell>
          <cell r="F154" t="str">
            <v>Material</v>
          </cell>
          <cell r="G154">
            <v>0</v>
          </cell>
          <cell r="H154">
            <v>1.1000000000000001E-3</v>
          </cell>
          <cell r="I154">
            <v>105</v>
          </cell>
          <cell r="J154">
            <v>232</v>
          </cell>
          <cell r="K154">
            <v>700</v>
          </cell>
          <cell r="L154">
            <v>594</v>
          </cell>
          <cell r="M154">
            <v>858</v>
          </cell>
          <cell r="N154">
            <v>815</v>
          </cell>
          <cell r="O154">
            <v>1400</v>
          </cell>
          <cell r="P154">
            <v>650</v>
          </cell>
          <cell r="Q154">
            <v>650</v>
          </cell>
          <cell r="R154">
            <v>815</v>
          </cell>
          <cell r="S154">
            <v>820</v>
          </cell>
        </row>
        <row r="155">
          <cell r="C155" t="str">
            <v>4005</v>
          </cell>
          <cell r="D155" t="str">
            <v>2" G.I. Pipe, sch. 40</v>
          </cell>
          <cell r="E155" t="str">
            <v>lnm.</v>
          </cell>
          <cell r="F155" t="str">
            <v>Material</v>
          </cell>
          <cell r="G155">
            <v>0</v>
          </cell>
          <cell r="H155">
            <v>2E-3</v>
          </cell>
          <cell r="I155">
            <v>153.33333333333334</v>
          </cell>
          <cell r="J155">
            <v>280.5</v>
          </cell>
          <cell r="K155">
            <v>1180</v>
          </cell>
          <cell r="L155">
            <v>856</v>
          </cell>
          <cell r="M155">
            <v>1350</v>
          </cell>
          <cell r="N155">
            <v>1180</v>
          </cell>
          <cell r="O155">
            <v>1700</v>
          </cell>
          <cell r="P155">
            <v>855</v>
          </cell>
          <cell r="Q155">
            <v>855</v>
          </cell>
          <cell r="R155">
            <v>1180</v>
          </cell>
          <cell r="S155">
            <v>1180</v>
          </cell>
        </row>
        <row r="156">
          <cell r="C156" t="str">
            <v>4006</v>
          </cell>
          <cell r="D156" t="str">
            <v>2½" G.I. Pipe, sch. 40</v>
          </cell>
          <cell r="E156" t="str">
            <v>lnm.</v>
          </cell>
          <cell r="F156" t="str">
            <v>Material</v>
          </cell>
          <cell r="G156">
            <v>0</v>
          </cell>
          <cell r="H156">
            <v>3.2000000000000002E-3</v>
          </cell>
          <cell r="I156">
            <v>234</v>
          </cell>
          <cell r="J156">
            <v>382.83333333333331</v>
          </cell>
          <cell r="K156">
            <v>1710</v>
          </cell>
          <cell r="L156">
            <v>1348</v>
          </cell>
          <cell r="M156">
            <v>1876</v>
          </cell>
          <cell r="N156">
            <v>1700</v>
          </cell>
          <cell r="O156">
            <v>2350</v>
          </cell>
          <cell r="P156">
            <v>1400</v>
          </cell>
          <cell r="Q156">
            <v>1400</v>
          </cell>
          <cell r="R156">
            <v>1700</v>
          </cell>
          <cell r="S156">
            <v>1700</v>
          </cell>
        </row>
        <row r="157">
          <cell r="C157" t="str">
            <v>4007</v>
          </cell>
          <cell r="D157" t="str">
            <v>3" G.I. Pipe, sch. 40</v>
          </cell>
          <cell r="E157" t="str">
            <v>lnm.</v>
          </cell>
          <cell r="F157" t="str">
            <v>Material</v>
          </cell>
          <cell r="G157">
            <v>0</v>
          </cell>
          <cell r="H157">
            <v>4.4999999999999997E-3</v>
          </cell>
          <cell r="I157">
            <v>325</v>
          </cell>
          <cell r="J157">
            <v>311.66666666666669</v>
          </cell>
          <cell r="K157">
            <v>316.66666666666669</v>
          </cell>
          <cell r="L157">
            <v>312.5</v>
          </cell>
          <cell r="M157">
            <v>330</v>
          </cell>
          <cell r="N157">
            <v>316.66666666666669</v>
          </cell>
          <cell r="O157">
            <v>316.66666666666669</v>
          </cell>
          <cell r="P157">
            <v>283.33333333333331</v>
          </cell>
          <cell r="Q157">
            <v>283.33333333333331</v>
          </cell>
          <cell r="R157">
            <v>316.66666666666669</v>
          </cell>
          <cell r="S157">
            <v>283.33333333333331</v>
          </cell>
        </row>
        <row r="158">
          <cell r="C158" t="str">
            <v>4008</v>
          </cell>
          <cell r="D158" t="str">
            <v>4" G.I. Pipe, sch. 40</v>
          </cell>
          <cell r="E158" t="str">
            <v>lnm.</v>
          </cell>
          <cell r="F158" t="str">
            <v>Material</v>
          </cell>
          <cell r="G158">
            <v>0</v>
          </cell>
          <cell r="H158">
            <v>8.0999999999999996E-3</v>
          </cell>
          <cell r="I158">
            <v>366.66666666666669</v>
          </cell>
          <cell r="J158">
            <v>333.33333333333331</v>
          </cell>
          <cell r="K158">
            <v>483.33333333333331</v>
          </cell>
          <cell r="L158">
            <v>326.66666666666669</v>
          </cell>
          <cell r="M158">
            <v>326.66666666666669</v>
          </cell>
          <cell r="N158">
            <v>475</v>
          </cell>
          <cell r="O158">
            <v>366.66666666666669</v>
          </cell>
          <cell r="P158">
            <v>383.33333333333331</v>
          </cell>
          <cell r="Q158">
            <v>383.33333333333331</v>
          </cell>
          <cell r="R158">
            <v>475</v>
          </cell>
          <cell r="S158">
            <v>475</v>
          </cell>
        </row>
        <row r="159">
          <cell r="C159" t="str">
            <v>4050</v>
          </cell>
          <cell r="D159" t="str">
            <v>4" G.I. Pipe ,sch. 20</v>
          </cell>
          <cell r="E159" t="str">
            <v>lnm.</v>
          </cell>
          <cell r="F159" t="str">
            <v>Material</v>
          </cell>
          <cell r="G159">
            <v>0</v>
          </cell>
          <cell r="H159">
            <v>8.0999999999999996E-3</v>
          </cell>
          <cell r="I159">
            <v>280</v>
          </cell>
          <cell r="J159">
            <v>80</v>
          </cell>
          <cell r="K159">
            <v>280</v>
          </cell>
          <cell r="L159">
            <v>275</v>
          </cell>
          <cell r="M159">
            <v>82</v>
          </cell>
          <cell r="N159">
            <v>280</v>
          </cell>
          <cell r="O159">
            <v>84</v>
          </cell>
          <cell r="P159">
            <v>275</v>
          </cell>
          <cell r="Q159">
            <v>275</v>
          </cell>
          <cell r="R159">
            <v>285</v>
          </cell>
          <cell r="S159">
            <v>280</v>
          </cell>
        </row>
        <row r="160">
          <cell r="C160" t="str">
            <v>4051</v>
          </cell>
          <cell r="D160" t="str">
            <v>1½" G.I. Pipe ,sch. 20</v>
          </cell>
          <cell r="E160" t="str">
            <v>lnm.</v>
          </cell>
          <cell r="F160" t="str">
            <v>Material</v>
          </cell>
          <cell r="G160">
            <v>0</v>
          </cell>
          <cell r="H160">
            <v>1.1000000000000001E-3</v>
          </cell>
          <cell r="I160">
            <v>83</v>
          </cell>
          <cell r="J160">
            <v>130</v>
          </cell>
          <cell r="K160">
            <v>83</v>
          </cell>
          <cell r="L160">
            <v>83</v>
          </cell>
          <cell r="M160">
            <v>50</v>
          </cell>
          <cell r="N160">
            <v>83</v>
          </cell>
          <cell r="O160">
            <v>80</v>
          </cell>
          <cell r="P160">
            <v>83</v>
          </cell>
          <cell r="Q160">
            <v>83</v>
          </cell>
          <cell r="R160">
            <v>90</v>
          </cell>
          <cell r="S160">
            <v>85</v>
          </cell>
        </row>
        <row r="161">
          <cell r="C161" t="str">
            <v>4100</v>
          </cell>
          <cell r="D161" t="str">
            <v>½" G.I. Coupling, sch. 40</v>
          </cell>
          <cell r="E161" t="str">
            <v>pc</v>
          </cell>
          <cell r="F161" t="str">
            <v>Material</v>
          </cell>
          <cell r="G161">
            <v>0.2</v>
          </cell>
          <cell r="H161">
            <v>0</v>
          </cell>
          <cell r="I161">
            <v>10</v>
          </cell>
          <cell r="J161">
            <v>12</v>
          </cell>
          <cell r="K161">
            <v>12</v>
          </cell>
          <cell r="L161">
            <v>10</v>
          </cell>
          <cell r="M161">
            <v>10</v>
          </cell>
          <cell r="N161">
            <v>10</v>
          </cell>
          <cell r="O161">
            <v>12</v>
          </cell>
          <cell r="P161">
            <v>10</v>
          </cell>
          <cell r="Q161">
            <v>10</v>
          </cell>
          <cell r="R161">
            <v>12</v>
          </cell>
          <cell r="S161">
            <v>18</v>
          </cell>
        </row>
        <row r="162">
          <cell r="C162" t="str">
            <v>4101</v>
          </cell>
          <cell r="D162" t="str">
            <v>1" G.I. Coupling, sch. 40</v>
          </cell>
          <cell r="E162" t="str">
            <v>pc</v>
          </cell>
          <cell r="F162" t="str">
            <v>Material</v>
          </cell>
          <cell r="G162">
            <v>0.3</v>
          </cell>
          <cell r="H162">
            <v>0</v>
          </cell>
          <cell r="I162">
            <v>28</v>
          </cell>
          <cell r="J162">
            <v>28</v>
          </cell>
          <cell r="K162">
            <v>28</v>
          </cell>
          <cell r="L162">
            <v>28</v>
          </cell>
          <cell r="M162">
            <v>28</v>
          </cell>
          <cell r="N162">
            <v>28</v>
          </cell>
          <cell r="O162">
            <v>28</v>
          </cell>
          <cell r="P162">
            <v>24</v>
          </cell>
          <cell r="Q162">
            <v>24</v>
          </cell>
          <cell r="R162">
            <v>28</v>
          </cell>
          <cell r="S162">
            <v>28</v>
          </cell>
        </row>
        <row r="163">
          <cell r="C163" t="str">
            <v>4102</v>
          </cell>
          <cell r="D163" t="str">
            <v>1¼" G.I. Coupling, sch. 40</v>
          </cell>
          <cell r="E163" t="str">
            <v>pc</v>
          </cell>
          <cell r="F163" t="str">
            <v>Material</v>
          </cell>
          <cell r="G163">
            <v>0.4</v>
          </cell>
          <cell r="H163">
            <v>0</v>
          </cell>
          <cell r="I163">
            <v>30</v>
          </cell>
          <cell r="J163">
            <v>32</v>
          </cell>
          <cell r="K163">
            <v>32</v>
          </cell>
          <cell r="L163">
            <v>30</v>
          </cell>
          <cell r="M163">
            <v>30</v>
          </cell>
          <cell r="N163">
            <v>31</v>
          </cell>
          <cell r="O163">
            <v>30</v>
          </cell>
          <cell r="P163">
            <v>31</v>
          </cell>
          <cell r="Q163">
            <v>31</v>
          </cell>
          <cell r="R163">
            <v>31</v>
          </cell>
          <cell r="S163">
            <v>31</v>
          </cell>
        </row>
        <row r="164">
          <cell r="C164" t="str">
            <v>4103</v>
          </cell>
          <cell r="D164" t="str">
            <v>1½" G.I. Coupling, sch. 40</v>
          </cell>
          <cell r="E164" t="str">
            <v>pc</v>
          </cell>
          <cell r="F164" t="str">
            <v>Material</v>
          </cell>
          <cell r="G164">
            <v>0.5</v>
          </cell>
          <cell r="H164">
            <v>0</v>
          </cell>
          <cell r="I164">
            <v>39.5</v>
          </cell>
          <cell r="J164">
            <v>38.5</v>
          </cell>
          <cell r="K164">
            <v>48</v>
          </cell>
          <cell r="L164">
            <v>40</v>
          </cell>
          <cell r="M164">
            <v>40</v>
          </cell>
          <cell r="N164">
            <v>40</v>
          </cell>
          <cell r="O164">
            <v>40</v>
          </cell>
          <cell r="P164">
            <v>35</v>
          </cell>
          <cell r="Q164">
            <v>35</v>
          </cell>
          <cell r="R164">
            <v>48</v>
          </cell>
          <cell r="S164">
            <v>48</v>
          </cell>
        </row>
        <row r="165">
          <cell r="C165" t="str">
            <v>4104</v>
          </cell>
          <cell r="D165" t="str">
            <v>2"  G.I. Coupling, sch. 40</v>
          </cell>
          <cell r="E165" t="str">
            <v>pc</v>
          </cell>
          <cell r="F165" t="str">
            <v>Material</v>
          </cell>
          <cell r="G165">
            <v>0.6</v>
          </cell>
          <cell r="H165">
            <v>0</v>
          </cell>
          <cell r="I165">
            <v>59.8</v>
          </cell>
          <cell r="J165">
            <v>63.7</v>
          </cell>
          <cell r="K165">
            <v>65</v>
          </cell>
          <cell r="L165">
            <v>60</v>
          </cell>
          <cell r="M165">
            <v>60</v>
          </cell>
          <cell r="N165">
            <v>60</v>
          </cell>
          <cell r="O165">
            <v>65</v>
          </cell>
          <cell r="P165">
            <v>62</v>
          </cell>
          <cell r="Q165">
            <v>62</v>
          </cell>
          <cell r="R165">
            <v>65</v>
          </cell>
          <cell r="S165">
            <v>65</v>
          </cell>
        </row>
        <row r="166">
          <cell r="C166" t="str">
            <v>4105</v>
          </cell>
          <cell r="D166" t="str">
            <v>2½" G.I. Coupling, sch. 40</v>
          </cell>
          <cell r="E166" t="str">
            <v>pc</v>
          </cell>
          <cell r="F166" t="str">
            <v>Material</v>
          </cell>
          <cell r="G166">
            <v>0.7</v>
          </cell>
          <cell r="H166">
            <v>0</v>
          </cell>
          <cell r="I166">
            <v>140</v>
          </cell>
          <cell r="J166">
            <v>140</v>
          </cell>
          <cell r="K166">
            <v>145</v>
          </cell>
          <cell r="L166">
            <v>137</v>
          </cell>
          <cell r="M166">
            <v>137</v>
          </cell>
          <cell r="N166">
            <v>137</v>
          </cell>
          <cell r="O166">
            <v>145</v>
          </cell>
          <cell r="P166">
            <v>118</v>
          </cell>
          <cell r="Q166">
            <v>118</v>
          </cell>
          <cell r="R166">
            <v>150</v>
          </cell>
          <cell r="S166">
            <v>150</v>
          </cell>
        </row>
        <row r="167">
          <cell r="C167" t="str">
            <v>4106</v>
          </cell>
          <cell r="D167" t="str">
            <v>3" G.I. Coupling, sch. 40</v>
          </cell>
          <cell r="E167" t="str">
            <v>pc</v>
          </cell>
          <cell r="F167" t="str">
            <v>Material</v>
          </cell>
          <cell r="G167">
            <v>0.8</v>
          </cell>
          <cell r="H167">
            <v>0</v>
          </cell>
          <cell r="I167">
            <v>185</v>
          </cell>
          <cell r="J167">
            <v>13.2</v>
          </cell>
          <cell r="K167">
            <v>170</v>
          </cell>
          <cell r="L167">
            <v>182</v>
          </cell>
          <cell r="M167">
            <v>286</v>
          </cell>
          <cell r="N167">
            <v>190</v>
          </cell>
          <cell r="O167">
            <v>15</v>
          </cell>
          <cell r="P167">
            <v>150</v>
          </cell>
          <cell r="Q167">
            <v>150</v>
          </cell>
          <cell r="R167">
            <v>190</v>
          </cell>
          <cell r="S167">
            <v>190</v>
          </cell>
        </row>
        <row r="168">
          <cell r="C168" t="str">
            <v>4107</v>
          </cell>
          <cell r="D168" t="str">
            <v>4"  G.I. Coupling, sch. 40</v>
          </cell>
          <cell r="E168" t="str">
            <v>pc</v>
          </cell>
          <cell r="F168" t="str">
            <v>Material</v>
          </cell>
          <cell r="G168">
            <v>0.9</v>
          </cell>
          <cell r="H168">
            <v>0</v>
          </cell>
          <cell r="I168">
            <v>285</v>
          </cell>
          <cell r="J168">
            <v>29</v>
          </cell>
          <cell r="K168">
            <v>295</v>
          </cell>
          <cell r="L168">
            <v>286</v>
          </cell>
          <cell r="M168">
            <v>13</v>
          </cell>
          <cell r="N168">
            <v>298</v>
          </cell>
          <cell r="O168">
            <v>32</v>
          </cell>
          <cell r="P168">
            <v>245</v>
          </cell>
          <cell r="Q168">
            <v>245</v>
          </cell>
          <cell r="R168">
            <v>298</v>
          </cell>
          <cell r="S168">
            <v>298</v>
          </cell>
        </row>
        <row r="169">
          <cell r="C169" t="str">
            <v>'4120</v>
          </cell>
          <cell r="D169" t="str">
            <v>½" G.I. Elbow 45 degree, sch. 40</v>
          </cell>
          <cell r="E169" t="str">
            <v>pc</v>
          </cell>
          <cell r="F169" t="str">
            <v>Material</v>
          </cell>
          <cell r="G169">
            <v>0.12</v>
          </cell>
          <cell r="H169">
            <v>0</v>
          </cell>
          <cell r="I169">
            <v>14</v>
          </cell>
          <cell r="J169">
            <v>50</v>
          </cell>
          <cell r="K169">
            <v>21</v>
          </cell>
          <cell r="L169">
            <v>13</v>
          </cell>
          <cell r="M169">
            <v>30</v>
          </cell>
          <cell r="N169">
            <v>28</v>
          </cell>
          <cell r="O169">
            <v>52</v>
          </cell>
          <cell r="P169">
            <v>15</v>
          </cell>
          <cell r="Q169">
            <v>15</v>
          </cell>
          <cell r="R169">
            <v>28</v>
          </cell>
          <cell r="S169">
            <v>22</v>
          </cell>
        </row>
        <row r="170">
          <cell r="C170" t="str">
            <v>4121</v>
          </cell>
          <cell r="D170" t="str">
            <v>1"G.I. Elbow 45 degree, sch. 40</v>
          </cell>
          <cell r="E170" t="str">
            <v>pc</v>
          </cell>
          <cell r="F170" t="str">
            <v>Material</v>
          </cell>
          <cell r="G170">
            <v>0.24</v>
          </cell>
          <cell r="H170">
            <v>0</v>
          </cell>
          <cell r="I170">
            <v>28</v>
          </cell>
          <cell r="J170">
            <v>59.4</v>
          </cell>
          <cell r="K170">
            <v>33</v>
          </cell>
          <cell r="L170">
            <v>28</v>
          </cell>
          <cell r="M170">
            <v>45</v>
          </cell>
          <cell r="N170">
            <v>35</v>
          </cell>
          <cell r="O170">
            <v>65</v>
          </cell>
          <cell r="P170">
            <v>28</v>
          </cell>
          <cell r="Q170">
            <v>28</v>
          </cell>
          <cell r="R170">
            <v>35</v>
          </cell>
          <cell r="S170">
            <v>35</v>
          </cell>
        </row>
        <row r="171">
          <cell r="C171" t="str">
            <v>4122</v>
          </cell>
          <cell r="D171" t="str">
            <v>1¼"G.I. Elbow 45 degree, sch. 40</v>
          </cell>
          <cell r="E171" t="str">
            <v>pc</v>
          </cell>
          <cell r="F171" t="str">
            <v>Material</v>
          </cell>
          <cell r="G171">
            <v>0.36</v>
          </cell>
          <cell r="H171">
            <v>0</v>
          </cell>
          <cell r="I171">
            <v>45</v>
          </cell>
          <cell r="J171">
            <v>88.5</v>
          </cell>
          <cell r="K171">
            <v>58</v>
          </cell>
          <cell r="L171">
            <v>45</v>
          </cell>
          <cell r="M171">
            <v>58</v>
          </cell>
          <cell r="N171">
            <v>48</v>
          </cell>
          <cell r="O171">
            <v>95</v>
          </cell>
          <cell r="P171">
            <v>48</v>
          </cell>
          <cell r="Q171">
            <v>48</v>
          </cell>
          <cell r="R171">
            <v>48</v>
          </cell>
          <cell r="S171">
            <v>60</v>
          </cell>
        </row>
        <row r="172">
          <cell r="C172" t="str">
            <v>4123</v>
          </cell>
          <cell r="D172" t="str">
            <v>1½"G.I. Elbow 45 degree, sch. 40</v>
          </cell>
          <cell r="E172" t="str">
            <v>pc</v>
          </cell>
          <cell r="F172" t="str">
            <v>Material</v>
          </cell>
          <cell r="G172">
            <v>0.48</v>
          </cell>
          <cell r="H172">
            <v>0</v>
          </cell>
          <cell r="I172">
            <v>60</v>
          </cell>
          <cell r="J172">
            <v>180</v>
          </cell>
          <cell r="K172">
            <v>65</v>
          </cell>
          <cell r="L172">
            <v>57</v>
          </cell>
          <cell r="M172">
            <v>85</v>
          </cell>
          <cell r="N172">
            <v>60</v>
          </cell>
          <cell r="O172">
            <v>95</v>
          </cell>
          <cell r="P172">
            <v>60</v>
          </cell>
          <cell r="Q172">
            <v>60</v>
          </cell>
          <cell r="R172">
            <v>60</v>
          </cell>
          <cell r="S172">
            <v>68</v>
          </cell>
        </row>
        <row r="173">
          <cell r="C173" t="str">
            <v>4124</v>
          </cell>
          <cell r="D173" t="str">
            <v>2"G.I. Elbow 45 degree, sch. 40</v>
          </cell>
          <cell r="E173" t="str">
            <v>pc</v>
          </cell>
          <cell r="F173" t="str">
            <v>Material</v>
          </cell>
          <cell r="G173">
            <v>0.6</v>
          </cell>
          <cell r="H173">
            <v>0</v>
          </cell>
          <cell r="I173">
            <v>90</v>
          </cell>
          <cell r="J173">
            <v>260</v>
          </cell>
          <cell r="K173">
            <v>95</v>
          </cell>
          <cell r="L173">
            <v>84</v>
          </cell>
          <cell r="M173">
            <v>170</v>
          </cell>
          <cell r="N173">
            <v>86</v>
          </cell>
          <cell r="O173">
            <v>185</v>
          </cell>
          <cell r="P173">
            <v>86</v>
          </cell>
          <cell r="Q173">
            <v>86</v>
          </cell>
          <cell r="R173">
            <v>86</v>
          </cell>
          <cell r="S173">
            <v>98</v>
          </cell>
        </row>
        <row r="174">
          <cell r="C174" t="str">
            <v>4125</v>
          </cell>
          <cell r="D174" t="str">
            <v>2½" G.I. Elbow 45 degree, sch. 40</v>
          </cell>
          <cell r="E174" t="str">
            <v>pc</v>
          </cell>
          <cell r="F174" t="str">
            <v>Material</v>
          </cell>
          <cell r="G174">
            <v>0.72</v>
          </cell>
          <cell r="H174">
            <v>0</v>
          </cell>
          <cell r="I174">
            <v>170</v>
          </cell>
          <cell r="J174">
            <v>478</v>
          </cell>
          <cell r="K174">
            <v>210</v>
          </cell>
          <cell r="L174">
            <v>169</v>
          </cell>
          <cell r="M174">
            <v>245</v>
          </cell>
          <cell r="N174">
            <v>195</v>
          </cell>
          <cell r="O174">
            <v>286</v>
          </cell>
          <cell r="P174">
            <v>195</v>
          </cell>
          <cell r="Q174">
            <v>195</v>
          </cell>
          <cell r="R174">
            <v>195</v>
          </cell>
          <cell r="S174">
            <v>215</v>
          </cell>
        </row>
        <row r="175">
          <cell r="C175" t="str">
            <v>4126</v>
          </cell>
          <cell r="D175" t="str">
            <v>3" G.I. Elbow 45 degree, sch. 40</v>
          </cell>
          <cell r="E175" t="str">
            <v>pc</v>
          </cell>
          <cell r="F175" t="str">
            <v>Material</v>
          </cell>
          <cell r="G175">
            <v>0.74</v>
          </cell>
          <cell r="H175">
            <v>0</v>
          </cell>
          <cell r="I175">
            <v>300</v>
          </cell>
          <cell r="J175">
            <v>11.5</v>
          </cell>
          <cell r="K175">
            <v>280</v>
          </cell>
          <cell r="L175">
            <v>244</v>
          </cell>
          <cell r="M175">
            <v>441</v>
          </cell>
          <cell r="N175">
            <v>260</v>
          </cell>
          <cell r="O175">
            <v>480</v>
          </cell>
          <cell r="P175">
            <v>260</v>
          </cell>
          <cell r="Q175">
            <v>260</v>
          </cell>
          <cell r="R175">
            <v>260</v>
          </cell>
          <cell r="S175">
            <v>286</v>
          </cell>
        </row>
        <row r="176">
          <cell r="C176" t="str">
            <v>4127</v>
          </cell>
          <cell r="D176" t="str">
            <v>4" G.I. Elbow 45 degree, sch. 40</v>
          </cell>
          <cell r="E176" t="str">
            <v>pc</v>
          </cell>
          <cell r="F176" t="str">
            <v>Material</v>
          </cell>
          <cell r="G176">
            <v>0.76</v>
          </cell>
          <cell r="H176">
            <v>0</v>
          </cell>
          <cell r="I176">
            <v>510</v>
          </cell>
          <cell r="J176">
            <v>26.2</v>
          </cell>
          <cell r="K176">
            <v>491</v>
          </cell>
          <cell r="L176">
            <v>440</v>
          </cell>
          <cell r="M176">
            <v>12</v>
          </cell>
          <cell r="N176">
            <v>450</v>
          </cell>
          <cell r="O176">
            <v>13</v>
          </cell>
          <cell r="P176">
            <v>450</v>
          </cell>
          <cell r="Q176">
            <v>450</v>
          </cell>
          <cell r="R176">
            <v>450</v>
          </cell>
          <cell r="S176">
            <v>498</v>
          </cell>
        </row>
        <row r="177">
          <cell r="C177" t="str">
            <v>'4140</v>
          </cell>
          <cell r="D177" t="str">
            <v>½" G.I. Elbow 90 degree, sch 40</v>
          </cell>
          <cell r="E177" t="str">
            <v>pc</v>
          </cell>
          <cell r="F177" t="str">
            <v>Material</v>
          </cell>
          <cell r="G177">
            <v>0.13</v>
          </cell>
          <cell r="H177">
            <v>0</v>
          </cell>
          <cell r="I177">
            <v>13</v>
          </cell>
          <cell r="J177">
            <v>40.5</v>
          </cell>
          <cell r="K177">
            <v>18</v>
          </cell>
          <cell r="L177">
            <v>11</v>
          </cell>
          <cell r="M177">
            <v>28</v>
          </cell>
          <cell r="N177">
            <v>12</v>
          </cell>
          <cell r="O177">
            <v>30</v>
          </cell>
          <cell r="P177">
            <v>12</v>
          </cell>
          <cell r="Q177">
            <v>12</v>
          </cell>
          <cell r="R177">
            <v>12</v>
          </cell>
          <cell r="S177">
            <v>20</v>
          </cell>
        </row>
        <row r="178">
          <cell r="C178" t="str">
            <v>4141</v>
          </cell>
          <cell r="D178" t="str">
            <v>1" G.I. Elbow 90 degree, sch 40</v>
          </cell>
          <cell r="E178" t="str">
            <v>pc</v>
          </cell>
          <cell r="F178" t="str">
            <v>Material</v>
          </cell>
          <cell r="G178">
            <v>0.26</v>
          </cell>
          <cell r="H178">
            <v>0</v>
          </cell>
          <cell r="I178">
            <v>27</v>
          </cell>
          <cell r="J178">
            <v>52</v>
          </cell>
          <cell r="K178">
            <v>28</v>
          </cell>
          <cell r="L178">
            <v>25</v>
          </cell>
          <cell r="M178">
            <v>40</v>
          </cell>
          <cell r="N178">
            <v>26</v>
          </cell>
          <cell r="O178">
            <v>45</v>
          </cell>
          <cell r="P178">
            <v>26</v>
          </cell>
          <cell r="Q178">
            <v>26</v>
          </cell>
          <cell r="R178">
            <v>26</v>
          </cell>
          <cell r="S178">
            <v>31</v>
          </cell>
        </row>
        <row r="179">
          <cell r="C179" t="str">
            <v>4142</v>
          </cell>
          <cell r="D179" t="str">
            <v>1¼" G.I. Elbow 90 degree, sch 40</v>
          </cell>
          <cell r="E179" t="str">
            <v>pc</v>
          </cell>
          <cell r="F179" t="str">
            <v>Material</v>
          </cell>
          <cell r="G179">
            <v>0.39</v>
          </cell>
          <cell r="H179">
            <v>0</v>
          </cell>
          <cell r="I179">
            <v>41</v>
          </cell>
          <cell r="J179">
            <v>78</v>
          </cell>
          <cell r="K179">
            <v>48</v>
          </cell>
          <cell r="L179">
            <v>39</v>
          </cell>
          <cell r="M179">
            <v>50</v>
          </cell>
          <cell r="N179">
            <v>45</v>
          </cell>
          <cell r="O179">
            <v>58</v>
          </cell>
          <cell r="P179">
            <v>40</v>
          </cell>
          <cell r="Q179">
            <v>40</v>
          </cell>
          <cell r="R179">
            <v>45</v>
          </cell>
          <cell r="S179">
            <v>51</v>
          </cell>
        </row>
        <row r="180">
          <cell r="C180" t="str">
            <v>4143</v>
          </cell>
          <cell r="D180" t="str">
            <v>1½"  G.I. Elbow 90 degree, sch 40</v>
          </cell>
          <cell r="E180" t="str">
            <v>pc</v>
          </cell>
          <cell r="F180" t="str">
            <v>Material</v>
          </cell>
          <cell r="G180">
            <v>0.41</v>
          </cell>
          <cell r="H180">
            <v>0</v>
          </cell>
          <cell r="I180">
            <v>58</v>
          </cell>
          <cell r="J180">
            <v>156</v>
          </cell>
          <cell r="K180">
            <v>55</v>
          </cell>
          <cell r="L180">
            <v>50</v>
          </cell>
          <cell r="M180">
            <v>78</v>
          </cell>
          <cell r="N180">
            <v>56</v>
          </cell>
          <cell r="O180">
            <v>80</v>
          </cell>
          <cell r="P180">
            <v>50</v>
          </cell>
          <cell r="Q180">
            <v>50</v>
          </cell>
          <cell r="R180">
            <v>56</v>
          </cell>
          <cell r="S180">
            <v>60</v>
          </cell>
        </row>
        <row r="181">
          <cell r="C181" t="str">
            <v>4144</v>
          </cell>
          <cell r="D181" t="str">
            <v>2" G.I. Elbow 90 degree, sch 40</v>
          </cell>
          <cell r="E181" t="str">
            <v>pc</v>
          </cell>
          <cell r="F181" t="str">
            <v>Material</v>
          </cell>
          <cell r="G181">
            <v>0.54</v>
          </cell>
          <cell r="H181">
            <v>0</v>
          </cell>
          <cell r="I181">
            <v>77</v>
          </cell>
          <cell r="J181">
            <v>220</v>
          </cell>
          <cell r="K181">
            <v>91</v>
          </cell>
          <cell r="L181">
            <v>77</v>
          </cell>
          <cell r="M181">
            <v>155</v>
          </cell>
          <cell r="N181">
            <v>82</v>
          </cell>
          <cell r="O181">
            <v>157</v>
          </cell>
          <cell r="P181">
            <v>82</v>
          </cell>
          <cell r="Q181">
            <v>82</v>
          </cell>
          <cell r="R181">
            <v>82</v>
          </cell>
          <cell r="S181">
            <v>94</v>
          </cell>
        </row>
        <row r="182">
          <cell r="C182" t="str">
            <v>4145</v>
          </cell>
          <cell r="D182" t="str">
            <v>2½" G.I. Elbow 90 degree, sch 40</v>
          </cell>
          <cell r="E182" t="str">
            <v>pc</v>
          </cell>
          <cell r="F182" t="str">
            <v>Material</v>
          </cell>
          <cell r="G182">
            <v>0.67</v>
          </cell>
          <cell r="H182">
            <v>0</v>
          </cell>
          <cell r="I182">
            <v>156</v>
          </cell>
          <cell r="J182">
            <v>399</v>
          </cell>
          <cell r="K182">
            <v>160</v>
          </cell>
          <cell r="L182">
            <v>154</v>
          </cell>
          <cell r="M182">
            <v>215</v>
          </cell>
          <cell r="N182">
            <v>150</v>
          </cell>
          <cell r="O182">
            <v>220</v>
          </cell>
          <cell r="P182">
            <v>148</v>
          </cell>
          <cell r="Q182">
            <v>148</v>
          </cell>
          <cell r="R182">
            <v>150</v>
          </cell>
          <cell r="S182">
            <v>165</v>
          </cell>
        </row>
        <row r="183">
          <cell r="C183" t="str">
            <v>4146</v>
          </cell>
          <cell r="D183" t="str">
            <v>3" G.I. Elbow 90 degree, sch 40</v>
          </cell>
          <cell r="E183" t="str">
            <v>pc</v>
          </cell>
          <cell r="F183" t="str">
            <v>Material</v>
          </cell>
          <cell r="G183">
            <v>0.8</v>
          </cell>
          <cell r="H183">
            <v>0</v>
          </cell>
          <cell r="I183">
            <v>220</v>
          </cell>
          <cell r="J183">
            <v>15</v>
          </cell>
          <cell r="K183">
            <v>228</v>
          </cell>
          <cell r="L183">
            <v>215</v>
          </cell>
          <cell r="M183">
            <v>394</v>
          </cell>
          <cell r="N183">
            <v>220</v>
          </cell>
          <cell r="O183">
            <v>400</v>
          </cell>
          <cell r="P183">
            <v>220</v>
          </cell>
          <cell r="Q183">
            <v>220</v>
          </cell>
          <cell r="R183">
            <v>220</v>
          </cell>
          <cell r="S183">
            <v>230</v>
          </cell>
        </row>
        <row r="184">
          <cell r="C184" t="str">
            <v>4147</v>
          </cell>
          <cell r="D184" t="str">
            <v>4" G.I. Elbow 90 degree, sch 40</v>
          </cell>
          <cell r="E184" t="str">
            <v>pc</v>
          </cell>
          <cell r="F184" t="str">
            <v>Material</v>
          </cell>
          <cell r="G184">
            <v>0.93</v>
          </cell>
          <cell r="H184">
            <v>0</v>
          </cell>
          <cell r="I184">
            <v>400</v>
          </cell>
          <cell r="J184">
            <v>35</v>
          </cell>
          <cell r="K184">
            <v>410</v>
          </cell>
          <cell r="L184">
            <v>394</v>
          </cell>
          <cell r="M184">
            <v>12</v>
          </cell>
          <cell r="N184">
            <v>395</v>
          </cell>
          <cell r="O184">
            <v>17.5</v>
          </cell>
          <cell r="P184">
            <v>408</v>
          </cell>
          <cell r="Q184">
            <v>408</v>
          </cell>
          <cell r="R184">
            <v>395</v>
          </cell>
          <cell r="S184">
            <v>420</v>
          </cell>
        </row>
        <row r="185">
          <cell r="C185" t="str">
            <v>'4160</v>
          </cell>
          <cell r="D185" t="str">
            <v>½" G.I. TEE, sch 40</v>
          </cell>
          <cell r="E185" t="str">
            <v>pc</v>
          </cell>
          <cell r="F185" t="str">
            <v>Material</v>
          </cell>
          <cell r="G185">
            <v>0.3</v>
          </cell>
          <cell r="H185">
            <v>0</v>
          </cell>
          <cell r="I185">
            <v>17</v>
          </cell>
          <cell r="J185">
            <v>56</v>
          </cell>
          <cell r="K185">
            <v>20</v>
          </cell>
          <cell r="L185">
            <v>12</v>
          </cell>
          <cell r="M185">
            <v>32</v>
          </cell>
          <cell r="N185">
            <v>18</v>
          </cell>
          <cell r="O185">
            <v>35</v>
          </cell>
          <cell r="P185">
            <v>18</v>
          </cell>
          <cell r="Q185">
            <v>18</v>
          </cell>
          <cell r="R185">
            <v>18</v>
          </cell>
          <cell r="S185">
            <v>24</v>
          </cell>
        </row>
        <row r="186">
          <cell r="C186" t="str">
            <v>4161</v>
          </cell>
          <cell r="D186" t="str">
            <v>1" G.I. TEE, sch 40</v>
          </cell>
          <cell r="E186" t="str">
            <v>pc</v>
          </cell>
          <cell r="F186" t="str">
            <v>Material</v>
          </cell>
          <cell r="G186">
            <v>0.6</v>
          </cell>
          <cell r="H186">
            <v>0</v>
          </cell>
          <cell r="I186">
            <v>38</v>
          </cell>
          <cell r="J186">
            <v>71.400000000000006</v>
          </cell>
          <cell r="K186">
            <v>45</v>
          </cell>
          <cell r="L186">
            <v>31</v>
          </cell>
          <cell r="M186">
            <v>50</v>
          </cell>
          <cell r="N186">
            <v>40</v>
          </cell>
          <cell r="O186">
            <v>59</v>
          </cell>
          <cell r="P186">
            <v>40</v>
          </cell>
          <cell r="Q186">
            <v>40</v>
          </cell>
          <cell r="R186">
            <v>40</v>
          </cell>
          <cell r="S186">
            <v>48</v>
          </cell>
        </row>
        <row r="187">
          <cell r="C187" t="str">
            <v>4162</v>
          </cell>
          <cell r="D187" t="str">
            <v>1¼" G.I. TEE, sch 40</v>
          </cell>
          <cell r="E187" t="str">
            <v>pc</v>
          </cell>
          <cell r="F187" t="str">
            <v>Material</v>
          </cell>
          <cell r="G187">
            <v>0.9</v>
          </cell>
          <cell r="H187">
            <v>0</v>
          </cell>
          <cell r="I187">
            <v>45</v>
          </cell>
          <cell r="J187">
            <v>103</v>
          </cell>
          <cell r="K187">
            <v>60</v>
          </cell>
          <cell r="L187">
            <v>50</v>
          </cell>
          <cell r="M187">
            <v>65</v>
          </cell>
          <cell r="N187">
            <v>62</v>
          </cell>
          <cell r="O187">
            <v>71</v>
          </cell>
          <cell r="P187">
            <v>54</v>
          </cell>
          <cell r="Q187">
            <v>54</v>
          </cell>
          <cell r="R187">
            <v>62</v>
          </cell>
          <cell r="S187">
            <v>65</v>
          </cell>
        </row>
        <row r="188">
          <cell r="C188" t="str">
            <v>4163</v>
          </cell>
          <cell r="D188" t="str">
            <v>1½" G.I. TEE, sch 40</v>
          </cell>
          <cell r="E188" t="str">
            <v>pc</v>
          </cell>
          <cell r="F188" t="str">
            <v>Material</v>
          </cell>
          <cell r="G188">
            <v>1.2</v>
          </cell>
          <cell r="H188">
            <v>0</v>
          </cell>
          <cell r="I188">
            <v>80</v>
          </cell>
          <cell r="J188">
            <v>230</v>
          </cell>
          <cell r="K188">
            <v>78</v>
          </cell>
          <cell r="L188">
            <v>65</v>
          </cell>
          <cell r="M188">
            <v>95</v>
          </cell>
          <cell r="N188">
            <v>70</v>
          </cell>
          <cell r="O188">
            <v>103</v>
          </cell>
          <cell r="P188">
            <v>70</v>
          </cell>
          <cell r="Q188">
            <v>70</v>
          </cell>
          <cell r="R188">
            <v>70</v>
          </cell>
          <cell r="S188">
            <v>81</v>
          </cell>
        </row>
        <row r="189">
          <cell r="C189" t="str">
            <v>4164</v>
          </cell>
          <cell r="D189" t="str">
            <v>2"  G.I. TEE, sch 40</v>
          </cell>
          <cell r="E189" t="str">
            <v>pc</v>
          </cell>
          <cell r="F189" t="str">
            <v>Material</v>
          </cell>
          <cell r="G189">
            <v>1.5</v>
          </cell>
          <cell r="H189">
            <v>0</v>
          </cell>
          <cell r="I189">
            <v>100</v>
          </cell>
          <cell r="J189">
            <v>300</v>
          </cell>
          <cell r="K189">
            <v>115</v>
          </cell>
          <cell r="L189">
            <v>95</v>
          </cell>
          <cell r="M189">
            <v>276</v>
          </cell>
          <cell r="N189">
            <v>100</v>
          </cell>
          <cell r="O189">
            <v>230</v>
          </cell>
          <cell r="P189">
            <v>105</v>
          </cell>
          <cell r="Q189">
            <v>105</v>
          </cell>
          <cell r="R189">
            <v>100</v>
          </cell>
          <cell r="S189">
            <v>125</v>
          </cell>
        </row>
        <row r="190">
          <cell r="C190" t="str">
            <v>4165</v>
          </cell>
          <cell r="D190" t="str">
            <v>2½" G.I. TEE, sch 40</v>
          </cell>
          <cell r="E190" t="str">
            <v>pc</v>
          </cell>
          <cell r="F190" t="str">
            <v>Material</v>
          </cell>
          <cell r="G190">
            <v>1.8</v>
          </cell>
          <cell r="H190">
            <v>0</v>
          </cell>
          <cell r="I190">
            <v>280</v>
          </cell>
          <cell r="J190">
            <v>540</v>
          </cell>
          <cell r="K190">
            <v>300</v>
          </cell>
          <cell r="L190">
            <v>275</v>
          </cell>
          <cell r="M190">
            <v>350</v>
          </cell>
          <cell r="N190">
            <v>225</v>
          </cell>
          <cell r="O190">
            <v>300</v>
          </cell>
          <cell r="P190">
            <v>260</v>
          </cell>
          <cell r="Q190">
            <v>260</v>
          </cell>
          <cell r="R190">
            <v>225</v>
          </cell>
          <cell r="S190">
            <v>300</v>
          </cell>
        </row>
        <row r="191">
          <cell r="C191" t="str">
            <v>4166</v>
          </cell>
          <cell r="D191" t="str">
            <v>3" G.I. TEE, sch 40</v>
          </cell>
          <cell r="E191" t="str">
            <v>pc</v>
          </cell>
          <cell r="F191" t="str">
            <v>Material</v>
          </cell>
          <cell r="G191">
            <v>2.1</v>
          </cell>
          <cell r="H191">
            <v>0</v>
          </cell>
          <cell r="I191">
            <v>350</v>
          </cell>
          <cell r="J191">
            <v>78.900000000000006</v>
          </cell>
          <cell r="K191">
            <v>350</v>
          </cell>
          <cell r="L191">
            <v>351</v>
          </cell>
          <cell r="M191">
            <v>410</v>
          </cell>
          <cell r="N191">
            <v>300</v>
          </cell>
          <cell r="O191">
            <v>556</v>
          </cell>
          <cell r="P191">
            <v>336</v>
          </cell>
          <cell r="Q191">
            <v>336</v>
          </cell>
          <cell r="R191">
            <v>300</v>
          </cell>
          <cell r="S191">
            <v>350</v>
          </cell>
        </row>
        <row r="192">
          <cell r="C192" t="str">
            <v>4167</v>
          </cell>
          <cell r="D192" t="str">
            <v>4" G.I. TEE, sch 40</v>
          </cell>
          <cell r="E192" t="str">
            <v>pc</v>
          </cell>
          <cell r="F192" t="str">
            <v>Material</v>
          </cell>
          <cell r="G192">
            <v>2.4</v>
          </cell>
          <cell r="H192">
            <v>0</v>
          </cell>
          <cell r="I192">
            <v>620</v>
          </cell>
          <cell r="J192">
            <v>50</v>
          </cell>
          <cell r="K192">
            <v>580</v>
          </cell>
          <cell r="L192">
            <v>400</v>
          </cell>
          <cell r="M192">
            <v>80</v>
          </cell>
          <cell r="N192">
            <v>435</v>
          </cell>
          <cell r="O192">
            <v>80</v>
          </cell>
          <cell r="P192">
            <v>450</v>
          </cell>
          <cell r="Q192">
            <v>450</v>
          </cell>
          <cell r="R192">
            <v>435</v>
          </cell>
          <cell r="S192">
            <v>580</v>
          </cell>
        </row>
        <row r="193">
          <cell r="C193" t="str">
            <v>4180</v>
          </cell>
          <cell r="D193" t="str">
            <v>½" G.I. Nipples, 12"</v>
          </cell>
          <cell r="E193" t="str">
            <v>pc</v>
          </cell>
          <cell r="F193" t="str">
            <v>Material</v>
          </cell>
          <cell r="G193">
            <v>0</v>
          </cell>
          <cell r="H193">
            <v>5.0000000000000001E-4</v>
          </cell>
          <cell r="I193">
            <v>65</v>
          </cell>
          <cell r="J193">
            <v>74</v>
          </cell>
          <cell r="K193">
            <v>65</v>
          </cell>
          <cell r="L193">
            <v>63.8</v>
          </cell>
          <cell r="M193">
            <v>50</v>
          </cell>
          <cell r="N193">
            <v>65</v>
          </cell>
          <cell r="O193">
            <v>51</v>
          </cell>
          <cell r="P193">
            <v>64.2</v>
          </cell>
          <cell r="Q193">
            <v>64.2</v>
          </cell>
          <cell r="R193">
            <v>66</v>
          </cell>
          <cell r="S193">
            <v>66</v>
          </cell>
        </row>
        <row r="194">
          <cell r="C194" t="str">
            <v>4181</v>
          </cell>
          <cell r="D194" t="str">
            <v>1" G.I. Nipples, 12"</v>
          </cell>
          <cell r="E194" t="str">
            <v>pc</v>
          </cell>
          <cell r="F194" t="str">
            <v>Material</v>
          </cell>
          <cell r="G194">
            <v>0.25</v>
          </cell>
          <cell r="H194">
            <v>0</v>
          </cell>
          <cell r="I194">
            <v>79</v>
          </cell>
          <cell r="J194">
            <v>15</v>
          </cell>
          <cell r="K194">
            <v>80</v>
          </cell>
          <cell r="L194">
            <v>79</v>
          </cell>
          <cell r="M194">
            <v>49</v>
          </cell>
          <cell r="N194">
            <v>80</v>
          </cell>
          <cell r="O194">
            <v>50</v>
          </cell>
          <cell r="P194">
            <v>80</v>
          </cell>
          <cell r="Q194">
            <v>80</v>
          </cell>
          <cell r="R194">
            <v>80</v>
          </cell>
          <cell r="S194">
            <v>79</v>
          </cell>
        </row>
        <row r="195">
          <cell r="C195" t="str">
            <v>4182</v>
          </cell>
          <cell r="D195" t="str">
            <v>1" G.I. Nipple, 10"</v>
          </cell>
          <cell r="E195" t="str">
            <v>pc</v>
          </cell>
          <cell r="F195" t="str">
            <v>Material</v>
          </cell>
          <cell r="G195">
            <v>0</v>
          </cell>
          <cell r="H195">
            <v>1E-4</v>
          </cell>
          <cell r="I195">
            <v>50</v>
          </cell>
          <cell r="J195">
            <v>31.8</v>
          </cell>
          <cell r="K195">
            <v>50</v>
          </cell>
          <cell r="L195">
            <v>49</v>
          </cell>
          <cell r="M195">
            <v>18</v>
          </cell>
          <cell r="N195">
            <v>50</v>
          </cell>
          <cell r="O195">
            <v>16.5</v>
          </cell>
          <cell r="P195">
            <v>50</v>
          </cell>
          <cell r="Q195">
            <v>50</v>
          </cell>
          <cell r="R195">
            <v>50</v>
          </cell>
          <cell r="S195">
            <v>49</v>
          </cell>
        </row>
        <row r="196">
          <cell r="C196" t="str">
            <v>4183</v>
          </cell>
          <cell r="D196" t="str">
            <v>1¼" G.I. Nipples, 4"</v>
          </cell>
          <cell r="E196" t="str">
            <v>pc</v>
          </cell>
          <cell r="F196" t="str">
            <v>Material</v>
          </cell>
          <cell r="G196">
            <v>0</v>
          </cell>
          <cell r="H196">
            <v>1E-4</v>
          </cell>
          <cell r="I196">
            <v>15.5</v>
          </cell>
          <cell r="J196">
            <v>65.2</v>
          </cell>
          <cell r="K196">
            <v>15.5</v>
          </cell>
          <cell r="L196">
            <v>15</v>
          </cell>
          <cell r="M196">
            <v>32</v>
          </cell>
          <cell r="N196">
            <v>15.5</v>
          </cell>
          <cell r="O196">
            <v>32</v>
          </cell>
          <cell r="P196">
            <v>17</v>
          </cell>
          <cell r="Q196">
            <v>17</v>
          </cell>
          <cell r="R196">
            <v>18</v>
          </cell>
          <cell r="S196">
            <v>18</v>
          </cell>
        </row>
        <row r="197">
          <cell r="C197" t="str">
            <v>4184</v>
          </cell>
          <cell r="D197" t="str">
            <v>1¼" G.I. Nipples, 12"</v>
          </cell>
          <cell r="E197" t="str">
            <v>pc</v>
          </cell>
          <cell r="F197" t="str">
            <v>Material</v>
          </cell>
          <cell r="G197">
            <v>0</v>
          </cell>
          <cell r="H197">
            <v>2.0000000000000001E-4</v>
          </cell>
          <cell r="I197">
            <v>32</v>
          </cell>
          <cell r="J197">
            <v>50</v>
          </cell>
          <cell r="K197">
            <v>32</v>
          </cell>
          <cell r="L197">
            <v>30</v>
          </cell>
          <cell r="M197">
            <v>64</v>
          </cell>
          <cell r="N197">
            <v>32</v>
          </cell>
          <cell r="O197">
            <v>66</v>
          </cell>
          <cell r="P197">
            <v>32</v>
          </cell>
          <cell r="Q197">
            <v>32</v>
          </cell>
          <cell r="R197">
            <v>31.5</v>
          </cell>
          <cell r="S197">
            <v>30</v>
          </cell>
        </row>
        <row r="198">
          <cell r="C198" t="str">
            <v>4200</v>
          </cell>
          <cell r="D198" t="str">
            <v>½" G.I. Cap</v>
          </cell>
          <cell r="E198" t="str">
            <v>pc</v>
          </cell>
          <cell r="F198" t="str">
            <v>Material</v>
          </cell>
          <cell r="G198">
            <v>0.5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C199" t="str">
            <v>4201</v>
          </cell>
          <cell r="D199" t="str">
            <v>1½" G.I. Cap</v>
          </cell>
          <cell r="E199" t="str">
            <v>pc</v>
          </cell>
          <cell r="F199" t="str">
            <v>Material</v>
          </cell>
          <cell r="G199">
            <v>0.25</v>
          </cell>
          <cell r="H199">
            <v>0</v>
          </cell>
          <cell r="I199">
            <v>52</v>
          </cell>
          <cell r="J199">
            <v>106</v>
          </cell>
          <cell r="K199">
            <v>52</v>
          </cell>
          <cell r="L199">
            <v>48.9</v>
          </cell>
          <cell r="M199">
            <v>75</v>
          </cell>
          <cell r="N199">
            <v>52</v>
          </cell>
          <cell r="O199">
            <v>77</v>
          </cell>
          <cell r="P199">
            <v>49.85</v>
          </cell>
          <cell r="Q199">
            <v>49.85</v>
          </cell>
          <cell r="R199">
            <v>50</v>
          </cell>
          <cell r="S199">
            <v>49</v>
          </cell>
        </row>
        <row r="200">
          <cell r="C200" t="str">
            <v>4202</v>
          </cell>
          <cell r="D200" t="str">
            <v>2" G.I. Cap</v>
          </cell>
          <cell r="E200" t="str">
            <v>pc</v>
          </cell>
          <cell r="F200" t="str">
            <v>Material</v>
          </cell>
          <cell r="G200">
            <v>0.5</v>
          </cell>
          <cell r="H200">
            <v>0</v>
          </cell>
          <cell r="I200">
            <v>75</v>
          </cell>
          <cell r="J200">
            <v>69</v>
          </cell>
          <cell r="K200">
            <v>75</v>
          </cell>
          <cell r="L200">
            <v>70</v>
          </cell>
          <cell r="M200">
            <v>106</v>
          </cell>
          <cell r="N200">
            <v>75</v>
          </cell>
          <cell r="O200">
            <v>115</v>
          </cell>
          <cell r="P200">
            <v>78</v>
          </cell>
          <cell r="Q200">
            <v>78</v>
          </cell>
          <cell r="R200">
            <v>75.099999999999994</v>
          </cell>
          <cell r="S200">
            <v>75</v>
          </cell>
        </row>
        <row r="201">
          <cell r="C201" t="str">
            <v>4220</v>
          </cell>
          <cell r="D201" t="str">
            <v>2"x3/4", Saddle Clamp</v>
          </cell>
          <cell r="E201" t="str">
            <v>pc</v>
          </cell>
          <cell r="F201" t="str">
            <v>Material</v>
          </cell>
          <cell r="G201">
            <v>0.25</v>
          </cell>
          <cell r="H201">
            <v>0</v>
          </cell>
          <cell r="I201">
            <v>110</v>
          </cell>
          <cell r="J201">
            <v>310</v>
          </cell>
          <cell r="K201">
            <v>110</v>
          </cell>
          <cell r="L201">
            <v>105</v>
          </cell>
          <cell r="M201">
            <v>68</v>
          </cell>
          <cell r="N201">
            <v>110</v>
          </cell>
          <cell r="O201">
            <v>72</v>
          </cell>
          <cell r="P201">
            <v>120</v>
          </cell>
          <cell r="Q201">
            <v>120</v>
          </cell>
          <cell r="R201">
            <v>112</v>
          </cell>
          <cell r="S201">
            <v>110</v>
          </cell>
        </row>
        <row r="202">
          <cell r="C202" t="str">
            <v>4230</v>
          </cell>
          <cell r="D202" t="str">
            <v>½" Gate Valve</v>
          </cell>
          <cell r="E202" t="str">
            <v>pc</v>
          </cell>
          <cell r="F202" t="str">
            <v>Material</v>
          </cell>
          <cell r="G202">
            <v>0</v>
          </cell>
          <cell r="H202">
            <v>0.01</v>
          </cell>
          <cell r="I202">
            <v>75</v>
          </cell>
          <cell r="J202">
            <v>75</v>
          </cell>
          <cell r="K202">
            <v>75</v>
          </cell>
          <cell r="L202">
            <v>75</v>
          </cell>
          <cell r="M202">
            <v>75</v>
          </cell>
          <cell r="N202">
            <v>75</v>
          </cell>
          <cell r="O202">
            <v>75</v>
          </cell>
          <cell r="P202">
            <v>75</v>
          </cell>
          <cell r="Q202">
            <v>75</v>
          </cell>
          <cell r="R202">
            <v>75</v>
          </cell>
          <cell r="S202">
            <v>75</v>
          </cell>
        </row>
        <row r="203">
          <cell r="C203" t="str">
            <v>4231</v>
          </cell>
          <cell r="D203" t="str">
            <v>2" Gate Valve</v>
          </cell>
          <cell r="E203" t="str">
            <v>pc</v>
          </cell>
          <cell r="F203" t="str">
            <v>Material</v>
          </cell>
          <cell r="G203">
            <v>1</v>
          </cell>
          <cell r="H203">
            <v>0</v>
          </cell>
          <cell r="I203">
            <v>323</v>
          </cell>
          <cell r="J203">
            <v>30.2</v>
          </cell>
          <cell r="K203">
            <v>323</v>
          </cell>
          <cell r="L203">
            <v>310</v>
          </cell>
          <cell r="M203">
            <v>80</v>
          </cell>
          <cell r="N203">
            <v>323</v>
          </cell>
          <cell r="O203">
            <v>80</v>
          </cell>
          <cell r="P203">
            <v>300</v>
          </cell>
          <cell r="Q203">
            <v>300</v>
          </cell>
          <cell r="R203">
            <v>315</v>
          </cell>
          <cell r="S203">
            <v>315</v>
          </cell>
        </row>
        <row r="204">
          <cell r="C204" t="str">
            <v>4240</v>
          </cell>
          <cell r="D204" t="str">
            <v xml:space="preserve">½"  G.I. Union Patent </v>
          </cell>
          <cell r="E204" t="str">
            <v>pc</v>
          </cell>
          <cell r="F204" t="str">
            <v>Material</v>
          </cell>
          <cell r="G204">
            <v>0.25</v>
          </cell>
          <cell r="H204">
            <v>0</v>
          </cell>
          <cell r="I204">
            <v>30</v>
          </cell>
          <cell r="J204">
            <v>275</v>
          </cell>
          <cell r="K204">
            <v>30</v>
          </cell>
          <cell r="L204">
            <v>30</v>
          </cell>
          <cell r="M204">
            <v>0</v>
          </cell>
          <cell r="N204">
            <v>30</v>
          </cell>
          <cell r="O204">
            <v>0</v>
          </cell>
          <cell r="P204">
            <v>30</v>
          </cell>
          <cell r="Q204">
            <v>30</v>
          </cell>
          <cell r="R204">
            <v>30</v>
          </cell>
          <cell r="S204">
            <v>30</v>
          </cell>
        </row>
        <row r="205">
          <cell r="C205" t="str">
            <v>4250</v>
          </cell>
          <cell r="D205" t="str">
            <v xml:space="preserve">1"x2", G.I. Bushing </v>
          </cell>
          <cell r="E205" t="str">
            <v>pc</v>
          </cell>
          <cell r="F205" t="str">
            <v>Material</v>
          </cell>
          <cell r="G205">
            <v>0.25</v>
          </cell>
          <cell r="H205">
            <v>0</v>
          </cell>
          <cell r="I205">
            <v>0</v>
          </cell>
          <cell r="J205">
            <v>82.5</v>
          </cell>
          <cell r="K205">
            <v>0</v>
          </cell>
          <cell r="L205">
            <v>0</v>
          </cell>
          <cell r="M205">
            <v>280</v>
          </cell>
          <cell r="N205">
            <v>0</v>
          </cell>
          <cell r="O205">
            <v>274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C206" t="str">
            <v>4260</v>
          </cell>
          <cell r="D206" t="str">
            <v>3" Brass Foot Valve Assembly</v>
          </cell>
          <cell r="E206" t="str">
            <v>Set</v>
          </cell>
          <cell r="F206" t="str">
            <v>Material</v>
          </cell>
          <cell r="G206">
            <v>0</v>
          </cell>
          <cell r="H206">
            <v>0</v>
          </cell>
          <cell r="I206">
            <v>400</v>
          </cell>
          <cell r="J206">
            <v>50</v>
          </cell>
          <cell r="K206">
            <v>450</v>
          </cell>
          <cell r="L206">
            <v>400</v>
          </cell>
          <cell r="M206">
            <v>50</v>
          </cell>
          <cell r="N206">
            <v>400</v>
          </cell>
          <cell r="O206">
            <v>50</v>
          </cell>
          <cell r="P206">
            <v>400</v>
          </cell>
          <cell r="Q206">
            <v>400</v>
          </cell>
          <cell r="R206">
            <v>400</v>
          </cell>
          <cell r="S206">
            <v>400</v>
          </cell>
        </row>
        <row r="207">
          <cell r="C207" t="str">
            <v>4270</v>
          </cell>
          <cell r="D207" t="str">
            <v>Teflon Tape</v>
          </cell>
          <cell r="E207" t="str">
            <v>pc</v>
          </cell>
          <cell r="F207" t="str">
            <v>Material</v>
          </cell>
          <cell r="G207">
            <v>0.02</v>
          </cell>
          <cell r="H207">
            <v>0</v>
          </cell>
          <cell r="I207">
            <v>5</v>
          </cell>
          <cell r="J207">
            <v>105</v>
          </cell>
          <cell r="K207">
            <v>5</v>
          </cell>
          <cell r="L207">
            <v>5</v>
          </cell>
          <cell r="M207">
            <v>105</v>
          </cell>
          <cell r="N207">
            <v>5</v>
          </cell>
          <cell r="O207">
            <v>105</v>
          </cell>
          <cell r="P207">
            <v>5</v>
          </cell>
          <cell r="Q207">
            <v>5</v>
          </cell>
          <cell r="R207">
            <v>5</v>
          </cell>
          <cell r="S207">
            <v>0</v>
          </cell>
        </row>
        <row r="209">
          <cell r="C209" t="str">
            <v>4500</v>
          </cell>
          <cell r="D209" t="str">
            <v>2" PVC Pipe x 3.00m, Sch 40</v>
          </cell>
          <cell r="E209" t="str">
            <v>pc</v>
          </cell>
          <cell r="F209" t="str">
            <v>Material</v>
          </cell>
          <cell r="G209">
            <v>0.9</v>
          </cell>
          <cell r="H209">
            <v>0</v>
          </cell>
          <cell r="I209">
            <v>80</v>
          </cell>
          <cell r="J209">
            <v>190</v>
          </cell>
          <cell r="K209">
            <v>78</v>
          </cell>
          <cell r="L209">
            <v>50</v>
          </cell>
          <cell r="M209">
            <v>90</v>
          </cell>
          <cell r="N209">
            <v>65</v>
          </cell>
          <cell r="O209">
            <v>130</v>
          </cell>
          <cell r="P209">
            <v>75</v>
          </cell>
          <cell r="Q209">
            <v>75</v>
          </cell>
          <cell r="R209">
            <v>65</v>
          </cell>
          <cell r="S209">
            <v>72</v>
          </cell>
        </row>
        <row r="210">
          <cell r="C210">
            <v>4501</v>
          </cell>
          <cell r="D210" t="str">
            <v>3" PVC Pipe x 3.00m, Sch 40</v>
          </cell>
          <cell r="E210" t="str">
            <v>pc</v>
          </cell>
          <cell r="F210" t="str">
            <v>Material</v>
          </cell>
          <cell r="G210">
            <v>1.1000000000000001</v>
          </cell>
          <cell r="H210">
            <v>0</v>
          </cell>
          <cell r="I210">
            <v>130</v>
          </cell>
          <cell r="J210">
            <v>12</v>
          </cell>
          <cell r="K210">
            <v>135</v>
          </cell>
          <cell r="L210">
            <v>90</v>
          </cell>
          <cell r="M210">
            <v>120</v>
          </cell>
          <cell r="N210">
            <v>113</v>
          </cell>
          <cell r="O210">
            <v>190</v>
          </cell>
          <cell r="P210">
            <v>130</v>
          </cell>
          <cell r="Q210">
            <v>130</v>
          </cell>
          <cell r="R210">
            <v>113</v>
          </cell>
          <cell r="S210">
            <v>126</v>
          </cell>
        </row>
        <row r="211">
          <cell r="C211">
            <v>4502</v>
          </cell>
          <cell r="D211" t="str">
            <v>4" PVC Pipe x 3.00m, Sch 40</v>
          </cell>
          <cell r="E211" t="str">
            <v>pc</v>
          </cell>
          <cell r="F211" t="str">
            <v>Material</v>
          </cell>
          <cell r="G211">
            <v>1.8</v>
          </cell>
          <cell r="H211">
            <v>0</v>
          </cell>
          <cell r="I211">
            <v>190</v>
          </cell>
          <cell r="J211">
            <v>25</v>
          </cell>
          <cell r="K211">
            <v>192</v>
          </cell>
          <cell r="L211">
            <v>120</v>
          </cell>
          <cell r="M211">
            <v>12</v>
          </cell>
          <cell r="N211">
            <v>165</v>
          </cell>
          <cell r="O211">
            <v>12</v>
          </cell>
          <cell r="P211">
            <v>191</v>
          </cell>
          <cell r="Q211">
            <v>191</v>
          </cell>
          <cell r="R211">
            <v>165</v>
          </cell>
          <cell r="S211">
            <v>170</v>
          </cell>
        </row>
        <row r="212">
          <cell r="C212" t="str">
            <v>4520</v>
          </cell>
          <cell r="D212" t="str">
            <v>2" PVC TEE, Sch 40</v>
          </cell>
          <cell r="E212" t="str">
            <v>pc</v>
          </cell>
          <cell r="F212" t="str">
            <v>Material</v>
          </cell>
          <cell r="G212">
            <v>0.15</v>
          </cell>
          <cell r="H212">
            <v>0</v>
          </cell>
          <cell r="I212">
            <v>12</v>
          </cell>
          <cell r="J212">
            <v>42</v>
          </cell>
          <cell r="K212">
            <v>18</v>
          </cell>
          <cell r="L212">
            <v>12</v>
          </cell>
          <cell r="M212">
            <v>23</v>
          </cell>
          <cell r="N212">
            <v>20</v>
          </cell>
          <cell r="O212">
            <v>25</v>
          </cell>
          <cell r="P212">
            <v>13</v>
          </cell>
          <cell r="Q212">
            <v>13</v>
          </cell>
          <cell r="R212">
            <v>20</v>
          </cell>
          <cell r="S212">
            <v>20</v>
          </cell>
        </row>
        <row r="213">
          <cell r="C213">
            <v>4521</v>
          </cell>
          <cell r="D213" t="str">
            <v>3" PVC TEE, Sch 40</v>
          </cell>
          <cell r="E213" t="str">
            <v>pc</v>
          </cell>
          <cell r="F213" t="str">
            <v>Material</v>
          </cell>
          <cell r="G213">
            <v>0.3</v>
          </cell>
          <cell r="H213">
            <v>0</v>
          </cell>
          <cell r="I213">
            <v>25</v>
          </cell>
          <cell r="J213">
            <v>7</v>
          </cell>
          <cell r="K213">
            <v>30</v>
          </cell>
          <cell r="L213">
            <v>23</v>
          </cell>
          <cell r="M213">
            <v>40</v>
          </cell>
          <cell r="N213">
            <v>30</v>
          </cell>
          <cell r="O213">
            <v>42</v>
          </cell>
          <cell r="P213">
            <v>28</v>
          </cell>
          <cell r="Q213">
            <v>28</v>
          </cell>
          <cell r="R213">
            <v>30</v>
          </cell>
          <cell r="S213">
            <v>30</v>
          </cell>
        </row>
        <row r="214">
          <cell r="C214">
            <v>4522</v>
          </cell>
          <cell r="D214" t="str">
            <v>4" PVC TEE, Sch 40</v>
          </cell>
          <cell r="E214" t="str">
            <v>pc</v>
          </cell>
          <cell r="F214" t="str">
            <v>Material</v>
          </cell>
          <cell r="G214">
            <v>0.43</v>
          </cell>
          <cell r="H214">
            <v>0</v>
          </cell>
          <cell r="I214">
            <v>47</v>
          </cell>
          <cell r="J214">
            <v>12</v>
          </cell>
          <cell r="K214">
            <v>48</v>
          </cell>
          <cell r="L214">
            <v>40</v>
          </cell>
          <cell r="M214">
            <v>8</v>
          </cell>
          <cell r="N214">
            <v>50</v>
          </cell>
          <cell r="O214">
            <v>7</v>
          </cell>
          <cell r="P214">
            <v>43</v>
          </cell>
          <cell r="Q214">
            <v>43</v>
          </cell>
          <cell r="R214">
            <v>50</v>
          </cell>
          <cell r="S214">
            <v>50</v>
          </cell>
        </row>
        <row r="215">
          <cell r="C215" t="str">
            <v>4540</v>
          </cell>
          <cell r="D215" t="str">
            <v>2" PVC Elbow 45 degree, Sch 40</v>
          </cell>
          <cell r="E215" t="str">
            <v>pc</v>
          </cell>
          <cell r="F215" t="str">
            <v>Material</v>
          </cell>
          <cell r="G215">
            <v>0.15</v>
          </cell>
          <cell r="H215">
            <v>0</v>
          </cell>
          <cell r="I215">
            <v>7.5</v>
          </cell>
          <cell r="J215">
            <v>19</v>
          </cell>
          <cell r="K215">
            <v>10</v>
          </cell>
          <cell r="L215">
            <v>8</v>
          </cell>
          <cell r="M215">
            <v>12</v>
          </cell>
          <cell r="N215">
            <v>9</v>
          </cell>
          <cell r="O215">
            <v>12</v>
          </cell>
          <cell r="P215">
            <v>6.5</v>
          </cell>
          <cell r="Q215">
            <v>6.5</v>
          </cell>
          <cell r="R215">
            <v>9</v>
          </cell>
          <cell r="S215">
            <v>9</v>
          </cell>
        </row>
        <row r="216">
          <cell r="C216">
            <v>4541</v>
          </cell>
          <cell r="D216" t="str">
            <v>3" PVC Elbow 45 degree, Sch 40</v>
          </cell>
          <cell r="E216" t="str">
            <v>pc</v>
          </cell>
          <cell r="F216" t="str">
            <v>Material</v>
          </cell>
          <cell r="G216">
            <v>0.3</v>
          </cell>
          <cell r="H216">
            <v>0</v>
          </cell>
          <cell r="I216">
            <v>12</v>
          </cell>
          <cell r="J216">
            <v>8.5</v>
          </cell>
          <cell r="K216">
            <v>15</v>
          </cell>
          <cell r="L216">
            <v>10</v>
          </cell>
          <cell r="M216">
            <v>17</v>
          </cell>
          <cell r="N216">
            <v>17</v>
          </cell>
          <cell r="O216">
            <v>20</v>
          </cell>
          <cell r="P216">
            <v>12</v>
          </cell>
          <cell r="Q216">
            <v>12</v>
          </cell>
          <cell r="R216">
            <v>17</v>
          </cell>
          <cell r="S216">
            <v>17</v>
          </cell>
        </row>
        <row r="217">
          <cell r="C217">
            <v>4542</v>
          </cell>
          <cell r="D217" t="str">
            <v>4" PVC Elbow 45 degree, Sch 40</v>
          </cell>
          <cell r="E217" t="str">
            <v>pc</v>
          </cell>
          <cell r="F217" t="str">
            <v>Material</v>
          </cell>
          <cell r="G217">
            <v>0.43</v>
          </cell>
          <cell r="H217">
            <v>0</v>
          </cell>
          <cell r="I217">
            <v>22</v>
          </cell>
          <cell r="J217">
            <v>17</v>
          </cell>
          <cell r="K217">
            <v>21</v>
          </cell>
          <cell r="L217">
            <v>17</v>
          </cell>
          <cell r="M217">
            <v>8</v>
          </cell>
          <cell r="N217">
            <v>26</v>
          </cell>
          <cell r="O217">
            <v>9</v>
          </cell>
          <cell r="P217">
            <v>16</v>
          </cell>
          <cell r="Q217">
            <v>16</v>
          </cell>
          <cell r="R217">
            <v>26</v>
          </cell>
          <cell r="S217">
            <v>26</v>
          </cell>
        </row>
        <row r="218">
          <cell r="C218" t="str">
            <v>4560</v>
          </cell>
          <cell r="D218" t="str">
            <v>2" PVC Elbow 90 degree, Sch 40</v>
          </cell>
          <cell r="E218" t="str">
            <v>pc</v>
          </cell>
          <cell r="F218" t="str">
            <v>Material</v>
          </cell>
          <cell r="G218">
            <v>0.15</v>
          </cell>
          <cell r="H218">
            <v>0</v>
          </cell>
          <cell r="I218">
            <v>8.5</v>
          </cell>
          <cell r="J218">
            <v>25</v>
          </cell>
          <cell r="K218">
            <v>9</v>
          </cell>
          <cell r="L218">
            <v>8</v>
          </cell>
          <cell r="M218">
            <v>14</v>
          </cell>
          <cell r="N218">
            <v>14</v>
          </cell>
          <cell r="O218">
            <v>18</v>
          </cell>
          <cell r="P218">
            <v>8.5</v>
          </cell>
          <cell r="Q218">
            <v>8.5</v>
          </cell>
          <cell r="R218">
            <v>14</v>
          </cell>
          <cell r="S218">
            <v>14</v>
          </cell>
        </row>
        <row r="219">
          <cell r="C219">
            <v>4561</v>
          </cell>
          <cell r="D219" t="str">
            <v>3" PVC Elbow 90 degree, Sch 40</v>
          </cell>
          <cell r="E219" t="str">
            <v>pc</v>
          </cell>
          <cell r="F219" t="str">
            <v>Material</v>
          </cell>
          <cell r="G219">
            <v>0.3</v>
          </cell>
          <cell r="H219">
            <v>0</v>
          </cell>
          <cell r="I219">
            <v>17</v>
          </cell>
          <cell r="J219">
            <v>12</v>
          </cell>
          <cell r="K219">
            <v>18</v>
          </cell>
          <cell r="L219">
            <v>13</v>
          </cell>
          <cell r="M219">
            <v>22</v>
          </cell>
          <cell r="N219">
            <v>25</v>
          </cell>
          <cell r="O219">
            <v>25</v>
          </cell>
          <cell r="P219">
            <v>17</v>
          </cell>
          <cell r="Q219">
            <v>17</v>
          </cell>
          <cell r="R219">
            <v>25</v>
          </cell>
          <cell r="S219">
            <v>25</v>
          </cell>
        </row>
        <row r="220">
          <cell r="C220">
            <v>4562</v>
          </cell>
          <cell r="D220" t="str">
            <v>4" PVC Elbow 90 degree, Sch 40</v>
          </cell>
          <cell r="E220" t="str">
            <v>pc</v>
          </cell>
          <cell r="F220" t="str">
            <v>Material</v>
          </cell>
          <cell r="G220">
            <v>0.43</v>
          </cell>
          <cell r="H220">
            <v>0</v>
          </cell>
          <cell r="I220">
            <v>25</v>
          </cell>
          <cell r="J220">
            <v>28</v>
          </cell>
          <cell r="K220">
            <v>30</v>
          </cell>
          <cell r="L220">
            <v>21</v>
          </cell>
          <cell r="M220">
            <v>10</v>
          </cell>
          <cell r="N220">
            <v>31</v>
          </cell>
          <cell r="O220">
            <v>12</v>
          </cell>
          <cell r="P220">
            <v>24</v>
          </cell>
          <cell r="Q220">
            <v>24</v>
          </cell>
          <cell r="R220">
            <v>31</v>
          </cell>
          <cell r="S220">
            <v>31</v>
          </cell>
        </row>
        <row r="221">
          <cell r="C221" t="str">
            <v>4580</v>
          </cell>
          <cell r="D221" t="str">
            <v>2" PVC WYE, Sch 40</v>
          </cell>
          <cell r="E221" t="str">
            <v>pc</v>
          </cell>
          <cell r="F221" t="str">
            <v>Material</v>
          </cell>
          <cell r="G221">
            <v>0.2</v>
          </cell>
          <cell r="H221">
            <v>0</v>
          </cell>
          <cell r="I221">
            <v>14</v>
          </cell>
          <cell r="J221">
            <v>38</v>
          </cell>
          <cell r="K221">
            <v>14</v>
          </cell>
          <cell r="L221">
            <v>10</v>
          </cell>
          <cell r="M221">
            <v>22</v>
          </cell>
          <cell r="N221">
            <v>18</v>
          </cell>
          <cell r="O221">
            <v>28</v>
          </cell>
          <cell r="P221">
            <v>11</v>
          </cell>
          <cell r="Q221">
            <v>11</v>
          </cell>
          <cell r="R221">
            <v>18</v>
          </cell>
          <cell r="S221">
            <v>18</v>
          </cell>
        </row>
        <row r="222">
          <cell r="C222">
            <v>4581</v>
          </cell>
          <cell r="D222" t="str">
            <v>3" PVC WYE, Sch 40</v>
          </cell>
          <cell r="E222" t="str">
            <v>pc</v>
          </cell>
          <cell r="F222" t="str">
            <v>Material</v>
          </cell>
          <cell r="G222">
            <v>0.3</v>
          </cell>
          <cell r="H222">
            <v>0</v>
          </cell>
          <cell r="I222">
            <v>28</v>
          </cell>
          <cell r="J222">
            <v>8</v>
          </cell>
          <cell r="K222">
            <v>30</v>
          </cell>
          <cell r="L222">
            <v>22</v>
          </cell>
          <cell r="M222">
            <v>35</v>
          </cell>
          <cell r="N222">
            <v>35</v>
          </cell>
          <cell r="O222">
            <v>38</v>
          </cell>
          <cell r="P222">
            <v>25</v>
          </cell>
          <cell r="Q222">
            <v>25</v>
          </cell>
          <cell r="R222">
            <v>35</v>
          </cell>
          <cell r="S222">
            <v>35</v>
          </cell>
        </row>
        <row r="223">
          <cell r="C223">
            <v>4582</v>
          </cell>
          <cell r="D223" t="str">
            <v>4"  PVC WYE, Sch 40</v>
          </cell>
          <cell r="E223" t="str">
            <v>pc</v>
          </cell>
          <cell r="F223" t="str">
            <v>Material</v>
          </cell>
          <cell r="G223">
            <v>0.4</v>
          </cell>
          <cell r="H223">
            <v>0</v>
          </cell>
          <cell r="I223">
            <v>40</v>
          </cell>
          <cell r="J223">
            <v>13</v>
          </cell>
          <cell r="K223">
            <v>40</v>
          </cell>
          <cell r="L223">
            <v>34</v>
          </cell>
          <cell r="M223">
            <v>7</v>
          </cell>
          <cell r="N223">
            <v>42</v>
          </cell>
          <cell r="O223">
            <v>9</v>
          </cell>
          <cell r="P223">
            <v>36</v>
          </cell>
          <cell r="Q223">
            <v>36</v>
          </cell>
          <cell r="R223">
            <v>42</v>
          </cell>
          <cell r="S223">
            <v>48</v>
          </cell>
        </row>
        <row r="224">
          <cell r="C224">
            <v>4600</v>
          </cell>
          <cell r="D224" t="str">
            <v>2" PVC 1/8" bend, Sch 40</v>
          </cell>
          <cell r="E224" t="str">
            <v>pc</v>
          </cell>
          <cell r="F224" t="str">
            <v>Material</v>
          </cell>
          <cell r="G224">
            <v>0.2</v>
          </cell>
          <cell r="H224">
            <v>0</v>
          </cell>
          <cell r="I224">
            <v>8</v>
          </cell>
          <cell r="J224">
            <v>20</v>
          </cell>
          <cell r="K224">
            <v>10</v>
          </cell>
          <cell r="L224">
            <v>6</v>
          </cell>
          <cell r="M224">
            <v>9</v>
          </cell>
          <cell r="N224">
            <v>13</v>
          </cell>
          <cell r="O224">
            <v>15</v>
          </cell>
          <cell r="P224">
            <v>9</v>
          </cell>
          <cell r="Q224">
            <v>9</v>
          </cell>
          <cell r="R224">
            <v>13</v>
          </cell>
          <cell r="S224">
            <v>13</v>
          </cell>
        </row>
        <row r="225">
          <cell r="C225">
            <v>4601</v>
          </cell>
          <cell r="D225" t="str">
            <v>3"  PVC 1/8" bend, Sch 40</v>
          </cell>
          <cell r="E225" t="str">
            <v>pc</v>
          </cell>
          <cell r="F225" t="str">
            <v>Material</v>
          </cell>
          <cell r="G225">
            <v>0.3</v>
          </cell>
          <cell r="H225">
            <v>0</v>
          </cell>
          <cell r="I225">
            <v>10</v>
          </cell>
          <cell r="J225">
            <v>7</v>
          </cell>
          <cell r="K225">
            <v>19</v>
          </cell>
          <cell r="L225">
            <v>9</v>
          </cell>
          <cell r="M225">
            <v>11</v>
          </cell>
          <cell r="N225">
            <v>15</v>
          </cell>
          <cell r="O225">
            <v>23</v>
          </cell>
          <cell r="P225">
            <v>15</v>
          </cell>
          <cell r="Q225">
            <v>15</v>
          </cell>
          <cell r="R225">
            <v>15</v>
          </cell>
          <cell r="S225">
            <v>25</v>
          </cell>
        </row>
        <row r="226">
          <cell r="C226">
            <v>4602</v>
          </cell>
          <cell r="D226" t="str">
            <v>4"  PVC 1/8" bend, Sch 40</v>
          </cell>
          <cell r="E226" t="str">
            <v>pc</v>
          </cell>
          <cell r="F226" t="str">
            <v>Material</v>
          </cell>
          <cell r="G226">
            <v>0.4</v>
          </cell>
          <cell r="H226">
            <v>0</v>
          </cell>
          <cell r="I226">
            <v>15</v>
          </cell>
          <cell r="J226">
            <v>13</v>
          </cell>
          <cell r="K226">
            <v>28</v>
          </cell>
          <cell r="L226">
            <v>10</v>
          </cell>
          <cell r="M226">
            <v>7</v>
          </cell>
          <cell r="N226">
            <v>27</v>
          </cell>
          <cell r="O226">
            <v>8</v>
          </cell>
          <cell r="P226">
            <v>23</v>
          </cell>
          <cell r="Q226">
            <v>23</v>
          </cell>
          <cell r="R226">
            <v>27</v>
          </cell>
          <cell r="S226">
            <v>27</v>
          </cell>
        </row>
        <row r="227">
          <cell r="C227" t="str">
            <v>4620</v>
          </cell>
          <cell r="D227" t="str">
            <v>2" PVC clean-out, Sch 40</v>
          </cell>
          <cell r="E227" t="str">
            <v>pc</v>
          </cell>
          <cell r="F227" t="str">
            <v>Material</v>
          </cell>
          <cell r="G227">
            <v>0.125</v>
          </cell>
          <cell r="H227">
            <v>0</v>
          </cell>
          <cell r="I227">
            <v>8</v>
          </cell>
          <cell r="J227">
            <v>20</v>
          </cell>
          <cell r="K227">
            <v>10</v>
          </cell>
          <cell r="L227">
            <v>7</v>
          </cell>
          <cell r="M227">
            <v>12</v>
          </cell>
          <cell r="N227">
            <v>13</v>
          </cell>
          <cell r="O227">
            <v>13</v>
          </cell>
          <cell r="P227">
            <v>8.5</v>
          </cell>
          <cell r="Q227">
            <v>8.5</v>
          </cell>
          <cell r="R227">
            <v>13</v>
          </cell>
          <cell r="S227">
            <v>13</v>
          </cell>
        </row>
        <row r="228">
          <cell r="C228">
            <v>4621</v>
          </cell>
          <cell r="D228" t="str">
            <v>3" PVC clean-out, Sch 40</v>
          </cell>
          <cell r="E228" t="str">
            <v>pc</v>
          </cell>
          <cell r="F228" t="str">
            <v>Material</v>
          </cell>
          <cell r="G228">
            <v>0.18</v>
          </cell>
          <cell r="H228">
            <v>0</v>
          </cell>
          <cell r="I228">
            <v>12</v>
          </cell>
          <cell r="J228">
            <v>25</v>
          </cell>
          <cell r="K228">
            <v>15</v>
          </cell>
          <cell r="L228">
            <v>10</v>
          </cell>
          <cell r="M228">
            <v>18</v>
          </cell>
          <cell r="N228">
            <v>18</v>
          </cell>
          <cell r="O228">
            <v>20</v>
          </cell>
          <cell r="P228">
            <v>12</v>
          </cell>
          <cell r="Q228">
            <v>12</v>
          </cell>
          <cell r="R228">
            <v>18</v>
          </cell>
          <cell r="S228">
            <v>18</v>
          </cell>
        </row>
        <row r="229">
          <cell r="C229">
            <v>4622</v>
          </cell>
          <cell r="D229" t="str">
            <v>4" PVC clean-out, Sch 40</v>
          </cell>
          <cell r="E229" t="str">
            <v>pc</v>
          </cell>
          <cell r="F229" t="str">
            <v>Material</v>
          </cell>
          <cell r="G229">
            <v>0.25</v>
          </cell>
          <cell r="H229">
            <v>0</v>
          </cell>
          <cell r="I229">
            <v>22</v>
          </cell>
          <cell r="J229">
            <v>50</v>
          </cell>
          <cell r="K229">
            <v>22</v>
          </cell>
          <cell r="L229">
            <v>17</v>
          </cell>
          <cell r="M229">
            <v>22</v>
          </cell>
          <cell r="N229">
            <v>22</v>
          </cell>
          <cell r="O229">
            <v>25</v>
          </cell>
          <cell r="P229">
            <v>20</v>
          </cell>
          <cell r="Q229">
            <v>20</v>
          </cell>
          <cell r="R229">
            <v>22</v>
          </cell>
          <cell r="S229">
            <v>25</v>
          </cell>
        </row>
        <row r="230">
          <cell r="C230" t="str">
            <v>4640</v>
          </cell>
          <cell r="D230" t="str">
            <v>2" PVC P-Trap, Sch 40</v>
          </cell>
          <cell r="E230" t="str">
            <v>pc</v>
          </cell>
          <cell r="F230" t="str">
            <v>Material</v>
          </cell>
          <cell r="G230">
            <v>0.5</v>
          </cell>
          <cell r="H230">
            <v>0</v>
          </cell>
          <cell r="I230">
            <v>30</v>
          </cell>
          <cell r="J230">
            <v>70</v>
          </cell>
          <cell r="K230">
            <v>26</v>
          </cell>
          <cell r="L230">
            <v>22.5</v>
          </cell>
          <cell r="M230">
            <v>40</v>
          </cell>
          <cell r="N230">
            <v>28</v>
          </cell>
          <cell r="O230">
            <v>50</v>
          </cell>
          <cell r="P230">
            <v>23</v>
          </cell>
          <cell r="Q230">
            <v>23</v>
          </cell>
          <cell r="R230">
            <v>28</v>
          </cell>
          <cell r="S230">
            <v>30</v>
          </cell>
        </row>
        <row r="231">
          <cell r="C231">
            <v>4641</v>
          </cell>
          <cell r="D231" t="str">
            <v>3"  PVC P-Trap, Sch 40</v>
          </cell>
          <cell r="E231" t="str">
            <v>pc</v>
          </cell>
          <cell r="F231" t="str">
            <v>Material</v>
          </cell>
          <cell r="G231">
            <v>0.75</v>
          </cell>
          <cell r="H231">
            <v>0</v>
          </cell>
          <cell r="I231">
            <v>50</v>
          </cell>
          <cell r="J231">
            <v>11</v>
          </cell>
          <cell r="K231">
            <v>60</v>
          </cell>
          <cell r="L231">
            <v>39</v>
          </cell>
          <cell r="M231">
            <v>63</v>
          </cell>
          <cell r="N231">
            <v>45</v>
          </cell>
          <cell r="O231">
            <v>70</v>
          </cell>
          <cell r="P231">
            <v>56</v>
          </cell>
          <cell r="Q231">
            <v>56</v>
          </cell>
          <cell r="R231">
            <v>45</v>
          </cell>
          <cell r="S231">
            <v>64</v>
          </cell>
        </row>
        <row r="232">
          <cell r="C232">
            <v>4642</v>
          </cell>
          <cell r="D232" t="str">
            <v>4" PVC P-Trap, Sch 40</v>
          </cell>
          <cell r="E232" t="str">
            <v>pc</v>
          </cell>
          <cell r="F232" t="str">
            <v>Material</v>
          </cell>
          <cell r="G232">
            <v>1</v>
          </cell>
          <cell r="H232">
            <v>0</v>
          </cell>
          <cell r="I232">
            <v>82</v>
          </cell>
          <cell r="J232">
            <v>19</v>
          </cell>
          <cell r="K232">
            <v>90</v>
          </cell>
          <cell r="L232">
            <v>61</v>
          </cell>
          <cell r="M232">
            <v>11</v>
          </cell>
          <cell r="N232">
            <v>85</v>
          </cell>
          <cell r="O232">
            <v>12</v>
          </cell>
          <cell r="P232">
            <v>85</v>
          </cell>
          <cell r="Q232">
            <v>85</v>
          </cell>
          <cell r="R232">
            <v>85</v>
          </cell>
          <cell r="S232">
            <v>96</v>
          </cell>
        </row>
        <row r="233">
          <cell r="C233" t="str">
            <v>4660</v>
          </cell>
          <cell r="D233" t="str">
            <v>2"x3", PVC Reducer, Sch 40</v>
          </cell>
          <cell r="E233" t="str">
            <v>pc</v>
          </cell>
          <cell r="F233" t="str">
            <v>Material</v>
          </cell>
          <cell r="G233">
            <v>0.5</v>
          </cell>
          <cell r="H233">
            <v>0</v>
          </cell>
          <cell r="I233">
            <v>15</v>
          </cell>
          <cell r="J233">
            <v>18</v>
          </cell>
          <cell r="K233">
            <v>16</v>
          </cell>
          <cell r="L233">
            <v>10</v>
          </cell>
          <cell r="M233">
            <v>15</v>
          </cell>
          <cell r="N233">
            <v>13</v>
          </cell>
          <cell r="O233">
            <v>19</v>
          </cell>
          <cell r="P233">
            <v>13</v>
          </cell>
          <cell r="Q233">
            <v>13</v>
          </cell>
          <cell r="R233">
            <v>13</v>
          </cell>
          <cell r="S233">
            <v>23</v>
          </cell>
        </row>
        <row r="234">
          <cell r="C234">
            <v>4661</v>
          </cell>
          <cell r="D234" t="str">
            <v>3"x4", PVC Reducer, Sch 40</v>
          </cell>
          <cell r="E234" t="str">
            <v>pc</v>
          </cell>
          <cell r="F234" t="str">
            <v>Material</v>
          </cell>
          <cell r="G234">
            <v>0.75</v>
          </cell>
          <cell r="H234">
            <v>0</v>
          </cell>
          <cell r="I234">
            <v>18</v>
          </cell>
          <cell r="J234">
            <v>30</v>
          </cell>
          <cell r="K234">
            <v>20</v>
          </cell>
          <cell r="L234">
            <v>14</v>
          </cell>
          <cell r="M234">
            <v>15</v>
          </cell>
          <cell r="N234">
            <v>18</v>
          </cell>
          <cell r="O234">
            <v>18</v>
          </cell>
          <cell r="P234">
            <v>19</v>
          </cell>
          <cell r="Q234">
            <v>19</v>
          </cell>
          <cell r="R234">
            <v>18</v>
          </cell>
          <cell r="S234">
            <v>23</v>
          </cell>
        </row>
        <row r="235">
          <cell r="C235">
            <v>4662</v>
          </cell>
          <cell r="D235" t="str">
            <v>2"x4", PVC Reducer, Sch 40</v>
          </cell>
          <cell r="E235" t="str">
            <v>pc</v>
          </cell>
          <cell r="F235" t="str">
            <v>Material</v>
          </cell>
          <cell r="G235">
            <v>1</v>
          </cell>
          <cell r="H235">
            <v>0</v>
          </cell>
          <cell r="I235">
            <v>18</v>
          </cell>
          <cell r="J235">
            <v>3.5</v>
          </cell>
          <cell r="K235">
            <v>22</v>
          </cell>
          <cell r="L235">
            <v>14</v>
          </cell>
          <cell r="M235">
            <v>30</v>
          </cell>
          <cell r="N235">
            <v>19.5</v>
          </cell>
          <cell r="O235">
            <v>30</v>
          </cell>
          <cell r="P235">
            <v>19</v>
          </cell>
          <cell r="Q235">
            <v>19</v>
          </cell>
          <cell r="R235">
            <v>19.5</v>
          </cell>
          <cell r="S235">
            <v>25</v>
          </cell>
        </row>
        <row r="236">
          <cell r="C236" t="str">
            <v>4680</v>
          </cell>
          <cell r="D236" t="str">
            <v>4"x2", PVC TEE, Sch 40</v>
          </cell>
          <cell r="E236" t="str">
            <v>pc</v>
          </cell>
          <cell r="F236" t="str">
            <v>Material</v>
          </cell>
          <cell r="G236">
            <v>0.5</v>
          </cell>
          <cell r="H236">
            <v>0</v>
          </cell>
          <cell r="I236">
            <v>31</v>
          </cell>
          <cell r="J236">
            <v>55</v>
          </cell>
          <cell r="K236">
            <v>35</v>
          </cell>
          <cell r="L236">
            <v>30</v>
          </cell>
          <cell r="M236">
            <v>3.5</v>
          </cell>
          <cell r="N236">
            <v>29</v>
          </cell>
          <cell r="O236">
            <v>3.5</v>
          </cell>
          <cell r="P236">
            <v>24</v>
          </cell>
          <cell r="Q236">
            <v>24</v>
          </cell>
          <cell r="R236">
            <v>29</v>
          </cell>
          <cell r="S236">
            <v>40</v>
          </cell>
        </row>
        <row r="237">
          <cell r="C237">
            <v>4681</v>
          </cell>
          <cell r="D237" t="str">
            <v>4"x2", PVC  WYE, Sch 40</v>
          </cell>
          <cell r="E237" t="str">
            <v>pc</v>
          </cell>
          <cell r="F237" t="str">
            <v>Material</v>
          </cell>
          <cell r="G237">
            <v>0.5</v>
          </cell>
          <cell r="H237">
            <v>0</v>
          </cell>
          <cell r="I237">
            <v>3.5</v>
          </cell>
          <cell r="J237">
            <v>12</v>
          </cell>
          <cell r="K237">
            <v>3.5</v>
          </cell>
          <cell r="L237">
            <v>3.5</v>
          </cell>
          <cell r="M237">
            <v>55</v>
          </cell>
          <cell r="N237">
            <v>3.5</v>
          </cell>
          <cell r="O237">
            <v>55</v>
          </cell>
          <cell r="P237">
            <v>3.5</v>
          </cell>
          <cell r="Q237">
            <v>3.5</v>
          </cell>
          <cell r="R237">
            <v>3.5</v>
          </cell>
          <cell r="S237">
            <v>3.5</v>
          </cell>
        </row>
        <row r="238">
          <cell r="C238">
            <v>4682</v>
          </cell>
          <cell r="D238" t="str">
            <v>3"x4", PVC  WYE, Sch 40</v>
          </cell>
          <cell r="E238" t="str">
            <v>pc</v>
          </cell>
          <cell r="F238" t="str">
            <v>Material</v>
          </cell>
          <cell r="G238">
            <v>0.5</v>
          </cell>
          <cell r="H238">
            <v>0</v>
          </cell>
          <cell r="I238">
            <v>55</v>
          </cell>
          <cell r="J238">
            <v>55</v>
          </cell>
          <cell r="K238">
            <v>55</v>
          </cell>
          <cell r="L238">
            <v>55</v>
          </cell>
          <cell r="M238">
            <v>12</v>
          </cell>
          <cell r="N238">
            <v>55</v>
          </cell>
          <cell r="O238">
            <v>12</v>
          </cell>
          <cell r="P238">
            <v>55</v>
          </cell>
          <cell r="Q238">
            <v>55</v>
          </cell>
          <cell r="R238">
            <v>55</v>
          </cell>
          <cell r="S238">
            <v>7</v>
          </cell>
        </row>
        <row r="239">
          <cell r="C239" t="str">
            <v>4700</v>
          </cell>
          <cell r="D239" t="str">
            <v>4" PVC Coupling</v>
          </cell>
          <cell r="E239" t="str">
            <v>pc</v>
          </cell>
          <cell r="F239" t="str">
            <v>Material</v>
          </cell>
          <cell r="G239">
            <v>0.5</v>
          </cell>
          <cell r="H239">
            <v>0</v>
          </cell>
          <cell r="I239">
            <v>12</v>
          </cell>
          <cell r="J239">
            <v>6</v>
          </cell>
          <cell r="K239">
            <v>12</v>
          </cell>
          <cell r="L239">
            <v>12</v>
          </cell>
          <cell r="M239">
            <v>0</v>
          </cell>
          <cell r="N239">
            <v>12</v>
          </cell>
          <cell r="O239">
            <v>0</v>
          </cell>
          <cell r="P239">
            <v>12</v>
          </cell>
          <cell r="Q239">
            <v>12</v>
          </cell>
          <cell r="R239">
            <v>12</v>
          </cell>
          <cell r="S239">
            <v>12</v>
          </cell>
        </row>
        <row r="240">
          <cell r="C240">
            <v>4701</v>
          </cell>
          <cell r="D240" t="str">
            <v>½" uPVC Water Pipe x 3.0m</v>
          </cell>
          <cell r="E240" t="str">
            <v>pc</v>
          </cell>
          <cell r="F240" t="str">
            <v>Material</v>
          </cell>
          <cell r="G240">
            <v>0.5</v>
          </cell>
          <cell r="H240">
            <v>0</v>
          </cell>
          <cell r="I240">
            <v>23.8</v>
          </cell>
          <cell r="J240">
            <v>6</v>
          </cell>
          <cell r="K240">
            <v>0</v>
          </cell>
          <cell r="L240">
            <v>0</v>
          </cell>
          <cell r="M240">
            <v>55</v>
          </cell>
          <cell r="N240">
            <v>0</v>
          </cell>
          <cell r="O240">
            <v>55</v>
          </cell>
          <cell r="P240">
            <v>0</v>
          </cell>
          <cell r="Q240">
            <v>0</v>
          </cell>
          <cell r="R240">
            <v>0</v>
          </cell>
          <cell r="S240">
            <v>24.5</v>
          </cell>
        </row>
        <row r="241">
          <cell r="C241">
            <v>4702</v>
          </cell>
          <cell r="D241" t="str">
            <v>3/4" uPVC Water Pipe x 3.0m</v>
          </cell>
          <cell r="E241" t="str">
            <v>pc</v>
          </cell>
          <cell r="F241" t="str">
            <v>Material</v>
          </cell>
          <cell r="G241">
            <v>1</v>
          </cell>
          <cell r="H241">
            <v>0</v>
          </cell>
          <cell r="I241">
            <v>55</v>
          </cell>
          <cell r="J241">
            <v>4.5</v>
          </cell>
          <cell r="K241">
            <v>62</v>
          </cell>
          <cell r="L241">
            <v>55</v>
          </cell>
          <cell r="M241">
            <v>6</v>
          </cell>
          <cell r="N241">
            <v>58</v>
          </cell>
          <cell r="O241">
            <v>6</v>
          </cell>
          <cell r="P241">
            <v>55</v>
          </cell>
          <cell r="Q241">
            <v>55</v>
          </cell>
          <cell r="R241">
            <v>58</v>
          </cell>
          <cell r="S241">
            <v>66</v>
          </cell>
        </row>
        <row r="242">
          <cell r="C242">
            <v>4703</v>
          </cell>
          <cell r="D242" t="str">
            <v>3/4" uPVC Elbow</v>
          </cell>
          <cell r="E242" t="str">
            <v>pc</v>
          </cell>
          <cell r="F242" t="str">
            <v>Material</v>
          </cell>
          <cell r="G242">
            <v>0.125</v>
          </cell>
          <cell r="H242">
            <v>0</v>
          </cell>
          <cell r="I242">
            <v>6</v>
          </cell>
          <cell r="J242">
            <v>4.5</v>
          </cell>
          <cell r="K242">
            <v>7</v>
          </cell>
          <cell r="L242">
            <v>6</v>
          </cell>
          <cell r="M242">
            <v>7</v>
          </cell>
          <cell r="N242">
            <v>8</v>
          </cell>
          <cell r="O242">
            <v>6</v>
          </cell>
          <cell r="P242">
            <v>6</v>
          </cell>
          <cell r="Q242">
            <v>6</v>
          </cell>
          <cell r="R242">
            <v>8</v>
          </cell>
          <cell r="S242">
            <v>8</v>
          </cell>
        </row>
        <row r="243">
          <cell r="C243">
            <v>4704</v>
          </cell>
          <cell r="D243" t="str">
            <v>3/4" uPVC Tee</v>
          </cell>
          <cell r="E243" t="str">
            <v>pc</v>
          </cell>
          <cell r="F243" t="str">
            <v>Material</v>
          </cell>
          <cell r="G243">
            <v>0.18</v>
          </cell>
          <cell r="H243">
            <v>0</v>
          </cell>
          <cell r="I243">
            <v>6</v>
          </cell>
          <cell r="J243">
            <v>4.5</v>
          </cell>
          <cell r="K243">
            <v>7</v>
          </cell>
          <cell r="L243">
            <v>6</v>
          </cell>
          <cell r="M243">
            <v>6</v>
          </cell>
          <cell r="N243">
            <v>8</v>
          </cell>
          <cell r="O243">
            <v>4.5</v>
          </cell>
          <cell r="P243">
            <v>6</v>
          </cell>
          <cell r="Q243">
            <v>6</v>
          </cell>
          <cell r="R243">
            <v>8</v>
          </cell>
          <cell r="S243">
            <v>8</v>
          </cell>
        </row>
        <row r="244">
          <cell r="C244">
            <v>4705</v>
          </cell>
          <cell r="D244" t="str">
            <v>3/4" uPVC Coupling</v>
          </cell>
          <cell r="E244" t="str">
            <v>pc</v>
          </cell>
          <cell r="F244" t="str">
            <v>Material</v>
          </cell>
          <cell r="G244">
            <v>0.25</v>
          </cell>
          <cell r="H244">
            <v>0</v>
          </cell>
          <cell r="I244">
            <v>6</v>
          </cell>
          <cell r="J244">
            <v>6</v>
          </cell>
          <cell r="K244">
            <v>5</v>
          </cell>
          <cell r="L244">
            <v>6</v>
          </cell>
          <cell r="M244">
            <v>7</v>
          </cell>
          <cell r="N244">
            <v>6</v>
          </cell>
          <cell r="O244">
            <v>4.5</v>
          </cell>
          <cell r="P244">
            <v>4.5</v>
          </cell>
          <cell r="Q244">
            <v>4.5</v>
          </cell>
          <cell r="R244">
            <v>6</v>
          </cell>
          <cell r="S244">
            <v>6</v>
          </cell>
        </row>
        <row r="245">
          <cell r="C245">
            <v>4706</v>
          </cell>
          <cell r="D245" t="str">
            <v>3/4" uPVC Nipple</v>
          </cell>
          <cell r="E245" t="str">
            <v>pc</v>
          </cell>
          <cell r="F245" t="str">
            <v>Material</v>
          </cell>
          <cell r="G245">
            <v>0.125</v>
          </cell>
          <cell r="H245">
            <v>0</v>
          </cell>
          <cell r="I245">
            <v>6</v>
          </cell>
          <cell r="J245">
            <v>0</v>
          </cell>
          <cell r="K245">
            <v>5</v>
          </cell>
          <cell r="L245">
            <v>6</v>
          </cell>
          <cell r="M245">
            <v>7</v>
          </cell>
          <cell r="N245">
            <v>6</v>
          </cell>
          <cell r="O245">
            <v>6</v>
          </cell>
          <cell r="P245">
            <v>4.5</v>
          </cell>
          <cell r="Q245">
            <v>4.5</v>
          </cell>
          <cell r="R245">
            <v>6</v>
          </cell>
          <cell r="S245">
            <v>6</v>
          </cell>
        </row>
        <row r="246">
          <cell r="C246">
            <v>4707</v>
          </cell>
          <cell r="D246" t="str">
            <v>½"x3/4", uPVC Reducer</v>
          </cell>
          <cell r="E246" t="str">
            <v>pc</v>
          </cell>
          <cell r="F246" t="str">
            <v>Material</v>
          </cell>
          <cell r="G246">
            <v>0.18</v>
          </cell>
          <cell r="H246">
            <v>0</v>
          </cell>
          <cell r="I246">
            <v>6</v>
          </cell>
          <cell r="J246">
            <v>4.5</v>
          </cell>
          <cell r="K246">
            <v>7</v>
          </cell>
          <cell r="L246">
            <v>6</v>
          </cell>
          <cell r="M246">
            <v>6</v>
          </cell>
          <cell r="N246">
            <v>8</v>
          </cell>
          <cell r="O246">
            <v>5</v>
          </cell>
          <cell r="P246">
            <v>6</v>
          </cell>
          <cell r="Q246">
            <v>6</v>
          </cell>
          <cell r="R246">
            <v>8</v>
          </cell>
          <cell r="S246">
            <v>8</v>
          </cell>
        </row>
        <row r="248">
          <cell r="C248" t="str">
            <v>5000</v>
          </cell>
          <cell r="D248" t="str">
            <v>3/8" PE Pipe, SDR 11</v>
          </cell>
          <cell r="E248" t="str">
            <v>lnm.</v>
          </cell>
          <cell r="F248" t="str">
            <v>Material</v>
          </cell>
          <cell r="G248">
            <v>0</v>
          </cell>
          <cell r="H248">
            <v>0</v>
          </cell>
          <cell r="I248">
            <v>1770</v>
          </cell>
          <cell r="J248">
            <v>2583</v>
          </cell>
          <cell r="K248">
            <v>1770</v>
          </cell>
          <cell r="L248">
            <v>1770</v>
          </cell>
          <cell r="M248">
            <v>14.65</v>
          </cell>
          <cell r="N248">
            <v>1770</v>
          </cell>
          <cell r="O248">
            <v>2583</v>
          </cell>
          <cell r="P248">
            <v>1770</v>
          </cell>
          <cell r="Q248">
            <v>1770</v>
          </cell>
          <cell r="R248">
            <v>1770</v>
          </cell>
          <cell r="S248">
            <v>1770</v>
          </cell>
        </row>
        <row r="249">
          <cell r="C249" t="str">
            <v>5001</v>
          </cell>
          <cell r="D249" t="str">
            <v>½" PE Pipe, SDR 11</v>
          </cell>
          <cell r="E249" t="str">
            <v>lnm.</v>
          </cell>
          <cell r="F249" t="str">
            <v>Material</v>
          </cell>
          <cell r="G249">
            <v>0</v>
          </cell>
          <cell r="H249">
            <v>0</v>
          </cell>
          <cell r="I249">
            <v>2583</v>
          </cell>
          <cell r="J249">
            <v>4093.5</v>
          </cell>
          <cell r="K249">
            <v>2583</v>
          </cell>
          <cell r="L249">
            <v>2583</v>
          </cell>
          <cell r="M249">
            <v>23.2</v>
          </cell>
          <cell r="N249">
            <v>2583</v>
          </cell>
          <cell r="O249">
            <v>4093.5</v>
          </cell>
          <cell r="P249">
            <v>2583</v>
          </cell>
          <cell r="Q249">
            <v>2583</v>
          </cell>
          <cell r="R249">
            <v>2583</v>
          </cell>
          <cell r="S249">
            <v>2583</v>
          </cell>
        </row>
        <row r="250">
          <cell r="C250" t="str">
            <v>5002</v>
          </cell>
          <cell r="D250" t="str">
            <v>3/4" PE Pipe, SDR 11</v>
          </cell>
          <cell r="E250" t="str">
            <v>lnm.</v>
          </cell>
          <cell r="F250" t="str">
            <v>Material</v>
          </cell>
          <cell r="G250">
            <v>0</v>
          </cell>
          <cell r="H250">
            <v>0</v>
          </cell>
          <cell r="I250">
            <v>4093.5</v>
          </cell>
          <cell r="J250">
            <v>4427</v>
          </cell>
          <cell r="K250">
            <v>4093.5</v>
          </cell>
          <cell r="L250">
            <v>4093.5</v>
          </cell>
          <cell r="M250">
            <v>37.65</v>
          </cell>
          <cell r="N250">
            <v>4093.5</v>
          </cell>
          <cell r="O250">
            <v>4427</v>
          </cell>
          <cell r="P250">
            <v>4093.5</v>
          </cell>
          <cell r="Q250">
            <v>4093.5</v>
          </cell>
          <cell r="R250">
            <v>4093.5</v>
          </cell>
          <cell r="S250">
            <v>4093.5</v>
          </cell>
        </row>
        <row r="251">
          <cell r="C251" t="str">
            <v>5003</v>
          </cell>
          <cell r="D251" t="str">
            <v>1" PE Pipe, SDR 11</v>
          </cell>
          <cell r="E251" t="str">
            <v>lnm.</v>
          </cell>
          <cell r="F251" t="str">
            <v>Material</v>
          </cell>
          <cell r="G251">
            <v>0</v>
          </cell>
          <cell r="H251">
            <v>0</v>
          </cell>
          <cell r="I251">
            <v>4427</v>
          </cell>
          <cell r="J251">
            <v>4231.2</v>
          </cell>
          <cell r="K251">
            <v>4427</v>
          </cell>
          <cell r="L251">
            <v>4427</v>
          </cell>
          <cell r="M251">
            <v>60</v>
          </cell>
          <cell r="N251">
            <v>4427</v>
          </cell>
          <cell r="O251">
            <v>4231.2</v>
          </cell>
          <cell r="P251">
            <v>4427</v>
          </cell>
          <cell r="Q251">
            <v>4427</v>
          </cell>
          <cell r="R251">
            <v>4427</v>
          </cell>
          <cell r="S251">
            <v>4427</v>
          </cell>
        </row>
        <row r="252">
          <cell r="C252" t="str">
            <v>5004</v>
          </cell>
          <cell r="D252" t="str">
            <v>1¼" PE Pipe, SDR 11</v>
          </cell>
          <cell r="E252" t="str">
            <v>lnm.</v>
          </cell>
          <cell r="F252" t="str">
            <v>Material</v>
          </cell>
          <cell r="G252">
            <v>0</v>
          </cell>
          <cell r="H252">
            <v>0</v>
          </cell>
          <cell r="I252">
            <v>4231.2</v>
          </cell>
          <cell r="J252">
            <v>6529.8</v>
          </cell>
          <cell r="K252">
            <v>4231.2</v>
          </cell>
          <cell r="L252">
            <v>4231.2</v>
          </cell>
          <cell r="M252">
            <v>92.5</v>
          </cell>
          <cell r="N252">
            <v>4231.2</v>
          </cell>
          <cell r="O252">
            <v>6529.8</v>
          </cell>
          <cell r="P252">
            <v>4231.2</v>
          </cell>
          <cell r="Q252">
            <v>4231.2</v>
          </cell>
          <cell r="R252">
            <v>4231.2</v>
          </cell>
          <cell r="S252">
            <v>4231.2</v>
          </cell>
        </row>
        <row r="253">
          <cell r="C253" t="str">
            <v>5005</v>
          </cell>
          <cell r="D253" t="str">
            <v>1½" PE Pipe, SDR 11</v>
          </cell>
          <cell r="E253" t="str">
            <v>lnm.</v>
          </cell>
          <cell r="F253" t="str">
            <v>Material</v>
          </cell>
          <cell r="G253">
            <v>0</v>
          </cell>
          <cell r="H253">
            <v>0</v>
          </cell>
          <cell r="I253">
            <v>6529.8</v>
          </cell>
          <cell r="J253">
            <v>10009.200000000001</v>
          </cell>
          <cell r="K253">
            <v>6529.8</v>
          </cell>
          <cell r="L253">
            <v>6529.8</v>
          </cell>
          <cell r="M253">
            <v>141.80000000000001</v>
          </cell>
          <cell r="N253">
            <v>6529.8</v>
          </cell>
          <cell r="O253">
            <v>10009.200000000001</v>
          </cell>
          <cell r="P253">
            <v>6529.8</v>
          </cell>
          <cell r="Q253">
            <v>6529.8</v>
          </cell>
          <cell r="R253">
            <v>6529.8</v>
          </cell>
          <cell r="S253">
            <v>6529.8</v>
          </cell>
        </row>
        <row r="254">
          <cell r="C254" t="str">
            <v>5006</v>
          </cell>
          <cell r="D254" t="str">
            <v>2" PE Pipe, SDR 11</v>
          </cell>
          <cell r="E254" t="str">
            <v>lnm.</v>
          </cell>
          <cell r="F254" t="str">
            <v>Material</v>
          </cell>
          <cell r="G254">
            <v>0</v>
          </cell>
          <cell r="H254">
            <v>0</v>
          </cell>
          <cell r="I254">
            <v>10009.200000000001</v>
          </cell>
          <cell r="J254">
            <v>14262</v>
          </cell>
          <cell r="K254">
            <v>10009.200000000001</v>
          </cell>
          <cell r="L254">
            <v>10009.200000000001</v>
          </cell>
          <cell r="M254">
            <v>202</v>
          </cell>
          <cell r="N254">
            <v>10009.200000000001</v>
          </cell>
          <cell r="O254">
            <v>14262</v>
          </cell>
          <cell r="P254">
            <v>10009.200000000001</v>
          </cell>
          <cell r="Q254">
            <v>10009.200000000001</v>
          </cell>
          <cell r="R254">
            <v>10009.200000000001</v>
          </cell>
          <cell r="S254">
            <v>10009.200000000001</v>
          </cell>
        </row>
        <row r="255">
          <cell r="C255" t="str">
            <v>5007</v>
          </cell>
          <cell r="D255" t="str">
            <v>2½" PE Pipe, SDR 11</v>
          </cell>
          <cell r="E255" t="str">
            <v>lnm.</v>
          </cell>
          <cell r="F255" t="str">
            <v>Material</v>
          </cell>
          <cell r="G255">
            <v>0</v>
          </cell>
          <cell r="H255">
            <v>0</v>
          </cell>
          <cell r="I255">
            <v>14262</v>
          </cell>
          <cell r="J255">
            <v>2030.3</v>
          </cell>
          <cell r="K255">
            <v>14262</v>
          </cell>
          <cell r="L255">
            <v>14262</v>
          </cell>
          <cell r="M255">
            <v>287.60000000000002</v>
          </cell>
          <cell r="N255">
            <v>14262</v>
          </cell>
          <cell r="O255">
            <v>2030.3</v>
          </cell>
          <cell r="P255">
            <v>14262</v>
          </cell>
          <cell r="Q255">
            <v>14262</v>
          </cell>
          <cell r="R255">
            <v>14262</v>
          </cell>
          <cell r="S255">
            <v>14262</v>
          </cell>
        </row>
        <row r="256">
          <cell r="C256" t="str">
            <v>5008</v>
          </cell>
          <cell r="D256" t="str">
            <v>3" PE Pipe, SDR 11</v>
          </cell>
          <cell r="E256" t="str">
            <v>lnm.</v>
          </cell>
          <cell r="F256" t="str">
            <v>Material</v>
          </cell>
          <cell r="G256">
            <v>0</v>
          </cell>
          <cell r="H256">
            <v>0</v>
          </cell>
          <cell r="I256">
            <v>2030.3</v>
          </cell>
          <cell r="J256">
            <v>3020</v>
          </cell>
          <cell r="K256">
            <v>2030.3</v>
          </cell>
          <cell r="L256">
            <v>2030.3</v>
          </cell>
          <cell r="M256">
            <v>427.85</v>
          </cell>
          <cell r="N256">
            <v>2030.3</v>
          </cell>
          <cell r="O256">
            <v>3020</v>
          </cell>
          <cell r="P256">
            <v>2030.3</v>
          </cell>
          <cell r="Q256">
            <v>2030.3</v>
          </cell>
          <cell r="R256">
            <v>2030.3</v>
          </cell>
          <cell r="S256">
            <v>2030.3</v>
          </cell>
        </row>
        <row r="257">
          <cell r="C257" t="str">
            <v>5009</v>
          </cell>
          <cell r="D257" t="str">
            <v>4" PE Pipe, SDR 11</v>
          </cell>
          <cell r="E257" t="str">
            <v>lnm.</v>
          </cell>
          <cell r="F257" t="str">
            <v>Material</v>
          </cell>
          <cell r="G257">
            <v>0</v>
          </cell>
          <cell r="H257">
            <v>0</v>
          </cell>
          <cell r="I257">
            <v>3020</v>
          </cell>
          <cell r="J257">
            <v>6792</v>
          </cell>
          <cell r="K257">
            <v>3020</v>
          </cell>
          <cell r="L257">
            <v>3020</v>
          </cell>
          <cell r="M257">
            <v>962.2</v>
          </cell>
          <cell r="N257">
            <v>3020</v>
          </cell>
          <cell r="O257">
            <v>6792</v>
          </cell>
          <cell r="P257">
            <v>3020</v>
          </cell>
          <cell r="Q257">
            <v>3020</v>
          </cell>
          <cell r="R257">
            <v>3020</v>
          </cell>
          <cell r="S257">
            <v>3020</v>
          </cell>
        </row>
        <row r="258">
          <cell r="C258" t="str">
            <v>5010</v>
          </cell>
          <cell r="D258" t="str">
            <v>6" PE Pipe, SDR 11</v>
          </cell>
          <cell r="E258" t="str">
            <v>lnm.</v>
          </cell>
          <cell r="F258" t="str">
            <v>Material</v>
          </cell>
          <cell r="G258">
            <v>0</v>
          </cell>
          <cell r="H258">
            <v>0</v>
          </cell>
          <cell r="I258">
            <v>6792</v>
          </cell>
          <cell r="J258">
            <v>1770</v>
          </cell>
          <cell r="K258">
            <v>6792</v>
          </cell>
          <cell r="L258">
            <v>6792</v>
          </cell>
          <cell r="M258">
            <v>10</v>
          </cell>
          <cell r="N258">
            <v>6792</v>
          </cell>
          <cell r="O258">
            <v>1770</v>
          </cell>
          <cell r="P258">
            <v>6792</v>
          </cell>
          <cell r="Q258">
            <v>6792</v>
          </cell>
          <cell r="R258">
            <v>6792</v>
          </cell>
          <cell r="S258">
            <v>6792</v>
          </cell>
        </row>
        <row r="259">
          <cell r="C259" t="str">
            <v>'5020</v>
          </cell>
          <cell r="D259" t="str">
            <v>3/8" PE Pipe, SDR 17</v>
          </cell>
          <cell r="E259" t="str">
            <v>lnm.</v>
          </cell>
          <cell r="F259" t="str">
            <v>Material</v>
          </cell>
          <cell r="G259">
            <v>0</v>
          </cell>
          <cell r="H259">
            <v>0</v>
          </cell>
          <cell r="I259">
            <v>1770</v>
          </cell>
          <cell r="J259">
            <v>2583</v>
          </cell>
          <cell r="K259">
            <v>1770</v>
          </cell>
          <cell r="L259">
            <v>1770</v>
          </cell>
          <cell r="M259">
            <v>14.65</v>
          </cell>
          <cell r="N259">
            <v>1770</v>
          </cell>
          <cell r="O259">
            <v>2583</v>
          </cell>
          <cell r="P259">
            <v>1770</v>
          </cell>
          <cell r="Q259">
            <v>1770</v>
          </cell>
          <cell r="R259">
            <v>1770</v>
          </cell>
          <cell r="S259">
            <v>1770</v>
          </cell>
        </row>
        <row r="260">
          <cell r="C260" t="str">
            <v>5021</v>
          </cell>
          <cell r="D260" t="str">
            <v>½" PE Pipe, SDR 17</v>
          </cell>
          <cell r="E260" t="str">
            <v>lnm.</v>
          </cell>
          <cell r="F260" t="str">
            <v>Material</v>
          </cell>
          <cell r="G260">
            <v>0</v>
          </cell>
          <cell r="H260">
            <v>0</v>
          </cell>
          <cell r="I260">
            <v>2583</v>
          </cell>
          <cell r="J260">
            <v>4093.5</v>
          </cell>
          <cell r="K260">
            <v>2583</v>
          </cell>
          <cell r="L260">
            <v>2583</v>
          </cell>
          <cell r="M260">
            <v>23.2</v>
          </cell>
          <cell r="N260">
            <v>2583</v>
          </cell>
          <cell r="O260">
            <v>4093.5</v>
          </cell>
          <cell r="P260">
            <v>2583</v>
          </cell>
          <cell r="Q260">
            <v>2583</v>
          </cell>
          <cell r="R260">
            <v>2583</v>
          </cell>
          <cell r="S260">
            <v>2583</v>
          </cell>
        </row>
        <row r="261">
          <cell r="C261" t="str">
            <v>5022</v>
          </cell>
          <cell r="D261" t="str">
            <v>3/4" PE Pipe, SDR 17</v>
          </cell>
          <cell r="E261" t="str">
            <v>lnm.</v>
          </cell>
          <cell r="F261" t="str">
            <v>Material</v>
          </cell>
          <cell r="G261">
            <v>0</v>
          </cell>
          <cell r="H261">
            <v>0</v>
          </cell>
          <cell r="I261">
            <v>4093.5</v>
          </cell>
          <cell r="J261">
            <v>4427</v>
          </cell>
          <cell r="K261">
            <v>4093.5</v>
          </cell>
          <cell r="L261">
            <v>4093.5</v>
          </cell>
          <cell r="M261">
            <v>37.65</v>
          </cell>
          <cell r="N261">
            <v>4093.5</v>
          </cell>
          <cell r="O261">
            <v>4427</v>
          </cell>
          <cell r="P261">
            <v>4093.5</v>
          </cell>
          <cell r="Q261">
            <v>4093.5</v>
          </cell>
          <cell r="R261">
            <v>4093.5</v>
          </cell>
          <cell r="S261">
            <v>4093.5</v>
          </cell>
        </row>
        <row r="262">
          <cell r="C262" t="str">
            <v>5023</v>
          </cell>
          <cell r="D262" t="str">
            <v>1" PE Pipe, SDR 17</v>
          </cell>
          <cell r="E262" t="str">
            <v>lnm.</v>
          </cell>
          <cell r="F262" t="str">
            <v>Material</v>
          </cell>
          <cell r="G262">
            <v>0</v>
          </cell>
          <cell r="H262">
            <v>0</v>
          </cell>
          <cell r="I262">
            <v>4427</v>
          </cell>
          <cell r="J262">
            <v>4231.2</v>
          </cell>
          <cell r="K262">
            <v>4427</v>
          </cell>
          <cell r="L262">
            <v>4427</v>
          </cell>
          <cell r="M262">
            <v>60</v>
          </cell>
          <cell r="N262">
            <v>4427</v>
          </cell>
          <cell r="O262">
            <v>4231.2</v>
          </cell>
          <cell r="P262">
            <v>4427</v>
          </cell>
          <cell r="Q262">
            <v>4427</v>
          </cell>
          <cell r="R262">
            <v>4427</v>
          </cell>
          <cell r="S262">
            <v>4427</v>
          </cell>
        </row>
        <row r="263">
          <cell r="C263" t="str">
            <v>5024</v>
          </cell>
          <cell r="D263" t="str">
            <v>1¼" PE Pipe, SDR 17</v>
          </cell>
          <cell r="E263" t="str">
            <v>lnm.</v>
          </cell>
          <cell r="F263" t="str">
            <v>Material</v>
          </cell>
          <cell r="G263">
            <v>0</v>
          </cell>
          <cell r="H263">
            <v>0</v>
          </cell>
          <cell r="I263">
            <v>4231.2</v>
          </cell>
          <cell r="J263">
            <v>6529.8</v>
          </cell>
          <cell r="K263">
            <v>4231.2</v>
          </cell>
          <cell r="L263">
            <v>4231.2</v>
          </cell>
          <cell r="M263">
            <v>92.5</v>
          </cell>
          <cell r="N263">
            <v>4231.2</v>
          </cell>
          <cell r="O263">
            <v>6529.8</v>
          </cell>
          <cell r="P263">
            <v>4231.2</v>
          </cell>
          <cell r="Q263">
            <v>4231.2</v>
          </cell>
          <cell r="R263">
            <v>4231.2</v>
          </cell>
          <cell r="S263">
            <v>4231.2</v>
          </cell>
        </row>
        <row r="264">
          <cell r="C264" t="str">
            <v>5025</v>
          </cell>
          <cell r="D264" t="str">
            <v>1½" PE Pipe, SDR 17</v>
          </cell>
          <cell r="E264" t="str">
            <v>lnm.</v>
          </cell>
          <cell r="F264" t="str">
            <v>Material</v>
          </cell>
          <cell r="G264">
            <v>0</v>
          </cell>
          <cell r="H264">
            <v>0</v>
          </cell>
          <cell r="I264">
            <v>6529.8</v>
          </cell>
          <cell r="J264">
            <v>10009.200000000001</v>
          </cell>
          <cell r="K264">
            <v>6529.8</v>
          </cell>
          <cell r="L264">
            <v>6529.8</v>
          </cell>
          <cell r="M264">
            <v>141.80000000000001</v>
          </cell>
          <cell r="N264">
            <v>6529.8</v>
          </cell>
          <cell r="O264">
            <v>10009.200000000001</v>
          </cell>
          <cell r="P264">
            <v>6529.8</v>
          </cell>
          <cell r="Q264">
            <v>6529.8</v>
          </cell>
          <cell r="R264">
            <v>6529.8</v>
          </cell>
          <cell r="S264">
            <v>6529.8</v>
          </cell>
        </row>
        <row r="265">
          <cell r="C265" t="str">
            <v>5026</v>
          </cell>
          <cell r="D265" t="str">
            <v>2" PE Pipe, SDR 17</v>
          </cell>
          <cell r="E265" t="str">
            <v>lnm.</v>
          </cell>
          <cell r="F265" t="str">
            <v>Material</v>
          </cell>
          <cell r="G265">
            <v>0</v>
          </cell>
          <cell r="H265">
            <v>0</v>
          </cell>
          <cell r="I265">
            <v>10009.200000000001</v>
          </cell>
          <cell r="J265">
            <v>14262</v>
          </cell>
          <cell r="K265">
            <v>10009.200000000001</v>
          </cell>
          <cell r="L265">
            <v>10009.200000000001</v>
          </cell>
          <cell r="M265">
            <v>202</v>
          </cell>
          <cell r="N265">
            <v>10009.200000000001</v>
          </cell>
          <cell r="O265">
            <v>14262</v>
          </cell>
          <cell r="P265">
            <v>10009.200000000001</v>
          </cell>
          <cell r="Q265">
            <v>10009.200000000001</v>
          </cell>
          <cell r="R265">
            <v>10009.200000000001</v>
          </cell>
          <cell r="S265">
            <v>10009.200000000001</v>
          </cell>
        </row>
        <row r="266">
          <cell r="C266" t="str">
            <v>5027</v>
          </cell>
          <cell r="D266" t="str">
            <v>2½" PE Pipe, SDR 17</v>
          </cell>
          <cell r="E266" t="str">
            <v>lnm.</v>
          </cell>
          <cell r="F266" t="str">
            <v>Material</v>
          </cell>
          <cell r="G266">
            <v>0</v>
          </cell>
          <cell r="H266">
            <v>0</v>
          </cell>
          <cell r="I266">
            <v>14262</v>
          </cell>
          <cell r="J266">
            <v>2030.3</v>
          </cell>
          <cell r="K266">
            <v>14262</v>
          </cell>
          <cell r="L266">
            <v>14262</v>
          </cell>
          <cell r="M266">
            <v>287.60000000000002</v>
          </cell>
          <cell r="N266">
            <v>14262</v>
          </cell>
          <cell r="O266">
            <v>2030.3</v>
          </cell>
          <cell r="P266">
            <v>14262</v>
          </cell>
          <cell r="Q266">
            <v>14262</v>
          </cell>
          <cell r="R266">
            <v>14262</v>
          </cell>
          <cell r="S266">
            <v>14262</v>
          </cell>
        </row>
        <row r="267">
          <cell r="C267" t="str">
            <v>5028</v>
          </cell>
          <cell r="D267" t="str">
            <v>3" PE Pipe, SDR 17</v>
          </cell>
          <cell r="E267" t="str">
            <v>lnm.</v>
          </cell>
          <cell r="F267" t="str">
            <v>Material</v>
          </cell>
          <cell r="G267">
            <v>0</v>
          </cell>
          <cell r="H267">
            <v>0</v>
          </cell>
          <cell r="I267">
            <v>2030.3</v>
          </cell>
          <cell r="J267">
            <v>3020</v>
          </cell>
          <cell r="K267">
            <v>2030.3</v>
          </cell>
          <cell r="L267">
            <v>2030.3</v>
          </cell>
          <cell r="M267">
            <v>427.85</v>
          </cell>
          <cell r="N267">
            <v>2030.3</v>
          </cell>
          <cell r="O267">
            <v>3020</v>
          </cell>
          <cell r="P267">
            <v>2030.3</v>
          </cell>
          <cell r="Q267">
            <v>2030.3</v>
          </cell>
          <cell r="R267">
            <v>2030.3</v>
          </cell>
          <cell r="S267">
            <v>2030.3</v>
          </cell>
        </row>
        <row r="268">
          <cell r="C268" t="str">
            <v>5029</v>
          </cell>
          <cell r="D268" t="str">
            <v>4" PE Pipe, SDR 17</v>
          </cell>
          <cell r="E268" t="str">
            <v>lnm.</v>
          </cell>
          <cell r="F268" t="str">
            <v>Material</v>
          </cell>
          <cell r="G268">
            <v>0</v>
          </cell>
          <cell r="H268">
            <v>0</v>
          </cell>
          <cell r="I268">
            <v>3020</v>
          </cell>
          <cell r="J268">
            <v>6792</v>
          </cell>
          <cell r="K268">
            <v>3020</v>
          </cell>
          <cell r="L268">
            <v>3020</v>
          </cell>
          <cell r="M268">
            <v>962.2</v>
          </cell>
          <cell r="N268">
            <v>3020</v>
          </cell>
          <cell r="O268">
            <v>6792</v>
          </cell>
          <cell r="P268">
            <v>3020</v>
          </cell>
          <cell r="Q268">
            <v>3020</v>
          </cell>
          <cell r="R268">
            <v>3020</v>
          </cell>
          <cell r="S268">
            <v>3020</v>
          </cell>
        </row>
        <row r="269">
          <cell r="C269" t="str">
            <v>5030</v>
          </cell>
          <cell r="D269" t="str">
            <v>6" PE Pipe, SDR 17</v>
          </cell>
          <cell r="E269" t="str">
            <v>lnm.</v>
          </cell>
          <cell r="F269" t="str">
            <v>Material</v>
          </cell>
          <cell r="G269">
            <v>0</v>
          </cell>
          <cell r="H269">
            <v>0</v>
          </cell>
          <cell r="I269">
            <v>6792</v>
          </cell>
          <cell r="J269">
            <v>1770</v>
          </cell>
          <cell r="K269">
            <v>6792</v>
          </cell>
          <cell r="L269">
            <v>6792</v>
          </cell>
          <cell r="M269">
            <v>10</v>
          </cell>
          <cell r="N269">
            <v>6792</v>
          </cell>
          <cell r="O269">
            <v>1770</v>
          </cell>
          <cell r="P269">
            <v>6792</v>
          </cell>
          <cell r="Q269">
            <v>6792</v>
          </cell>
          <cell r="R269">
            <v>6792</v>
          </cell>
          <cell r="S269">
            <v>6792</v>
          </cell>
        </row>
        <row r="270">
          <cell r="C270" t="str">
            <v>5040</v>
          </cell>
          <cell r="D270" t="str">
            <v>3/8" PE Pipe Coupling/Connector</v>
          </cell>
          <cell r="E270" t="str">
            <v>pc</v>
          </cell>
          <cell r="F270" t="str">
            <v>Material</v>
          </cell>
          <cell r="G270">
            <v>0</v>
          </cell>
          <cell r="H270">
            <v>0</v>
          </cell>
          <cell r="I270">
            <v>0</v>
          </cell>
          <cell r="J270">
            <v>228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228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</row>
        <row r="271">
          <cell r="C271" t="str">
            <v>5041</v>
          </cell>
          <cell r="D271" t="str">
            <v>½" PE Pipe Coupling/Connector</v>
          </cell>
          <cell r="E271" t="str">
            <v>pc</v>
          </cell>
          <cell r="F271" t="str">
            <v>Material</v>
          </cell>
          <cell r="G271">
            <v>0</v>
          </cell>
          <cell r="H271">
            <v>0</v>
          </cell>
          <cell r="I271">
            <v>228</v>
          </cell>
          <cell r="J271">
            <v>270</v>
          </cell>
          <cell r="K271">
            <v>228</v>
          </cell>
          <cell r="L271">
            <v>228</v>
          </cell>
          <cell r="M271">
            <v>0</v>
          </cell>
          <cell r="N271">
            <v>228</v>
          </cell>
          <cell r="O271">
            <v>270</v>
          </cell>
          <cell r="P271">
            <v>228</v>
          </cell>
          <cell r="Q271">
            <v>228</v>
          </cell>
          <cell r="R271">
            <v>228</v>
          </cell>
          <cell r="S271">
            <v>228</v>
          </cell>
        </row>
        <row r="272">
          <cell r="C272" t="str">
            <v>5042</v>
          </cell>
          <cell r="D272" t="str">
            <v>3/4" PE Pipe Coupling/Connector</v>
          </cell>
          <cell r="E272" t="str">
            <v>pc</v>
          </cell>
          <cell r="F272" t="str">
            <v>Material</v>
          </cell>
          <cell r="G272">
            <v>0</v>
          </cell>
          <cell r="H272">
            <v>0</v>
          </cell>
          <cell r="I272">
            <v>270</v>
          </cell>
          <cell r="J272">
            <v>385</v>
          </cell>
          <cell r="K272">
            <v>270</v>
          </cell>
          <cell r="L272">
            <v>270</v>
          </cell>
          <cell r="M272">
            <v>0</v>
          </cell>
          <cell r="N272">
            <v>270</v>
          </cell>
          <cell r="O272">
            <v>385</v>
          </cell>
          <cell r="P272">
            <v>270</v>
          </cell>
          <cell r="Q272">
            <v>270</v>
          </cell>
          <cell r="R272">
            <v>270</v>
          </cell>
          <cell r="S272">
            <v>270</v>
          </cell>
        </row>
        <row r="273">
          <cell r="C273" t="str">
            <v>5043</v>
          </cell>
          <cell r="D273" t="str">
            <v>1" PE Pipe Coupling/Connector</v>
          </cell>
          <cell r="E273" t="str">
            <v>pc</v>
          </cell>
          <cell r="F273" t="str">
            <v>Material</v>
          </cell>
          <cell r="G273">
            <v>0</v>
          </cell>
          <cell r="H273">
            <v>0</v>
          </cell>
          <cell r="I273">
            <v>385</v>
          </cell>
          <cell r="J273">
            <v>600</v>
          </cell>
          <cell r="K273">
            <v>385</v>
          </cell>
          <cell r="L273">
            <v>385</v>
          </cell>
          <cell r="M273">
            <v>0</v>
          </cell>
          <cell r="N273">
            <v>385</v>
          </cell>
          <cell r="O273">
            <v>600</v>
          </cell>
          <cell r="P273">
            <v>385</v>
          </cell>
          <cell r="Q273">
            <v>385</v>
          </cell>
          <cell r="R273">
            <v>385</v>
          </cell>
          <cell r="S273">
            <v>385</v>
          </cell>
        </row>
        <row r="274">
          <cell r="C274" t="str">
            <v>5044</v>
          </cell>
          <cell r="D274" t="str">
            <v>1¼" PE Pipe Coupling/Connector</v>
          </cell>
          <cell r="E274" t="str">
            <v>pc</v>
          </cell>
          <cell r="F274" t="str">
            <v>Material</v>
          </cell>
          <cell r="G274">
            <v>0</v>
          </cell>
          <cell r="H274">
            <v>0</v>
          </cell>
          <cell r="I274">
            <v>600</v>
          </cell>
          <cell r="J274">
            <v>760</v>
          </cell>
          <cell r="K274">
            <v>600</v>
          </cell>
          <cell r="L274">
            <v>600</v>
          </cell>
          <cell r="M274">
            <v>0</v>
          </cell>
          <cell r="N274">
            <v>600</v>
          </cell>
          <cell r="O274">
            <v>760</v>
          </cell>
          <cell r="P274">
            <v>600</v>
          </cell>
          <cell r="Q274">
            <v>600</v>
          </cell>
          <cell r="R274">
            <v>600</v>
          </cell>
          <cell r="S274">
            <v>600</v>
          </cell>
        </row>
        <row r="275">
          <cell r="C275" t="str">
            <v>5045</v>
          </cell>
          <cell r="D275" t="str">
            <v>1½" PE Pipe Coupling/Connector</v>
          </cell>
          <cell r="E275" t="str">
            <v>pc</v>
          </cell>
          <cell r="F275" t="str">
            <v>Material</v>
          </cell>
          <cell r="G275">
            <v>0</v>
          </cell>
          <cell r="H275">
            <v>0</v>
          </cell>
          <cell r="I275">
            <v>760</v>
          </cell>
          <cell r="J275">
            <v>1260</v>
          </cell>
          <cell r="K275">
            <v>760</v>
          </cell>
          <cell r="L275">
            <v>760</v>
          </cell>
          <cell r="M275">
            <v>0</v>
          </cell>
          <cell r="N275">
            <v>760</v>
          </cell>
          <cell r="O275">
            <v>1260</v>
          </cell>
          <cell r="P275">
            <v>760</v>
          </cell>
          <cell r="Q275">
            <v>760</v>
          </cell>
          <cell r="R275">
            <v>760</v>
          </cell>
          <cell r="S275">
            <v>760</v>
          </cell>
        </row>
        <row r="276">
          <cell r="C276" t="str">
            <v>5046</v>
          </cell>
          <cell r="D276" t="str">
            <v>2" PE Pipe Coupling/Connector</v>
          </cell>
          <cell r="E276" t="str">
            <v>pc</v>
          </cell>
          <cell r="F276" t="str">
            <v>Material</v>
          </cell>
          <cell r="G276">
            <v>0</v>
          </cell>
          <cell r="H276">
            <v>0</v>
          </cell>
          <cell r="I276">
            <v>1260</v>
          </cell>
          <cell r="J276">
            <v>1885</v>
          </cell>
          <cell r="K276">
            <v>1260</v>
          </cell>
          <cell r="L276">
            <v>1260</v>
          </cell>
          <cell r="M276">
            <v>0</v>
          </cell>
          <cell r="N276">
            <v>1260</v>
          </cell>
          <cell r="O276">
            <v>1885</v>
          </cell>
          <cell r="P276">
            <v>1260</v>
          </cell>
          <cell r="Q276">
            <v>1260</v>
          </cell>
          <cell r="R276">
            <v>1260</v>
          </cell>
          <cell r="S276">
            <v>1260</v>
          </cell>
        </row>
        <row r="277">
          <cell r="C277" t="str">
            <v>5047</v>
          </cell>
          <cell r="D277" t="str">
            <v>2½" PE Pipe Coupling/Connector</v>
          </cell>
          <cell r="E277" t="str">
            <v>pc</v>
          </cell>
          <cell r="F277" t="str">
            <v>Material</v>
          </cell>
          <cell r="G277">
            <v>0</v>
          </cell>
          <cell r="H277">
            <v>0</v>
          </cell>
          <cell r="I277">
            <v>1885</v>
          </cell>
          <cell r="J277">
            <v>2800</v>
          </cell>
          <cell r="K277">
            <v>1885</v>
          </cell>
          <cell r="L277">
            <v>1885</v>
          </cell>
          <cell r="M277">
            <v>0</v>
          </cell>
          <cell r="N277">
            <v>1885</v>
          </cell>
          <cell r="O277">
            <v>2800</v>
          </cell>
          <cell r="P277">
            <v>1885</v>
          </cell>
          <cell r="Q277">
            <v>1885</v>
          </cell>
          <cell r="R277">
            <v>1885</v>
          </cell>
          <cell r="S277">
            <v>1885</v>
          </cell>
        </row>
        <row r="278">
          <cell r="C278" t="str">
            <v>5048</v>
          </cell>
          <cell r="D278" t="str">
            <v>3" PE Pipe Coupling/Connector</v>
          </cell>
          <cell r="E278" t="str">
            <v>pc</v>
          </cell>
          <cell r="F278" t="str">
            <v>Material</v>
          </cell>
          <cell r="G278">
            <v>0</v>
          </cell>
          <cell r="H278">
            <v>0</v>
          </cell>
          <cell r="I278">
            <v>2800</v>
          </cell>
          <cell r="J278">
            <v>1500</v>
          </cell>
          <cell r="K278">
            <v>2800</v>
          </cell>
          <cell r="L278">
            <v>2800</v>
          </cell>
          <cell r="M278">
            <v>1500</v>
          </cell>
          <cell r="N278">
            <v>2800</v>
          </cell>
          <cell r="O278">
            <v>1700</v>
          </cell>
          <cell r="P278">
            <v>2800</v>
          </cell>
          <cell r="Q278">
            <v>2800</v>
          </cell>
          <cell r="R278">
            <v>2800</v>
          </cell>
          <cell r="S278">
            <v>2800</v>
          </cell>
        </row>
        <row r="280">
          <cell r="C280" t="str">
            <v>5300</v>
          </cell>
          <cell r="D280" t="str">
            <v>½" Brass Faucet, Plain Bibb</v>
          </cell>
          <cell r="E280" t="str">
            <v>pc</v>
          </cell>
          <cell r="F280" t="str">
            <v>Material</v>
          </cell>
          <cell r="G280">
            <v>0.25</v>
          </cell>
          <cell r="H280">
            <v>0</v>
          </cell>
          <cell r="I280">
            <v>70</v>
          </cell>
          <cell r="J280">
            <v>80</v>
          </cell>
          <cell r="K280">
            <v>70</v>
          </cell>
          <cell r="L280">
            <v>66</v>
          </cell>
          <cell r="M280">
            <v>310</v>
          </cell>
          <cell r="N280">
            <v>70</v>
          </cell>
          <cell r="O280">
            <v>310</v>
          </cell>
          <cell r="P280">
            <v>75</v>
          </cell>
          <cell r="Q280">
            <v>75</v>
          </cell>
          <cell r="R280">
            <v>70.7</v>
          </cell>
          <cell r="S280">
            <v>70</v>
          </cell>
        </row>
        <row r="281">
          <cell r="C281" t="str">
            <v>5301</v>
          </cell>
          <cell r="D281" t="str">
            <v>Water closet (ordinary)</v>
          </cell>
          <cell r="E281" t="str">
            <v>Set</v>
          </cell>
          <cell r="F281" t="str">
            <v>Material</v>
          </cell>
          <cell r="G281">
            <v>45</v>
          </cell>
          <cell r="H281">
            <v>0</v>
          </cell>
          <cell r="I281">
            <v>1500</v>
          </cell>
          <cell r="J281">
            <v>700</v>
          </cell>
          <cell r="K281">
            <v>1650</v>
          </cell>
          <cell r="L281">
            <v>1500</v>
          </cell>
          <cell r="M281">
            <v>750</v>
          </cell>
          <cell r="N281">
            <v>1700</v>
          </cell>
          <cell r="O281">
            <v>780</v>
          </cell>
          <cell r="P281">
            <v>1500</v>
          </cell>
          <cell r="Q281">
            <v>1500</v>
          </cell>
          <cell r="R281">
            <v>1700</v>
          </cell>
          <cell r="S281">
            <v>1700</v>
          </cell>
        </row>
        <row r="282">
          <cell r="C282" t="str">
            <v>5302</v>
          </cell>
          <cell r="D282" t="str">
            <v>Water seal bowl (tankless)</v>
          </cell>
          <cell r="E282" t="str">
            <v>Set</v>
          </cell>
          <cell r="F282" t="str">
            <v>Material</v>
          </cell>
          <cell r="G282">
            <v>25</v>
          </cell>
          <cell r="H282">
            <v>0</v>
          </cell>
          <cell r="I282">
            <v>700</v>
          </cell>
          <cell r="J282">
            <v>600</v>
          </cell>
          <cell r="K282">
            <v>790</v>
          </cell>
          <cell r="L282">
            <v>750</v>
          </cell>
          <cell r="M282">
            <v>700</v>
          </cell>
          <cell r="N282">
            <v>850</v>
          </cell>
          <cell r="O282">
            <v>600</v>
          </cell>
          <cell r="P282">
            <v>720</v>
          </cell>
          <cell r="Q282">
            <v>720</v>
          </cell>
          <cell r="R282">
            <v>850</v>
          </cell>
          <cell r="S282">
            <v>900</v>
          </cell>
        </row>
        <row r="283">
          <cell r="C283" t="str">
            <v>5303</v>
          </cell>
          <cell r="D283" t="str">
            <v>Lavatory, porcelain</v>
          </cell>
          <cell r="E283" t="str">
            <v>Set</v>
          </cell>
          <cell r="F283" t="str">
            <v>Material</v>
          </cell>
          <cell r="G283">
            <v>12.5</v>
          </cell>
          <cell r="H283">
            <v>0</v>
          </cell>
          <cell r="I283">
            <v>600</v>
          </cell>
          <cell r="J283">
            <v>950</v>
          </cell>
          <cell r="K283">
            <v>620</v>
          </cell>
          <cell r="L283">
            <v>750</v>
          </cell>
          <cell r="M283">
            <v>980</v>
          </cell>
          <cell r="N283">
            <v>630</v>
          </cell>
          <cell r="O283">
            <v>950</v>
          </cell>
          <cell r="P283">
            <v>600</v>
          </cell>
          <cell r="Q283">
            <v>600</v>
          </cell>
          <cell r="R283">
            <v>630</v>
          </cell>
          <cell r="S283">
            <v>750</v>
          </cell>
        </row>
        <row r="284">
          <cell r="C284" t="str">
            <v>5304</v>
          </cell>
          <cell r="D284" t="str">
            <v>Kitchen sink ( Aluminum)</v>
          </cell>
          <cell r="E284" t="str">
            <v>Set</v>
          </cell>
          <cell r="F284" t="str">
            <v>Material</v>
          </cell>
          <cell r="G284">
            <v>10</v>
          </cell>
          <cell r="H284">
            <v>0</v>
          </cell>
          <cell r="I284">
            <v>950</v>
          </cell>
          <cell r="J284">
            <v>150</v>
          </cell>
          <cell r="K284">
            <v>950</v>
          </cell>
          <cell r="L284">
            <v>950</v>
          </cell>
          <cell r="M284">
            <v>150</v>
          </cell>
          <cell r="N284">
            <v>920</v>
          </cell>
          <cell r="O284">
            <v>150</v>
          </cell>
          <cell r="P284">
            <v>900</v>
          </cell>
          <cell r="Q284">
            <v>900</v>
          </cell>
          <cell r="R284">
            <v>920</v>
          </cell>
          <cell r="S284">
            <v>920</v>
          </cell>
        </row>
        <row r="285">
          <cell r="C285" t="str">
            <v>5305</v>
          </cell>
          <cell r="D285" t="str">
            <v>Soap Holder (ceramic)</v>
          </cell>
          <cell r="E285" t="str">
            <v>Set</v>
          </cell>
          <cell r="F285" t="str">
            <v>Material</v>
          </cell>
          <cell r="G285">
            <v>1.5</v>
          </cell>
          <cell r="H285">
            <v>0</v>
          </cell>
          <cell r="I285">
            <v>150</v>
          </cell>
          <cell r="J285">
            <v>150</v>
          </cell>
          <cell r="K285">
            <v>160</v>
          </cell>
          <cell r="L285">
            <v>150</v>
          </cell>
          <cell r="M285">
            <v>150</v>
          </cell>
          <cell r="N285">
            <v>170</v>
          </cell>
          <cell r="O285">
            <v>150</v>
          </cell>
          <cell r="P285">
            <v>130</v>
          </cell>
          <cell r="Q285">
            <v>130</v>
          </cell>
          <cell r="R285">
            <v>170</v>
          </cell>
          <cell r="S285">
            <v>170</v>
          </cell>
        </row>
        <row r="286">
          <cell r="C286" t="str">
            <v>5306</v>
          </cell>
          <cell r="D286" t="str">
            <v>Paper Holder (ceramic)</v>
          </cell>
          <cell r="E286" t="str">
            <v>Set</v>
          </cell>
          <cell r="F286" t="str">
            <v>Material</v>
          </cell>
          <cell r="G286">
            <v>1.5</v>
          </cell>
          <cell r="H286">
            <v>0</v>
          </cell>
          <cell r="I286">
            <v>150</v>
          </cell>
          <cell r="J286">
            <v>15</v>
          </cell>
          <cell r="K286">
            <v>160</v>
          </cell>
          <cell r="L286">
            <v>150</v>
          </cell>
          <cell r="M286">
            <v>30</v>
          </cell>
          <cell r="N286">
            <v>170</v>
          </cell>
          <cell r="O286">
            <v>25</v>
          </cell>
          <cell r="P286">
            <v>140</v>
          </cell>
          <cell r="Q286">
            <v>140</v>
          </cell>
          <cell r="R286">
            <v>170</v>
          </cell>
          <cell r="S286">
            <v>170</v>
          </cell>
        </row>
        <row r="287">
          <cell r="C287" t="str">
            <v>5307</v>
          </cell>
          <cell r="D287" t="str">
            <v>4x4 Floor drain plate</v>
          </cell>
          <cell r="E287" t="str">
            <v>pc</v>
          </cell>
          <cell r="F287" t="str">
            <v>Material</v>
          </cell>
          <cell r="G287">
            <v>0.15</v>
          </cell>
          <cell r="H287">
            <v>0</v>
          </cell>
          <cell r="I287">
            <v>18</v>
          </cell>
          <cell r="J287">
            <v>70</v>
          </cell>
          <cell r="K287">
            <v>31</v>
          </cell>
          <cell r="L287">
            <v>30</v>
          </cell>
          <cell r="M287">
            <v>66</v>
          </cell>
          <cell r="N287">
            <v>20</v>
          </cell>
          <cell r="O287">
            <v>70</v>
          </cell>
          <cell r="P287">
            <v>20</v>
          </cell>
          <cell r="Q287">
            <v>20</v>
          </cell>
          <cell r="R287">
            <v>20</v>
          </cell>
          <cell r="S287">
            <v>35</v>
          </cell>
        </row>
        <row r="288">
          <cell r="C288" t="str">
            <v>5308</v>
          </cell>
          <cell r="D288" t="str">
            <v>6x6 Floor drain plate</v>
          </cell>
          <cell r="E288" t="str">
            <v>pc</v>
          </cell>
          <cell r="F288" t="str">
            <v>Material</v>
          </cell>
          <cell r="G288">
            <v>0.15</v>
          </cell>
          <cell r="H288">
            <v>0</v>
          </cell>
          <cell r="I288">
            <v>65</v>
          </cell>
          <cell r="J288">
            <v>65</v>
          </cell>
          <cell r="K288">
            <v>65</v>
          </cell>
          <cell r="L288">
            <v>65</v>
          </cell>
          <cell r="M288">
            <v>65</v>
          </cell>
          <cell r="N288">
            <v>65</v>
          </cell>
          <cell r="O288">
            <v>65</v>
          </cell>
          <cell r="P288">
            <v>65</v>
          </cell>
          <cell r="Q288">
            <v>65</v>
          </cell>
          <cell r="R288">
            <v>65</v>
          </cell>
          <cell r="S288">
            <v>65</v>
          </cell>
        </row>
        <row r="289">
          <cell r="C289" t="str">
            <v>5309</v>
          </cell>
          <cell r="D289" t="str">
            <v>Jetmatic Pump, Heavy Duty</v>
          </cell>
          <cell r="E289" t="str">
            <v>Set</v>
          </cell>
          <cell r="F289" t="str">
            <v>Material</v>
          </cell>
          <cell r="G289">
            <v>0</v>
          </cell>
          <cell r="H289">
            <v>0</v>
          </cell>
          <cell r="I289">
            <v>1500</v>
          </cell>
          <cell r="J289">
            <v>400</v>
          </cell>
          <cell r="K289">
            <v>1550</v>
          </cell>
          <cell r="L289">
            <v>1500</v>
          </cell>
          <cell r="M289">
            <v>400</v>
          </cell>
          <cell r="N289">
            <v>1500</v>
          </cell>
          <cell r="O289">
            <v>420</v>
          </cell>
          <cell r="P289">
            <v>1500</v>
          </cell>
          <cell r="Q289">
            <v>1500</v>
          </cell>
          <cell r="R289">
            <v>1500</v>
          </cell>
          <cell r="S289">
            <v>1800</v>
          </cell>
        </row>
        <row r="290">
          <cell r="C290" t="str">
            <v>5310</v>
          </cell>
          <cell r="D290" t="str">
            <v>Sink Strainer</v>
          </cell>
          <cell r="E290" t="str">
            <v>Set</v>
          </cell>
          <cell r="F290" t="str">
            <v>Material</v>
          </cell>
          <cell r="G290">
            <v>0</v>
          </cell>
          <cell r="H290">
            <v>0</v>
          </cell>
          <cell r="I290">
            <v>50</v>
          </cell>
          <cell r="J290">
            <v>50</v>
          </cell>
          <cell r="K290">
            <v>50</v>
          </cell>
          <cell r="L290">
            <v>50</v>
          </cell>
          <cell r="M290">
            <v>50</v>
          </cell>
          <cell r="N290">
            <v>50</v>
          </cell>
          <cell r="O290">
            <v>50</v>
          </cell>
          <cell r="P290">
            <v>50</v>
          </cell>
          <cell r="Q290">
            <v>50</v>
          </cell>
          <cell r="R290">
            <v>50</v>
          </cell>
          <cell r="S290">
            <v>50</v>
          </cell>
        </row>
        <row r="292">
          <cell r="C292" t="str">
            <v>5500</v>
          </cell>
          <cell r="D292" t="str">
            <v>#10 AWG TW Wire solid</v>
          </cell>
          <cell r="E292" t="str">
            <v>lnm.</v>
          </cell>
          <cell r="F292" t="str">
            <v>Material</v>
          </cell>
          <cell r="G292">
            <v>0.04</v>
          </cell>
          <cell r="H292">
            <v>0</v>
          </cell>
          <cell r="I292">
            <v>9</v>
          </cell>
          <cell r="J292">
            <v>5.5</v>
          </cell>
          <cell r="K292">
            <v>9</v>
          </cell>
          <cell r="L292">
            <v>8</v>
          </cell>
          <cell r="M292">
            <v>8</v>
          </cell>
          <cell r="N292">
            <v>9</v>
          </cell>
          <cell r="O292">
            <v>6</v>
          </cell>
          <cell r="P292">
            <v>8.5</v>
          </cell>
          <cell r="Q292">
            <v>8.5</v>
          </cell>
          <cell r="R292">
            <v>9</v>
          </cell>
          <cell r="S292">
            <v>9.1</v>
          </cell>
        </row>
        <row r="293">
          <cell r="C293" t="str">
            <v>5501</v>
          </cell>
          <cell r="D293" t="str">
            <v>#12 AWG TW Wire solid</v>
          </cell>
          <cell r="E293" t="str">
            <v>lnm.</v>
          </cell>
          <cell r="F293" t="str">
            <v>Material</v>
          </cell>
          <cell r="G293">
            <v>0.05</v>
          </cell>
          <cell r="H293">
            <v>0</v>
          </cell>
          <cell r="I293">
            <v>8</v>
          </cell>
          <cell r="J293">
            <v>4</v>
          </cell>
          <cell r="K293">
            <v>8</v>
          </cell>
          <cell r="L293">
            <v>5</v>
          </cell>
          <cell r="M293">
            <v>6</v>
          </cell>
          <cell r="N293">
            <v>8</v>
          </cell>
          <cell r="O293">
            <v>4.5</v>
          </cell>
          <cell r="P293">
            <v>6.5</v>
          </cell>
          <cell r="Q293">
            <v>6.5</v>
          </cell>
          <cell r="R293">
            <v>8</v>
          </cell>
          <cell r="S293">
            <v>8</v>
          </cell>
        </row>
        <row r="294">
          <cell r="C294" t="str">
            <v>5502</v>
          </cell>
          <cell r="D294" t="str">
            <v>#14 AWG TW Wire solid</v>
          </cell>
          <cell r="E294" t="str">
            <v>lnm.</v>
          </cell>
          <cell r="F294" t="str">
            <v>Material</v>
          </cell>
          <cell r="G294">
            <v>6.5000000000000002E-2</v>
          </cell>
          <cell r="H294">
            <v>0</v>
          </cell>
          <cell r="I294">
            <v>4.5</v>
          </cell>
          <cell r="J294">
            <v>10</v>
          </cell>
          <cell r="K294">
            <v>8</v>
          </cell>
          <cell r="L294">
            <v>4</v>
          </cell>
          <cell r="M294">
            <v>9</v>
          </cell>
          <cell r="N294">
            <v>7.2</v>
          </cell>
          <cell r="O294">
            <v>12</v>
          </cell>
          <cell r="P294">
            <v>6.5</v>
          </cell>
          <cell r="Q294">
            <v>6.5</v>
          </cell>
          <cell r="R294">
            <v>7.2</v>
          </cell>
          <cell r="S294">
            <v>7.2</v>
          </cell>
        </row>
        <row r="295">
          <cell r="C295" t="str">
            <v>5503</v>
          </cell>
          <cell r="D295" t="str">
            <v>#10 AWG TW Wire stranded</v>
          </cell>
          <cell r="E295" t="str">
            <v>lnm.</v>
          </cell>
          <cell r="F295" t="str">
            <v>Material</v>
          </cell>
          <cell r="G295">
            <v>0.04</v>
          </cell>
          <cell r="H295">
            <v>0</v>
          </cell>
          <cell r="I295">
            <v>11</v>
          </cell>
          <cell r="J295">
            <v>7</v>
          </cell>
          <cell r="K295">
            <v>12</v>
          </cell>
          <cell r="L295">
            <v>9</v>
          </cell>
          <cell r="M295">
            <v>7.5</v>
          </cell>
          <cell r="N295">
            <v>12</v>
          </cell>
          <cell r="O295">
            <v>7.5</v>
          </cell>
          <cell r="P295">
            <v>10</v>
          </cell>
          <cell r="Q295">
            <v>10</v>
          </cell>
          <cell r="R295">
            <v>12</v>
          </cell>
          <cell r="S295">
            <v>12.1</v>
          </cell>
        </row>
        <row r="296">
          <cell r="C296" t="str">
            <v>5504</v>
          </cell>
          <cell r="D296" t="str">
            <v>#12 AWG TW Wire stranded</v>
          </cell>
          <cell r="E296" t="str">
            <v>lnm.</v>
          </cell>
          <cell r="F296" t="str">
            <v>Material</v>
          </cell>
          <cell r="G296">
            <v>0.05</v>
          </cell>
          <cell r="H296">
            <v>0</v>
          </cell>
          <cell r="I296">
            <v>7.5</v>
          </cell>
          <cell r="J296">
            <v>5</v>
          </cell>
          <cell r="K296">
            <v>8</v>
          </cell>
          <cell r="L296">
            <v>7</v>
          </cell>
          <cell r="M296">
            <v>5</v>
          </cell>
          <cell r="N296">
            <v>9</v>
          </cell>
          <cell r="O296">
            <v>6</v>
          </cell>
          <cell r="P296">
            <v>7.5</v>
          </cell>
          <cell r="Q296">
            <v>7.5</v>
          </cell>
          <cell r="R296">
            <v>9</v>
          </cell>
          <cell r="S296">
            <v>9</v>
          </cell>
        </row>
        <row r="297">
          <cell r="C297" t="str">
            <v>5505</v>
          </cell>
          <cell r="D297" t="str">
            <v>#14 AWG TW Wire stranded</v>
          </cell>
          <cell r="E297" t="str">
            <v>lnm.</v>
          </cell>
          <cell r="F297" t="str">
            <v>Material</v>
          </cell>
          <cell r="G297">
            <v>6.5000000000000002E-2</v>
          </cell>
          <cell r="H297">
            <v>0</v>
          </cell>
          <cell r="I297">
            <v>6</v>
          </cell>
          <cell r="J297">
            <v>20</v>
          </cell>
          <cell r="K297">
            <v>7</v>
          </cell>
          <cell r="L297">
            <v>5</v>
          </cell>
          <cell r="M297">
            <v>0</v>
          </cell>
          <cell r="N297">
            <v>8</v>
          </cell>
          <cell r="O297">
            <v>0</v>
          </cell>
          <cell r="P297">
            <v>6.75</v>
          </cell>
          <cell r="Q297">
            <v>6.75</v>
          </cell>
          <cell r="R297">
            <v>8</v>
          </cell>
          <cell r="S297">
            <v>8</v>
          </cell>
        </row>
        <row r="298">
          <cell r="C298" t="str">
            <v>5506</v>
          </cell>
          <cell r="D298" t="str">
            <v>#10  PDX Wire</v>
          </cell>
          <cell r="E298" t="str">
            <v>lnm.</v>
          </cell>
          <cell r="F298" t="str">
            <v>Material</v>
          </cell>
          <cell r="G298">
            <v>0.04</v>
          </cell>
          <cell r="H298">
            <v>0</v>
          </cell>
          <cell r="I298">
            <v>21.1</v>
          </cell>
          <cell r="J298">
            <v>16</v>
          </cell>
          <cell r="K298">
            <v>21.1</v>
          </cell>
          <cell r="L298">
            <v>0</v>
          </cell>
          <cell r="M298">
            <v>14</v>
          </cell>
          <cell r="N298">
            <v>0</v>
          </cell>
          <cell r="O298">
            <v>17</v>
          </cell>
          <cell r="P298">
            <v>0</v>
          </cell>
          <cell r="Q298">
            <v>0</v>
          </cell>
          <cell r="R298">
            <v>0</v>
          </cell>
          <cell r="S298">
            <v>28</v>
          </cell>
        </row>
        <row r="299">
          <cell r="C299" t="str">
            <v>5507</v>
          </cell>
          <cell r="D299" t="str">
            <v>#12 PDX Wire</v>
          </cell>
          <cell r="E299" t="str">
            <v>lnm.</v>
          </cell>
          <cell r="F299" t="str">
            <v>Material</v>
          </cell>
          <cell r="G299">
            <v>5.5E-2</v>
          </cell>
          <cell r="H299">
            <v>0</v>
          </cell>
          <cell r="I299">
            <v>16</v>
          </cell>
          <cell r="J299">
            <v>12</v>
          </cell>
          <cell r="K299">
            <v>21</v>
          </cell>
          <cell r="L299">
            <v>14</v>
          </cell>
          <cell r="M299">
            <v>12.5</v>
          </cell>
          <cell r="N299">
            <v>23</v>
          </cell>
          <cell r="O299">
            <v>13</v>
          </cell>
          <cell r="P299">
            <v>17.5</v>
          </cell>
          <cell r="Q299">
            <v>17.5</v>
          </cell>
          <cell r="R299">
            <v>23</v>
          </cell>
          <cell r="S299">
            <v>23</v>
          </cell>
        </row>
        <row r="300">
          <cell r="C300" t="str">
            <v>5508</v>
          </cell>
          <cell r="D300" t="str">
            <v>#14 PDX Wire</v>
          </cell>
          <cell r="E300" t="str">
            <v>lnm.</v>
          </cell>
          <cell r="F300" t="str">
            <v>Material</v>
          </cell>
          <cell r="G300">
            <v>7.0000000000000007E-2</v>
          </cell>
          <cell r="H300">
            <v>0</v>
          </cell>
          <cell r="I300">
            <v>12</v>
          </cell>
          <cell r="J300">
            <v>11</v>
          </cell>
          <cell r="K300">
            <v>15</v>
          </cell>
          <cell r="L300">
            <v>12</v>
          </cell>
          <cell r="M300">
            <v>15</v>
          </cell>
          <cell r="N300">
            <v>18</v>
          </cell>
          <cell r="O300">
            <v>11</v>
          </cell>
          <cell r="P300">
            <v>13</v>
          </cell>
          <cell r="Q300">
            <v>13</v>
          </cell>
          <cell r="R300">
            <v>18</v>
          </cell>
          <cell r="S300">
            <v>13</v>
          </cell>
        </row>
        <row r="301">
          <cell r="C301" t="str">
            <v>5509</v>
          </cell>
          <cell r="D301" t="str">
            <v>1" Flexible conduit</v>
          </cell>
          <cell r="E301" t="str">
            <v>lnm.</v>
          </cell>
          <cell r="F301" t="str">
            <v>Material</v>
          </cell>
          <cell r="G301">
            <v>0.03</v>
          </cell>
          <cell r="H301">
            <v>0</v>
          </cell>
          <cell r="I301">
            <v>14.5</v>
          </cell>
          <cell r="J301">
            <v>6</v>
          </cell>
          <cell r="K301">
            <v>18</v>
          </cell>
          <cell r="L301">
            <v>15</v>
          </cell>
          <cell r="M301">
            <v>8.1999999999999993</v>
          </cell>
          <cell r="N301">
            <v>20</v>
          </cell>
          <cell r="O301">
            <v>6</v>
          </cell>
          <cell r="P301">
            <v>14</v>
          </cell>
          <cell r="Q301">
            <v>14</v>
          </cell>
          <cell r="R301">
            <v>20</v>
          </cell>
          <cell r="S301">
            <v>26</v>
          </cell>
        </row>
        <row r="302">
          <cell r="C302" t="str">
            <v>5510</v>
          </cell>
          <cell r="D302" t="str">
            <v>½" Flexible conduit</v>
          </cell>
          <cell r="E302" t="str">
            <v>lnm.</v>
          </cell>
          <cell r="F302" t="str">
            <v>Material</v>
          </cell>
          <cell r="G302">
            <v>0.06</v>
          </cell>
          <cell r="H302">
            <v>0</v>
          </cell>
          <cell r="I302">
            <v>6</v>
          </cell>
          <cell r="J302">
            <v>9</v>
          </cell>
          <cell r="K302">
            <v>9</v>
          </cell>
          <cell r="L302">
            <v>8</v>
          </cell>
          <cell r="M302">
            <v>10.5</v>
          </cell>
          <cell r="N302">
            <v>9</v>
          </cell>
          <cell r="O302">
            <v>9</v>
          </cell>
          <cell r="P302">
            <v>6.8</v>
          </cell>
          <cell r="Q302">
            <v>6.8</v>
          </cell>
          <cell r="R302">
            <v>9</v>
          </cell>
          <cell r="S302">
            <v>9</v>
          </cell>
        </row>
        <row r="303">
          <cell r="C303" t="str">
            <v>5511</v>
          </cell>
          <cell r="D303" t="str">
            <v>3/4" PolyFlex Electrical Pipe</v>
          </cell>
          <cell r="E303" t="str">
            <v>lnm.</v>
          </cell>
          <cell r="F303" t="str">
            <v>Material</v>
          </cell>
          <cell r="G303">
            <v>0.25</v>
          </cell>
          <cell r="H303">
            <v>0</v>
          </cell>
          <cell r="I303">
            <v>5.55</v>
          </cell>
          <cell r="J303">
            <v>5.55</v>
          </cell>
          <cell r="K303">
            <v>5.55</v>
          </cell>
          <cell r="L303">
            <v>5.55</v>
          </cell>
          <cell r="M303">
            <v>5.55</v>
          </cell>
          <cell r="N303">
            <v>5.55</v>
          </cell>
          <cell r="O303">
            <v>5.55</v>
          </cell>
          <cell r="P303">
            <v>5.55</v>
          </cell>
          <cell r="Q303">
            <v>5.55</v>
          </cell>
          <cell r="R303">
            <v>5.55</v>
          </cell>
          <cell r="S303">
            <v>5.55</v>
          </cell>
        </row>
        <row r="304">
          <cell r="C304" t="str">
            <v>5512</v>
          </cell>
          <cell r="D304" t="str">
            <v>½" Entrance Cap</v>
          </cell>
          <cell r="E304" t="str">
            <v>pc</v>
          </cell>
          <cell r="F304" t="str">
            <v>Material</v>
          </cell>
          <cell r="G304">
            <v>0.03</v>
          </cell>
          <cell r="H304">
            <v>0</v>
          </cell>
          <cell r="I304">
            <v>25</v>
          </cell>
          <cell r="J304">
            <v>180</v>
          </cell>
          <cell r="K304">
            <v>35</v>
          </cell>
          <cell r="L304">
            <v>30</v>
          </cell>
          <cell r="M304">
            <v>175</v>
          </cell>
          <cell r="N304">
            <v>30</v>
          </cell>
          <cell r="O304">
            <v>180</v>
          </cell>
          <cell r="P304">
            <v>20</v>
          </cell>
          <cell r="Q304">
            <v>20</v>
          </cell>
          <cell r="R304">
            <v>30</v>
          </cell>
          <cell r="S304">
            <v>38</v>
          </cell>
        </row>
        <row r="305">
          <cell r="C305" t="str">
            <v>5513</v>
          </cell>
          <cell r="D305" t="str">
            <v>½" Entrance Cap</v>
          </cell>
          <cell r="E305" t="str">
            <v>pc</v>
          </cell>
          <cell r="F305" t="str">
            <v>Material</v>
          </cell>
          <cell r="G305">
            <v>0.03</v>
          </cell>
          <cell r="H305">
            <v>0</v>
          </cell>
          <cell r="I305">
            <v>25</v>
          </cell>
          <cell r="J305">
            <v>180</v>
          </cell>
          <cell r="K305">
            <v>35</v>
          </cell>
          <cell r="L305">
            <v>30</v>
          </cell>
          <cell r="M305">
            <v>175</v>
          </cell>
          <cell r="N305">
            <v>30</v>
          </cell>
          <cell r="O305">
            <v>180</v>
          </cell>
          <cell r="P305">
            <v>20</v>
          </cell>
          <cell r="Q305">
            <v>20</v>
          </cell>
          <cell r="R305">
            <v>30</v>
          </cell>
          <cell r="S305">
            <v>38</v>
          </cell>
        </row>
        <row r="306">
          <cell r="C306" t="str">
            <v>5520</v>
          </cell>
          <cell r="D306" t="str">
            <v>20A Circuit Breakers</v>
          </cell>
          <cell r="E306" t="str">
            <v>pc</v>
          </cell>
          <cell r="F306" t="str">
            <v>Material</v>
          </cell>
          <cell r="G306">
            <v>0</v>
          </cell>
          <cell r="H306">
            <v>0</v>
          </cell>
          <cell r="I306">
            <v>180</v>
          </cell>
          <cell r="J306">
            <v>190</v>
          </cell>
          <cell r="K306">
            <v>200</v>
          </cell>
          <cell r="L306">
            <v>175</v>
          </cell>
          <cell r="M306">
            <v>150</v>
          </cell>
          <cell r="N306">
            <v>200</v>
          </cell>
          <cell r="O306">
            <v>190</v>
          </cell>
          <cell r="P306">
            <v>175</v>
          </cell>
          <cell r="Q306">
            <v>175</v>
          </cell>
          <cell r="R306">
            <v>200</v>
          </cell>
          <cell r="S306">
            <v>200</v>
          </cell>
        </row>
        <row r="307">
          <cell r="C307" t="str">
            <v>5521</v>
          </cell>
          <cell r="D307" t="str">
            <v>30A Circuit Breakers</v>
          </cell>
          <cell r="E307" t="str">
            <v>pc</v>
          </cell>
          <cell r="F307" t="str">
            <v>Material</v>
          </cell>
          <cell r="G307">
            <v>0</v>
          </cell>
          <cell r="H307">
            <v>0</v>
          </cell>
          <cell r="I307">
            <v>190</v>
          </cell>
          <cell r="J307">
            <v>190</v>
          </cell>
          <cell r="K307">
            <v>210</v>
          </cell>
          <cell r="L307">
            <v>150</v>
          </cell>
          <cell r="M307">
            <v>200</v>
          </cell>
          <cell r="N307">
            <v>216</v>
          </cell>
          <cell r="O307">
            <v>195</v>
          </cell>
          <cell r="P307">
            <v>185</v>
          </cell>
          <cell r="Q307">
            <v>185</v>
          </cell>
          <cell r="R307">
            <v>216</v>
          </cell>
          <cell r="S307">
            <v>216</v>
          </cell>
        </row>
        <row r="308">
          <cell r="C308" t="str">
            <v>5522</v>
          </cell>
          <cell r="D308" t="str">
            <v>60ACircuit Breakers</v>
          </cell>
          <cell r="E308" t="str">
            <v>pc</v>
          </cell>
          <cell r="F308" t="str">
            <v>Material</v>
          </cell>
          <cell r="G308">
            <v>0</v>
          </cell>
          <cell r="H308">
            <v>0</v>
          </cell>
          <cell r="I308">
            <v>190</v>
          </cell>
          <cell r="J308">
            <v>500</v>
          </cell>
          <cell r="K308">
            <v>210</v>
          </cell>
          <cell r="L308">
            <v>200</v>
          </cell>
          <cell r="M308">
            <v>715</v>
          </cell>
          <cell r="N308">
            <v>220</v>
          </cell>
          <cell r="O308">
            <v>890</v>
          </cell>
          <cell r="P308">
            <v>185</v>
          </cell>
          <cell r="Q308">
            <v>185</v>
          </cell>
          <cell r="R308">
            <v>220</v>
          </cell>
          <cell r="S308">
            <v>220</v>
          </cell>
        </row>
        <row r="309">
          <cell r="C309" t="str">
            <v>5523</v>
          </cell>
          <cell r="D309" t="str">
            <v>100A Circuit Breakers</v>
          </cell>
          <cell r="E309" t="str">
            <v>pc</v>
          </cell>
          <cell r="F309" t="str">
            <v>Material</v>
          </cell>
          <cell r="G309">
            <v>0</v>
          </cell>
          <cell r="H309">
            <v>0</v>
          </cell>
          <cell r="I309">
            <v>680</v>
          </cell>
          <cell r="J309">
            <v>700</v>
          </cell>
          <cell r="K309">
            <v>925</v>
          </cell>
          <cell r="L309">
            <v>700</v>
          </cell>
          <cell r="M309">
            <v>780</v>
          </cell>
          <cell r="N309">
            <v>930</v>
          </cell>
          <cell r="O309">
            <v>720</v>
          </cell>
          <cell r="P309">
            <v>900</v>
          </cell>
          <cell r="Q309">
            <v>900</v>
          </cell>
          <cell r="R309">
            <v>930</v>
          </cell>
          <cell r="S309">
            <v>930</v>
          </cell>
        </row>
        <row r="310">
          <cell r="C310" t="str">
            <v>5530</v>
          </cell>
          <cell r="D310" t="str">
            <v>15A Fuse</v>
          </cell>
          <cell r="E310" t="str">
            <v>pc</v>
          </cell>
          <cell r="F310" t="str">
            <v>Material</v>
          </cell>
          <cell r="G310">
            <v>0</v>
          </cell>
          <cell r="H310">
            <v>0</v>
          </cell>
          <cell r="I310">
            <v>30</v>
          </cell>
          <cell r="J310">
            <v>30</v>
          </cell>
          <cell r="K310">
            <v>30</v>
          </cell>
          <cell r="L310">
            <v>30</v>
          </cell>
          <cell r="M310">
            <v>30</v>
          </cell>
          <cell r="N310">
            <v>30</v>
          </cell>
          <cell r="O310">
            <v>30</v>
          </cell>
          <cell r="P310">
            <v>30</v>
          </cell>
          <cell r="Q310">
            <v>30</v>
          </cell>
          <cell r="R310">
            <v>30</v>
          </cell>
          <cell r="S310">
            <v>30</v>
          </cell>
        </row>
        <row r="311">
          <cell r="C311" t="str">
            <v>5531</v>
          </cell>
          <cell r="D311" t="str">
            <v>20A Fuse</v>
          </cell>
          <cell r="E311" t="str">
            <v>pc</v>
          </cell>
          <cell r="F311" t="str">
            <v>Material</v>
          </cell>
          <cell r="G311">
            <v>0</v>
          </cell>
          <cell r="H311">
            <v>0</v>
          </cell>
          <cell r="I311">
            <v>30</v>
          </cell>
          <cell r="J311">
            <v>30</v>
          </cell>
          <cell r="K311">
            <v>30</v>
          </cell>
          <cell r="L311">
            <v>30</v>
          </cell>
          <cell r="M311">
            <v>30</v>
          </cell>
          <cell r="N311">
            <v>30</v>
          </cell>
          <cell r="O311">
            <v>30</v>
          </cell>
          <cell r="P311">
            <v>30</v>
          </cell>
          <cell r="Q311">
            <v>30</v>
          </cell>
          <cell r="R311">
            <v>30</v>
          </cell>
          <cell r="S311">
            <v>30</v>
          </cell>
        </row>
        <row r="312">
          <cell r="C312" t="str">
            <v>5532</v>
          </cell>
          <cell r="D312" t="str">
            <v>30A Fuse</v>
          </cell>
          <cell r="E312" t="str">
            <v>Set</v>
          </cell>
          <cell r="F312" t="str">
            <v>Material</v>
          </cell>
          <cell r="G312">
            <v>0</v>
          </cell>
          <cell r="H312">
            <v>0</v>
          </cell>
          <cell r="I312">
            <v>30</v>
          </cell>
          <cell r="J312">
            <v>30</v>
          </cell>
          <cell r="K312">
            <v>30</v>
          </cell>
          <cell r="L312">
            <v>30</v>
          </cell>
          <cell r="M312">
            <v>30</v>
          </cell>
          <cell r="N312">
            <v>30</v>
          </cell>
          <cell r="O312">
            <v>30</v>
          </cell>
          <cell r="P312">
            <v>30</v>
          </cell>
          <cell r="Q312">
            <v>30</v>
          </cell>
          <cell r="R312">
            <v>30</v>
          </cell>
          <cell r="S312">
            <v>30</v>
          </cell>
        </row>
        <row r="313">
          <cell r="C313" t="str">
            <v>5533</v>
          </cell>
          <cell r="D313" t="str">
            <v>60A Fuse</v>
          </cell>
          <cell r="E313" t="str">
            <v>pc</v>
          </cell>
          <cell r="F313" t="str">
            <v>Material</v>
          </cell>
          <cell r="G313">
            <v>0</v>
          </cell>
          <cell r="H313">
            <v>0</v>
          </cell>
          <cell r="I313">
            <v>30</v>
          </cell>
          <cell r="J313">
            <v>30</v>
          </cell>
          <cell r="K313">
            <v>30</v>
          </cell>
          <cell r="L313">
            <v>30</v>
          </cell>
          <cell r="M313">
            <v>30</v>
          </cell>
          <cell r="N313">
            <v>30</v>
          </cell>
          <cell r="O313">
            <v>30</v>
          </cell>
          <cell r="P313">
            <v>30</v>
          </cell>
          <cell r="Q313">
            <v>30</v>
          </cell>
          <cell r="R313">
            <v>30</v>
          </cell>
          <cell r="S313">
            <v>30</v>
          </cell>
        </row>
        <row r="314">
          <cell r="C314" t="str">
            <v>5540</v>
          </cell>
          <cell r="D314" t="str">
            <v>30A kWh Meter</v>
          </cell>
          <cell r="E314" t="str">
            <v>pc</v>
          </cell>
          <cell r="F314" t="str">
            <v>Material</v>
          </cell>
          <cell r="G314">
            <v>1.5</v>
          </cell>
          <cell r="H314">
            <v>0</v>
          </cell>
          <cell r="I314">
            <v>700</v>
          </cell>
          <cell r="J314">
            <v>850</v>
          </cell>
          <cell r="K314">
            <v>750</v>
          </cell>
          <cell r="L314">
            <v>750</v>
          </cell>
          <cell r="M314">
            <v>880</v>
          </cell>
          <cell r="N314">
            <v>780</v>
          </cell>
          <cell r="O314">
            <v>850</v>
          </cell>
          <cell r="P314">
            <v>720</v>
          </cell>
          <cell r="Q314">
            <v>720</v>
          </cell>
          <cell r="R314">
            <v>780</v>
          </cell>
          <cell r="S314">
            <v>780</v>
          </cell>
        </row>
        <row r="315">
          <cell r="C315" t="str">
            <v>5541</v>
          </cell>
          <cell r="D315" t="str">
            <v>60A kWh Meter</v>
          </cell>
          <cell r="E315" t="str">
            <v>pc</v>
          </cell>
          <cell r="F315" t="str">
            <v>Material</v>
          </cell>
          <cell r="G315">
            <v>1.5</v>
          </cell>
          <cell r="H315">
            <v>0</v>
          </cell>
          <cell r="I315">
            <v>850</v>
          </cell>
          <cell r="J315">
            <v>1100</v>
          </cell>
          <cell r="K315">
            <v>910</v>
          </cell>
          <cell r="L315">
            <v>850</v>
          </cell>
          <cell r="M315">
            <v>1100</v>
          </cell>
          <cell r="N315">
            <v>940</v>
          </cell>
          <cell r="O315">
            <v>1150</v>
          </cell>
          <cell r="P315">
            <v>840</v>
          </cell>
          <cell r="Q315">
            <v>840</v>
          </cell>
          <cell r="R315">
            <v>940</v>
          </cell>
          <cell r="S315">
            <v>940</v>
          </cell>
        </row>
        <row r="316">
          <cell r="C316" t="str">
            <v>5542</v>
          </cell>
          <cell r="D316" t="str">
            <v>100A kWh Meter</v>
          </cell>
          <cell r="E316" t="str">
            <v>pc</v>
          </cell>
          <cell r="F316" t="str">
            <v>Material</v>
          </cell>
          <cell r="G316">
            <v>1.5</v>
          </cell>
          <cell r="H316">
            <v>0</v>
          </cell>
          <cell r="I316">
            <v>1010</v>
          </cell>
          <cell r="J316">
            <v>19.5</v>
          </cell>
          <cell r="K316">
            <v>1250</v>
          </cell>
          <cell r="L316">
            <v>1080</v>
          </cell>
          <cell r="M316">
            <v>20</v>
          </cell>
          <cell r="N316">
            <v>1300</v>
          </cell>
          <cell r="O316">
            <v>20</v>
          </cell>
          <cell r="P316">
            <v>1100</v>
          </cell>
          <cell r="Q316">
            <v>1100</v>
          </cell>
          <cell r="R316">
            <v>1300</v>
          </cell>
          <cell r="S316">
            <v>1300</v>
          </cell>
        </row>
        <row r="317">
          <cell r="C317" t="str">
            <v>5550</v>
          </cell>
          <cell r="D317" t="str">
            <v>2X4, Utility Box with cover</v>
          </cell>
          <cell r="E317" t="str">
            <v>pc</v>
          </cell>
          <cell r="F317" t="str">
            <v>Material</v>
          </cell>
          <cell r="G317">
            <v>0.15</v>
          </cell>
          <cell r="H317">
            <v>0</v>
          </cell>
          <cell r="I317">
            <v>19.8</v>
          </cell>
          <cell r="J317">
            <v>18.5</v>
          </cell>
          <cell r="K317">
            <v>21</v>
          </cell>
          <cell r="L317">
            <v>20</v>
          </cell>
          <cell r="M317">
            <v>20</v>
          </cell>
          <cell r="N317">
            <v>25</v>
          </cell>
          <cell r="O317">
            <v>20</v>
          </cell>
          <cell r="P317">
            <v>19</v>
          </cell>
          <cell r="Q317">
            <v>19</v>
          </cell>
          <cell r="R317">
            <v>25</v>
          </cell>
          <cell r="S317">
            <v>25</v>
          </cell>
        </row>
        <row r="318">
          <cell r="C318" t="str">
            <v>5551</v>
          </cell>
          <cell r="D318" t="str">
            <v>4X4, Utility Box with cover</v>
          </cell>
          <cell r="E318" t="str">
            <v>pc</v>
          </cell>
          <cell r="F318" t="str">
            <v>Material</v>
          </cell>
          <cell r="G318">
            <v>0.15</v>
          </cell>
          <cell r="H318">
            <v>0</v>
          </cell>
          <cell r="I318">
            <v>18.5</v>
          </cell>
          <cell r="J318">
            <v>8</v>
          </cell>
          <cell r="K318">
            <v>20</v>
          </cell>
          <cell r="L318">
            <v>20</v>
          </cell>
          <cell r="M318">
            <v>10</v>
          </cell>
          <cell r="N318">
            <v>24</v>
          </cell>
          <cell r="O318">
            <v>8</v>
          </cell>
          <cell r="P318">
            <v>18.5</v>
          </cell>
          <cell r="Q318">
            <v>18.5</v>
          </cell>
          <cell r="R318">
            <v>24</v>
          </cell>
          <cell r="S318">
            <v>24</v>
          </cell>
        </row>
        <row r="319">
          <cell r="C319" t="str">
            <v>5560</v>
          </cell>
          <cell r="D319" t="str">
            <v>Porcelain Ceiling Outlet</v>
          </cell>
          <cell r="E319" t="str">
            <v>pc</v>
          </cell>
          <cell r="F319" t="str">
            <v>Material</v>
          </cell>
          <cell r="G319">
            <v>0.15</v>
          </cell>
          <cell r="H319">
            <v>0</v>
          </cell>
          <cell r="I319">
            <v>9</v>
          </cell>
          <cell r="J319">
            <v>20</v>
          </cell>
          <cell r="K319">
            <v>15</v>
          </cell>
          <cell r="L319">
            <v>10</v>
          </cell>
          <cell r="M319">
            <v>28</v>
          </cell>
          <cell r="N319">
            <v>15</v>
          </cell>
          <cell r="O319">
            <v>20</v>
          </cell>
          <cell r="P319">
            <v>11</v>
          </cell>
          <cell r="Q319">
            <v>11</v>
          </cell>
          <cell r="R319">
            <v>15</v>
          </cell>
          <cell r="S319">
            <v>15</v>
          </cell>
        </row>
        <row r="320">
          <cell r="C320" t="str">
            <v>5561</v>
          </cell>
          <cell r="D320" t="str">
            <v>Duplex convenience outlet (surface type)</v>
          </cell>
          <cell r="E320" t="str">
            <v>pc</v>
          </cell>
          <cell r="F320" t="str">
            <v>Material</v>
          </cell>
          <cell r="G320">
            <v>0.15</v>
          </cell>
          <cell r="H320">
            <v>0</v>
          </cell>
          <cell r="I320">
            <v>23</v>
          </cell>
          <cell r="J320">
            <v>25</v>
          </cell>
          <cell r="K320">
            <v>30</v>
          </cell>
          <cell r="L320">
            <v>28</v>
          </cell>
          <cell r="M320">
            <v>30</v>
          </cell>
          <cell r="N320">
            <v>25</v>
          </cell>
          <cell r="O320">
            <v>28</v>
          </cell>
          <cell r="P320">
            <v>21</v>
          </cell>
          <cell r="Q320">
            <v>21</v>
          </cell>
          <cell r="R320">
            <v>25</v>
          </cell>
          <cell r="S320">
            <v>28</v>
          </cell>
        </row>
        <row r="321">
          <cell r="C321" t="str">
            <v>5562</v>
          </cell>
          <cell r="D321" t="str">
            <v>Rubber female plug</v>
          </cell>
          <cell r="E321" t="str">
            <v>pc</v>
          </cell>
          <cell r="F321" t="str">
            <v>Material</v>
          </cell>
          <cell r="G321">
            <v>0.15</v>
          </cell>
          <cell r="H321">
            <v>0</v>
          </cell>
          <cell r="I321">
            <v>30</v>
          </cell>
          <cell r="J321">
            <v>15</v>
          </cell>
          <cell r="K321">
            <v>30</v>
          </cell>
          <cell r="L321">
            <v>30</v>
          </cell>
          <cell r="M321">
            <v>15</v>
          </cell>
          <cell r="N321">
            <v>30</v>
          </cell>
          <cell r="O321">
            <v>12</v>
          </cell>
          <cell r="P321">
            <v>26</v>
          </cell>
          <cell r="Q321">
            <v>26</v>
          </cell>
          <cell r="R321">
            <v>30</v>
          </cell>
          <cell r="S321">
            <v>30</v>
          </cell>
        </row>
        <row r="322">
          <cell r="C322" t="str">
            <v>5570</v>
          </cell>
          <cell r="D322" t="str">
            <v>Electrical Tape</v>
          </cell>
          <cell r="E322" t="str">
            <v>pc</v>
          </cell>
          <cell r="F322" t="str">
            <v>Material</v>
          </cell>
          <cell r="G322">
            <v>0.15</v>
          </cell>
          <cell r="H322">
            <v>0</v>
          </cell>
          <cell r="I322">
            <v>15</v>
          </cell>
          <cell r="J322">
            <v>15</v>
          </cell>
          <cell r="K322">
            <v>15</v>
          </cell>
          <cell r="L322">
            <v>15</v>
          </cell>
          <cell r="M322">
            <v>15</v>
          </cell>
          <cell r="N322">
            <v>15</v>
          </cell>
          <cell r="O322">
            <v>15</v>
          </cell>
          <cell r="P322">
            <v>15</v>
          </cell>
          <cell r="Q322">
            <v>15</v>
          </cell>
          <cell r="R322">
            <v>15</v>
          </cell>
          <cell r="S322">
            <v>15</v>
          </cell>
        </row>
        <row r="323">
          <cell r="C323" t="str">
            <v>5580</v>
          </cell>
          <cell r="D323" t="str">
            <v>Panel Board, 6-Breakers</v>
          </cell>
          <cell r="E323" t="str">
            <v>pc</v>
          </cell>
          <cell r="F323" t="str">
            <v>Material</v>
          </cell>
          <cell r="G323">
            <v>1</v>
          </cell>
          <cell r="H323">
            <v>0</v>
          </cell>
          <cell r="I323">
            <v>405</v>
          </cell>
          <cell r="J323">
            <v>440</v>
          </cell>
          <cell r="K323">
            <v>405</v>
          </cell>
          <cell r="L323">
            <v>405</v>
          </cell>
          <cell r="M323">
            <v>485</v>
          </cell>
          <cell r="N323">
            <v>405</v>
          </cell>
          <cell r="O323">
            <v>440</v>
          </cell>
          <cell r="P323">
            <v>405</v>
          </cell>
          <cell r="Q323">
            <v>405</v>
          </cell>
          <cell r="R323">
            <v>405</v>
          </cell>
          <cell r="S323">
            <v>610</v>
          </cell>
        </row>
        <row r="324">
          <cell r="C324" t="str">
            <v>5590</v>
          </cell>
          <cell r="D324" t="str">
            <v>One Gang Switch (flush type)</v>
          </cell>
          <cell r="E324" t="str">
            <v>Set</v>
          </cell>
          <cell r="F324" t="str">
            <v>Material</v>
          </cell>
          <cell r="G324">
            <v>0.08</v>
          </cell>
          <cell r="H324">
            <v>0</v>
          </cell>
          <cell r="I324">
            <v>30</v>
          </cell>
          <cell r="J324">
            <v>45</v>
          </cell>
          <cell r="K324">
            <v>40</v>
          </cell>
          <cell r="L324">
            <v>30</v>
          </cell>
          <cell r="M324">
            <v>40</v>
          </cell>
          <cell r="N324">
            <v>35</v>
          </cell>
          <cell r="O324">
            <v>45</v>
          </cell>
          <cell r="P324">
            <v>30</v>
          </cell>
          <cell r="Q324">
            <v>30</v>
          </cell>
          <cell r="R324">
            <v>35</v>
          </cell>
          <cell r="S324">
            <v>45</v>
          </cell>
        </row>
        <row r="325">
          <cell r="C325" t="str">
            <v>5591</v>
          </cell>
          <cell r="D325" t="str">
            <v>Two Gang Swicth (flush type)</v>
          </cell>
          <cell r="E325" t="str">
            <v>Set</v>
          </cell>
          <cell r="F325" t="str">
            <v>Material</v>
          </cell>
          <cell r="G325">
            <v>0.09</v>
          </cell>
          <cell r="H325">
            <v>0</v>
          </cell>
          <cell r="I325">
            <v>46</v>
          </cell>
          <cell r="J325">
            <v>60</v>
          </cell>
          <cell r="K325">
            <v>60</v>
          </cell>
          <cell r="L325">
            <v>38</v>
          </cell>
          <cell r="M325">
            <v>42</v>
          </cell>
          <cell r="N325">
            <v>48</v>
          </cell>
          <cell r="O325">
            <v>60</v>
          </cell>
          <cell r="P325">
            <v>45</v>
          </cell>
          <cell r="Q325">
            <v>45</v>
          </cell>
          <cell r="R325">
            <v>48</v>
          </cell>
          <cell r="S325">
            <v>61</v>
          </cell>
        </row>
        <row r="326">
          <cell r="C326" t="str">
            <v>5592</v>
          </cell>
          <cell r="D326" t="str">
            <v>Three Gang Swicth (flush type)</v>
          </cell>
          <cell r="E326" t="str">
            <v>Set</v>
          </cell>
          <cell r="F326" t="str">
            <v>Material</v>
          </cell>
          <cell r="G326">
            <v>9.5000000000000001E-2</v>
          </cell>
          <cell r="H326">
            <v>0</v>
          </cell>
          <cell r="I326">
            <v>60</v>
          </cell>
          <cell r="J326">
            <v>175</v>
          </cell>
          <cell r="K326">
            <v>70</v>
          </cell>
          <cell r="L326">
            <v>42</v>
          </cell>
          <cell r="M326">
            <v>221</v>
          </cell>
          <cell r="N326">
            <v>58</v>
          </cell>
          <cell r="O326">
            <v>175</v>
          </cell>
          <cell r="P326">
            <v>60</v>
          </cell>
          <cell r="Q326">
            <v>60</v>
          </cell>
          <cell r="R326">
            <v>58</v>
          </cell>
          <cell r="S326">
            <v>75</v>
          </cell>
        </row>
        <row r="327">
          <cell r="C327" t="str">
            <v>5593</v>
          </cell>
          <cell r="D327" t="str">
            <v>One Gang Outlet (flush type)</v>
          </cell>
          <cell r="E327" t="str">
            <v>Set</v>
          </cell>
          <cell r="F327" t="str">
            <v>Material</v>
          </cell>
          <cell r="G327">
            <v>0.08</v>
          </cell>
          <cell r="H327">
            <v>0</v>
          </cell>
          <cell r="I327">
            <v>30</v>
          </cell>
          <cell r="J327">
            <v>45</v>
          </cell>
          <cell r="K327">
            <v>40</v>
          </cell>
          <cell r="L327">
            <v>30</v>
          </cell>
          <cell r="M327">
            <v>40</v>
          </cell>
          <cell r="N327">
            <v>35</v>
          </cell>
          <cell r="O327">
            <v>45</v>
          </cell>
          <cell r="P327">
            <v>30</v>
          </cell>
          <cell r="Q327">
            <v>30</v>
          </cell>
          <cell r="R327">
            <v>35</v>
          </cell>
          <cell r="S327">
            <v>45</v>
          </cell>
        </row>
        <row r="328">
          <cell r="C328" t="str">
            <v>5594</v>
          </cell>
          <cell r="D328" t="str">
            <v>Two Gang Outlet (flush type)</v>
          </cell>
          <cell r="E328" t="str">
            <v>Set</v>
          </cell>
          <cell r="F328" t="str">
            <v>Material</v>
          </cell>
          <cell r="G328">
            <v>0.09</v>
          </cell>
          <cell r="H328">
            <v>0</v>
          </cell>
          <cell r="I328">
            <v>46</v>
          </cell>
          <cell r="J328">
            <v>60</v>
          </cell>
          <cell r="K328">
            <v>60</v>
          </cell>
          <cell r="L328">
            <v>38</v>
          </cell>
          <cell r="M328">
            <v>42</v>
          </cell>
          <cell r="N328">
            <v>48</v>
          </cell>
          <cell r="O328">
            <v>60</v>
          </cell>
          <cell r="P328">
            <v>45</v>
          </cell>
          <cell r="Q328">
            <v>45</v>
          </cell>
          <cell r="R328">
            <v>48</v>
          </cell>
          <cell r="S328">
            <v>61</v>
          </cell>
        </row>
        <row r="329">
          <cell r="C329" t="str">
            <v>5595</v>
          </cell>
          <cell r="D329" t="str">
            <v>Three Gang Outlet (flush type)</v>
          </cell>
          <cell r="E329" t="str">
            <v>Set</v>
          </cell>
          <cell r="F329" t="str">
            <v>Material</v>
          </cell>
          <cell r="G329">
            <v>9.5000000000000001E-2</v>
          </cell>
          <cell r="H329">
            <v>0</v>
          </cell>
          <cell r="I329">
            <v>60</v>
          </cell>
          <cell r="J329">
            <v>175</v>
          </cell>
          <cell r="K329">
            <v>70</v>
          </cell>
          <cell r="L329">
            <v>42</v>
          </cell>
          <cell r="M329">
            <v>221</v>
          </cell>
          <cell r="N329">
            <v>58</v>
          </cell>
          <cell r="O329">
            <v>175</v>
          </cell>
          <cell r="P329">
            <v>60</v>
          </cell>
          <cell r="Q329">
            <v>60</v>
          </cell>
          <cell r="R329">
            <v>58</v>
          </cell>
          <cell r="S329">
            <v>75</v>
          </cell>
        </row>
        <row r="330">
          <cell r="C330" t="str">
            <v>5600</v>
          </cell>
          <cell r="D330" t="str">
            <v>1/2" Metal Conduit Pipe, 3.0m</v>
          </cell>
          <cell r="E330" t="str">
            <v>pc</v>
          </cell>
          <cell r="F330" t="str">
            <v>Material</v>
          </cell>
          <cell r="G330">
            <v>9.5000000000000001E-2</v>
          </cell>
          <cell r="H330">
            <v>0</v>
          </cell>
          <cell r="I330">
            <v>60</v>
          </cell>
          <cell r="J330">
            <v>60</v>
          </cell>
          <cell r="K330">
            <v>70</v>
          </cell>
          <cell r="L330">
            <v>42</v>
          </cell>
          <cell r="M330">
            <v>221</v>
          </cell>
          <cell r="N330">
            <v>58</v>
          </cell>
          <cell r="O330">
            <v>175</v>
          </cell>
          <cell r="P330">
            <v>60</v>
          </cell>
          <cell r="Q330">
            <v>60</v>
          </cell>
          <cell r="R330">
            <v>58</v>
          </cell>
          <cell r="S330">
            <v>75</v>
          </cell>
        </row>
        <row r="331">
          <cell r="C331" t="str">
            <v>5610</v>
          </cell>
          <cell r="D331" t="str">
            <v>Main Switch Box, 2P, Double-Throw</v>
          </cell>
          <cell r="E331" t="str">
            <v>pc</v>
          </cell>
          <cell r="F331" t="str">
            <v>Material</v>
          </cell>
          <cell r="G331">
            <v>9.5000000000000001E-2</v>
          </cell>
          <cell r="H331">
            <v>0</v>
          </cell>
          <cell r="I331">
            <v>123</v>
          </cell>
          <cell r="J331">
            <v>123</v>
          </cell>
          <cell r="K331">
            <v>123</v>
          </cell>
          <cell r="L331">
            <v>123</v>
          </cell>
          <cell r="M331">
            <v>123</v>
          </cell>
          <cell r="N331">
            <v>123</v>
          </cell>
          <cell r="O331">
            <v>123</v>
          </cell>
          <cell r="P331">
            <v>123</v>
          </cell>
          <cell r="Q331">
            <v>123</v>
          </cell>
          <cell r="R331">
            <v>123</v>
          </cell>
          <cell r="S331">
            <v>123</v>
          </cell>
        </row>
        <row r="332">
          <cell r="C332" t="str">
            <v>5620</v>
          </cell>
          <cell r="D332" t="str">
            <v>Porcelain Wire Holder</v>
          </cell>
          <cell r="E332" t="str">
            <v>pc</v>
          </cell>
          <cell r="F332" t="str">
            <v>Material</v>
          </cell>
          <cell r="G332">
            <v>9.5000000000000001E-2</v>
          </cell>
          <cell r="H332">
            <v>0</v>
          </cell>
          <cell r="I332">
            <v>10</v>
          </cell>
          <cell r="J332">
            <v>10</v>
          </cell>
          <cell r="K332">
            <v>10</v>
          </cell>
          <cell r="L332">
            <v>10</v>
          </cell>
          <cell r="M332">
            <v>10</v>
          </cell>
          <cell r="N332">
            <v>10</v>
          </cell>
          <cell r="O332">
            <v>10</v>
          </cell>
          <cell r="P332">
            <v>10</v>
          </cell>
          <cell r="Q332">
            <v>10</v>
          </cell>
          <cell r="R332">
            <v>10</v>
          </cell>
          <cell r="S332">
            <v>10</v>
          </cell>
        </row>
        <row r="334">
          <cell r="C334" t="str">
            <v>5700</v>
          </cell>
          <cell r="D334" t="str">
            <v>20W 220 V Flourescent Lamp</v>
          </cell>
          <cell r="E334" t="str">
            <v>Set</v>
          </cell>
          <cell r="F334" t="str">
            <v>Material</v>
          </cell>
          <cell r="G334">
            <v>0.9</v>
          </cell>
          <cell r="H334">
            <v>0</v>
          </cell>
          <cell r="I334">
            <v>220</v>
          </cell>
          <cell r="J334">
            <v>225</v>
          </cell>
          <cell r="K334">
            <v>200</v>
          </cell>
          <cell r="L334">
            <v>220</v>
          </cell>
          <cell r="M334">
            <v>260</v>
          </cell>
          <cell r="N334">
            <v>180</v>
          </cell>
          <cell r="O334">
            <v>225</v>
          </cell>
          <cell r="P334">
            <v>175</v>
          </cell>
          <cell r="Q334">
            <v>175</v>
          </cell>
          <cell r="R334">
            <v>180</v>
          </cell>
          <cell r="S334">
            <v>220</v>
          </cell>
        </row>
        <row r="335">
          <cell r="C335" t="str">
            <v>5701</v>
          </cell>
          <cell r="D335" t="str">
            <v>40W 220 V Flourescent Lamp</v>
          </cell>
          <cell r="E335" t="str">
            <v>Set</v>
          </cell>
          <cell r="F335" t="str">
            <v>Material</v>
          </cell>
          <cell r="G335">
            <v>1.2</v>
          </cell>
          <cell r="H335">
            <v>0</v>
          </cell>
          <cell r="I335">
            <v>375</v>
          </cell>
          <cell r="J335">
            <v>385</v>
          </cell>
          <cell r="K335">
            <v>235</v>
          </cell>
          <cell r="L335">
            <v>250</v>
          </cell>
          <cell r="M335">
            <v>360</v>
          </cell>
          <cell r="N335">
            <v>225</v>
          </cell>
          <cell r="O335">
            <v>385</v>
          </cell>
          <cell r="P335">
            <v>225</v>
          </cell>
          <cell r="Q335">
            <v>225</v>
          </cell>
          <cell r="R335">
            <v>225</v>
          </cell>
          <cell r="S335">
            <v>300</v>
          </cell>
        </row>
        <row r="336">
          <cell r="C336" t="str">
            <v>5702</v>
          </cell>
          <cell r="D336" t="str">
            <v>10W Incandescent Bulb</v>
          </cell>
          <cell r="E336" t="str">
            <v>pc</v>
          </cell>
          <cell r="F336" t="str">
            <v>Material</v>
          </cell>
          <cell r="G336">
            <v>4.4999999999999998E-2</v>
          </cell>
          <cell r="H336">
            <v>0</v>
          </cell>
          <cell r="I336">
            <v>30</v>
          </cell>
          <cell r="J336">
            <v>24</v>
          </cell>
          <cell r="K336">
            <v>30</v>
          </cell>
          <cell r="L336">
            <v>30</v>
          </cell>
          <cell r="M336">
            <v>240</v>
          </cell>
          <cell r="N336">
            <v>30</v>
          </cell>
          <cell r="O336">
            <v>24</v>
          </cell>
          <cell r="P336">
            <v>30</v>
          </cell>
          <cell r="Q336">
            <v>30</v>
          </cell>
          <cell r="R336">
            <v>30</v>
          </cell>
          <cell r="S336">
            <v>30</v>
          </cell>
        </row>
        <row r="337">
          <cell r="C337" t="str">
            <v>5703</v>
          </cell>
          <cell r="D337" t="str">
            <v>20W Incandescent Bulb</v>
          </cell>
          <cell r="E337" t="str">
            <v>pc</v>
          </cell>
          <cell r="F337" t="str">
            <v>Material</v>
          </cell>
          <cell r="G337">
            <v>4.4999999999999998E-2</v>
          </cell>
          <cell r="H337">
            <v>0</v>
          </cell>
          <cell r="I337">
            <v>30</v>
          </cell>
          <cell r="J337">
            <v>24</v>
          </cell>
          <cell r="K337">
            <v>30</v>
          </cell>
          <cell r="L337">
            <v>30</v>
          </cell>
          <cell r="M337">
            <v>240</v>
          </cell>
          <cell r="N337">
            <v>30</v>
          </cell>
          <cell r="O337">
            <v>24</v>
          </cell>
          <cell r="P337">
            <v>30</v>
          </cell>
          <cell r="Q337">
            <v>30</v>
          </cell>
          <cell r="R337">
            <v>30</v>
          </cell>
          <cell r="S337">
            <v>30</v>
          </cell>
        </row>
        <row r="338">
          <cell r="C338" t="str">
            <v>5704</v>
          </cell>
          <cell r="D338" t="str">
            <v>50W Incandescent Bulb</v>
          </cell>
          <cell r="E338" t="str">
            <v>pc</v>
          </cell>
          <cell r="F338" t="str">
            <v>Material</v>
          </cell>
          <cell r="G338">
            <v>4.4999999999999998E-2</v>
          </cell>
          <cell r="H338">
            <v>0</v>
          </cell>
          <cell r="I338">
            <v>30</v>
          </cell>
          <cell r="J338">
            <v>24</v>
          </cell>
          <cell r="K338">
            <v>30</v>
          </cell>
          <cell r="L338">
            <v>30</v>
          </cell>
          <cell r="M338">
            <v>240</v>
          </cell>
          <cell r="N338">
            <v>30</v>
          </cell>
          <cell r="O338">
            <v>24</v>
          </cell>
          <cell r="P338">
            <v>30</v>
          </cell>
          <cell r="Q338">
            <v>30</v>
          </cell>
          <cell r="R338">
            <v>30</v>
          </cell>
          <cell r="S338">
            <v>30</v>
          </cell>
        </row>
        <row r="339">
          <cell r="C339" t="str">
            <v>5705</v>
          </cell>
          <cell r="D339" t="str">
            <v>100W Incandescent Bulb</v>
          </cell>
          <cell r="E339" t="str">
            <v>pc</v>
          </cell>
          <cell r="F339" t="str">
            <v>Material</v>
          </cell>
          <cell r="G339">
            <v>4.4999999999999998E-2</v>
          </cell>
          <cell r="H339">
            <v>0</v>
          </cell>
          <cell r="I339">
            <v>30</v>
          </cell>
          <cell r="J339">
            <v>24</v>
          </cell>
          <cell r="K339">
            <v>30</v>
          </cell>
          <cell r="L339">
            <v>30</v>
          </cell>
          <cell r="M339">
            <v>240</v>
          </cell>
          <cell r="N339">
            <v>30</v>
          </cell>
          <cell r="O339">
            <v>24</v>
          </cell>
          <cell r="P339">
            <v>30</v>
          </cell>
          <cell r="Q339">
            <v>30</v>
          </cell>
          <cell r="R339">
            <v>30</v>
          </cell>
          <cell r="S339">
            <v>30</v>
          </cell>
        </row>
        <row r="340">
          <cell r="C340" t="str">
            <v>5706</v>
          </cell>
          <cell r="D340" t="str">
            <v>18 W SL 2000 Flourescent Bulb</v>
          </cell>
          <cell r="E340" t="str">
            <v>pc</v>
          </cell>
          <cell r="F340" t="str">
            <v>Material</v>
          </cell>
          <cell r="G340">
            <v>1</v>
          </cell>
          <cell r="H340">
            <v>0</v>
          </cell>
          <cell r="I340">
            <v>385</v>
          </cell>
          <cell r="J340">
            <v>30</v>
          </cell>
          <cell r="K340">
            <v>400</v>
          </cell>
          <cell r="L340">
            <v>350</v>
          </cell>
          <cell r="M340">
            <v>30</v>
          </cell>
          <cell r="N340">
            <v>350</v>
          </cell>
          <cell r="O340">
            <v>30</v>
          </cell>
          <cell r="P340">
            <v>385</v>
          </cell>
          <cell r="Q340">
            <v>385</v>
          </cell>
          <cell r="R340">
            <v>350</v>
          </cell>
          <cell r="S340">
            <v>420</v>
          </cell>
        </row>
        <row r="342">
          <cell r="C342" t="str">
            <v>6000</v>
          </cell>
          <cell r="D342" t="str">
            <v>Acrylic Latex Paint Flat</v>
          </cell>
          <cell r="E342" t="str">
            <v>Gal</v>
          </cell>
          <cell r="F342" t="str">
            <v>Material</v>
          </cell>
          <cell r="G342">
            <v>0</v>
          </cell>
          <cell r="H342">
            <v>6.0000000000000001E-3</v>
          </cell>
          <cell r="I342">
            <v>260</v>
          </cell>
          <cell r="J342">
            <v>240</v>
          </cell>
          <cell r="K342">
            <v>240</v>
          </cell>
          <cell r="L342">
            <v>240</v>
          </cell>
          <cell r="M342">
            <v>240</v>
          </cell>
          <cell r="N342">
            <v>245</v>
          </cell>
          <cell r="O342">
            <v>240</v>
          </cell>
          <cell r="P342">
            <v>240</v>
          </cell>
          <cell r="Q342">
            <v>240</v>
          </cell>
          <cell r="R342">
            <v>245</v>
          </cell>
          <cell r="S342">
            <v>286</v>
          </cell>
        </row>
        <row r="343">
          <cell r="C343" t="str">
            <v>6001</v>
          </cell>
          <cell r="D343" t="str">
            <v>Acrylic Semi-Gloss Paint Latex</v>
          </cell>
          <cell r="E343" t="str">
            <v>Gal</v>
          </cell>
          <cell r="F343" t="str">
            <v>Material</v>
          </cell>
          <cell r="G343">
            <v>0</v>
          </cell>
          <cell r="H343">
            <v>6.0000000000000001E-3</v>
          </cell>
          <cell r="I343">
            <v>260</v>
          </cell>
          <cell r="J343">
            <v>240</v>
          </cell>
          <cell r="K343">
            <v>240</v>
          </cell>
          <cell r="L343">
            <v>240</v>
          </cell>
          <cell r="M343">
            <v>240</v>
          </cell>
          <cell r="N343">
            <v>245</v>
          </cell>
          <cell r="O343">
            <v>240</v>
          </cell>
          <cell r="P343">
            <v>240</v>
          </cell>
          <cell r="Q343">
            <v>240</v>
          </cell>
          <cell r="R343">
            <v>245</v>
          </cell>
          <cell r="S343">
            <v>290</v>
          </cell>
        </row>
        <row r="344">
          <cell r="C344" t="str">
            <v>6002</v>
          </cell>
          <cell r="D344" t="str">
            <v>Acrylic Gloss Latex</v>
          </cell>
          <cell r="E344" t="str">
            <v>Gal</v>
          </cell>
          <cell r="F344" t="str">
            <v>Material</v>
          </cell>
          <cell r="G344">
            <v>0</v>
          </cell>
          <cell r="H344">
            <v>6.0000000000000001E-3</v>
          </cell>
          <cell r="I344">
            <v>260</v>
          </cell>
          <cell r="J344">
            <v>240</v>
          </cell>
          <cell r="K344">
            <v>240</v>
          </cell>
          <cell r="L344">
            <v>240</v>
          </cell>
          <cell r="M344">
            <v>240</v>
          </cell>
          <cell r="N344">
            <v>245</v>
          </cell>
          <cell r="O344">
            <v>240</v>
          </cell>
          <cell r="P344">
            <v>240</v>
          </cell>
          <cell r="Q344">
            <v>240</v>
          </cell>
          <cell r="R344">
            <v>245</v>
          </cell>
          <cell r="S344">
            <v>290</v>
          </cell>
        </row>
        <row r="345">
          <cell r="C345" t="str">
            <v>6003</v>
          </cell>
          <cell r="D345" t="str">
            <v>Acrylic Clear Gloss Emulsion</v>
          </cell>
          <cell r="E345" t="str">
            <v>Gal</v>
          </cell>
          <cell r="F345" t="str">
            <v>Material</v>
          </cell>
          <cell r="G345">
            <v>0</v>
          </cell>
          <cell r="H345">
            <v>6.0000000000000001E-3</v>
          </cell>
          <cell r="I345">
            <v>260</v>
          </cell>
          <cell r="J345">
            <v>240</v>
          </cell>
          <cell r="K345">
            <v>240</v>
          </cell>
          <cell r="L345">
            <v>240</v>
          </cell>
          <cell r="M345">
            <v>240</v>
          </cell>
          <cell r="N345">
            <v>245</v>
          </cell>
          <cell r="O345">
            <v>240</v>
          </cell>
          <cell r="P345">
            <v>240</v>
          </cell>
          <cell r="Q345">
            <v>240</v>
          </cell>
          <cell r="R345">
            <v>245</v>
          </cell>
          <cell r="S345">
            <v>290</v>
          </cell>
        </row>
        <row r="346">
          <cell r="C346" t="str">
            <v>6004</v>
          </cell>
          <cell r="D346" t="str">
            <v>Latex High Gloss Enamel</v>
          </cell>
          <cell r="E346" t="str">
            <v>Gal</v>
          </cell>
          <cell r="F346" t="str">
            <v>Material</v>
          </cell>
          <cell r="G346">
            <v>0</v>
          </cell>
          <cell r="H346">
            <v>6.0000000000000001E-3</v>
          </cell>
          <cell r="I346">
            <v>260</v>
          </cell>
          <cell r="J346">
            <v>60</v>
          </cell>
          <cell r="K346">
            <v>240</v>
          </cell>
          <cell r="L346">
            <v>240</v>
          </cell>
          <cell r="M346">
            <v>60</v>
          </cell>
          <cell r="N346">
            <v>245</v>
          </cell>
          <cell r="O346">
            <v>60</v>
          </cell>
          <cell r="P346">
            <v>240</v>
          </cell>
          <cell r="Q346">
            <v>240</v>
          </cell>
          <cell r="R346">
            <v>245</v>
          </cell>
          <cell r="S346">
            <v>290</v>
          </cell>
        </row>
        <row r="347">
          <cell r="C347" t="str">
            <v>6005</v>
          </cell>
          <cell r="D347" t="str">
            <v>Latex Tinting Color (Water-based)</v>
          </cell>
          <cell r="E347" t="str">
            <v>pint</v>
          </cell>
          <cell r="F347" t="str">
            <v>Material</v>
          </cell>
          <cell r="G347">
            <v>0</v>
          </cell>
          <cell r="H347">
            <v>4.0000000000000001E-3</v>
          </cell>
          <cell r="I347">
            <v>60</v>
          </cell>
          <cell r="J347">
            <v>300</v>
          </cell>
          <cell r="K347">
            <v>60</v>
          </cell>
          <cell r="L347">
            <v>60</v>
          </cell>
          <cell r="M347">
            <v>300</v>
          </cell>
          <cell r="N347">
            <v>60</v>
          </cell>
          <cell r="O347">
            <v>300</v>
          </cell>
          <cell r="P347">
            <v>60</v>
          </cell>
          <cell r="Q347">
            <v>60</v>
          </cell>
          <cell r="R347">
            <v>60</v>
          </cell>
          <cell r="S347">
            <v>60</v>
          </cell>
        </row>
        <row r="348">
          <cell r="C348" t="str">
            <v>6006</v>
          </cell>
          <cell r="D348" t="str">
            <v>Quick Drying Enamel</v>
          </cell>
          <cell r="E348" t="str">
            <v>Gal</v>
          </cell>
          <cell r="F348" t="str">
            <v>Material</v>
          </cell>
          <cell r="G348">
            <v>0</v>
          </cell>
          <cell r="H348">
            <v>4.0000000000000001E-3</v>
          </cell>
          <cell r="I348">
            <v>300</v>
          </cell>
          <cell r="J348">
            <v>300</v>
          </cell>
          <cell r="K348">
            <v>315</v>
          </cell>
          <cell r="L348">
            <v>300</v>
          </cell>
          <cell r="M348">
            <v>300</v>
          </cell>
          <cell r="N348">
            <v>300</v>
          </cell>
          <cell r="O348">
            <v>300</v>
          </cell>
          <cell r="P348">
            <v>300</v>
          </cell>
          <cell r="Q348">
            <v>300</v>
          </cell>
          <cell r="R348">
            <v>300</v>
          </cell>
          <cell r="S348">
            <v>330</v>
          </cell>
        </row>
        <row r="349">
          <cell r="C349" t="str">
            <v>6007</v>
          </cell>
          <cell r="D349" t="str">
            <v>Interior Semi-Gloss Enamel</v>
          </cell>
          <cell r="E349" t="str">
            <v>Gal</v>
          </cell>
          <cell r="F349" t="str">
            <v>Material</v>
          </cell>
          <cell r="G349">
            <v>0</v>
          </cell>
          <cell r="H349">
            <v>4.0000000000000001E-3</v>
          </cell>
          <cell r="I349">
            <v>300</v>
          </cell>
          <cell r="J349">
            <v>270</v>
          </cell>
          <cell r="K349">
            <v>315</v>
          </cell>
          <cell r="L349">
            <v>300</v>
          </cell>
          <cell r="M349">
            <v>240</v>
          </cell>
          <cell r="N349">
            <v>300</v>
          </cell>
          <cell r="O349">
            <v>270</v>
          </cell>
          <cell r="P349">
            <v>300</v>
          </cell>
          <cell r="Q349">
            <v>300</v>
          </cell>
          <cell r="R349">
            <v>300</v>
          </cell>
          <cell r="S349">
            <v>330</v>
          </cell>
        </row>
        <row r="350">
          <cell r="C350" t="str">
            <v>6008</v>
          </cell>
          <cell r="D350" t="str">
            <v>Flat Wall Enamel</v>
          </cell>
          <cell r="E350" t="str">
            <v>Gal</v>
          </cell>
          <cell r="F350" t="str">
            <v>Material</v>
          </cell>
          <cell r="G350">
            <v>0</v>
          </cell>
          <cell r="H350">
            <v>4.0000000000000001E-3</v>
          </cell>
          <cell r="I350">
            <v>275</v>
          </cell>
          <cell r="J350">
            <v>200</v>
          </cell>
          <cell r="K350">
            <v>275</v>
          </cell>
          <cell r="L350">
            <v>270</v>
          </cell>
          <cell r="M350">
            <v>240</v>
          </cell>
          <cell r="N350">
            <v>270</v>
          </cell>
          <cell r="O350">
            <v>200</v>
          </cell>
          <cell r="P350">
            <v>270</v>
          </cell>
          <cell r="Q350">
            <v>270</v>
          </cell>
          <cell r="R350">
            <v>270</v>
          </cell>
          <cell r="S350">
            <v>286</v>
          </cell>
        </row>
        <row r="351">
          <cell r="C351" t="str">
            <v>6009</v>
          </cell>
          <cell r="D351" t="str">
            <v>Conc. Primer Sealer</v>
          </cell>
          <cell r="E351" t="str">
            <v>Gal</v>
          </cell>
          <cell r="F351" t="str">
            <v>Material</v>
          </cell>
          <cell r="G351">
            <v>0</v>
          </cell>
          <cell r="H351">
            <v>4.0000000000000001E-3</v>
          </cell>
          <cell r="I351">
            <v>210</v>
          </cell>
          <cell r="J351">
            <v>190</v>
          </cell>
          <cell r="K351">
            <v>230</v>
          </cell>
          <cell r="L351">
            <v>200</v>
          </cell>
          <cell r="M351">
            <v>60</v>
          </cell>
          <cell r="N351">
            <v>200</v>
          </cell>
          <cell r="O351">
            <v>190</v>
          </cell>
          <cell r="P351">
            <v>200</v>
          </cell>
          <cell r="Q351">
            <v>200</v>
          </cell>
          <cell r="R351">
            <v>200</v>
          </cell>
          <cell r="S351">
            <v>210</v>
          </cell>
        </row>
        <row r="352">
          <cell r="C352" t="str">
            <v>6010</v>
          </cell>
          <cell r="D352" t="str">
            <v>Interior Primer Sealer</v>
          </cell>
          <cell r="E352" t="str">
            <v>Gal</v>
          </cell>
          <cell r="F352" t="str">
            <v>Material</v>
          </cell>
          <cell r="G352">
            <v>0</v>
          </cell>
          <cell r="H352">
            <v>4.0000000000000001E-3</v>
          </cell>
          <cell r="I352">
            <v>215</v>
          </cell>
          <cell r="J352">
            <v>180</v>
          </cell>
          <cell r="K352">
            <v>225</v>
          </cell>
          <cell r="L352">
            <v>190</v>
          </cell>
          <cell r="M352">
            <v>300</v>
          </cell>
          <cell r="N352">
            <v>200</v>
          </cell>
          <cell r="O352">
            <v>180</v>
          </cell>
          <cell r="P352">
            <v>190</v>
          </cell>
          <cell r="Q352">
            <v>190</v>
          </cell>
          <cell r="R352">
            <v>200</v>
          </cell>
          <cell r="S352">
            <v>221</v>
          </cell>
        </row>
        <row r="353">
          <cell r="C353" t="str">
            <v>6011</v>
          </cell>
          <cell r="D353" t="str">
            <v>Exterior Wood Primer</v>
          </cell>
          <cell r="E353" t="str">
            <v>Gal</v>
          </cell>
          <cell r="F353" t="str">
            <v>Material</v>
          </cell>
          <cell r="G353">
            <v>0</v>
          </cell>
          <cell r="H353">
            <v>4.0000000000000001E-3</v>
          </cell>
          <cell r="I353">
            <v>215</v>
          </cell>
          <cell r="J353">
            <v>180</v>
          </cell>
          <cell r="K353">
            <v>205</v>
          </cell>
          <cell r="L353">
            <v>180</v>
          </cell>
          <cell r="M353">
            <v>300</v>
          </cell>
          <cell r="N353">
            <v>200</v>
          </cell>
          <cell r="O353">
            <v>180</v>
          </cell>
          <cell r="P353">
            <v>180</v>
          </cell>
          <cell r="Q353">
            <v>180</v>
          </cell>
          <cell r="R353">
            <v>200</v>
          </cell>
          <cell r="S353">
            <v>210</v>
          </cell>
        </row>
        <row r="354">
          <cell r="C354" t="str">
            <v>6012</v>
          </cell>
          <cell r="D354" t="str">
            <v>Prepakote Red Oxide Primer</v>
          </cell>
          <cell r="E354" t="str">
            <v>Gal</v>
          </cell>
          <cell r="F354" t="str">
            <v>Material</v>
          </cell>
          <cell r="G354">
            <v>0</v>
          </cell>
          <cell r="H354">
            <v>4.0000000000000001E-3</v>
          </cell>
          <cell r="I354">
            <v>180</v>
          </cell>
          <cell r="J354">
            <v>180</v>
          </cell>
          <cell r="K354">
            <v>205</v>
          </cell>
          <cell r="L354">
            <v>180</v>
          </cell>
          <cell r="M354">
            <v>270</v>
          </cell>
          <cell r="N354">
            <v>200</v>
          </cell>
          <cell r="O354">
            <v>180</v>
          </cell>
          <cell r="P354">
            <v>180</v>
          </cell>
          <cell r="Q354">
            <v>180</v>
          </cell>
          <cell r="R354">
            <v>200</v>
          </cell>
          <cell r="S354">
            <v>240</v>
          </cell>
        </row>
        <row r="355">
          <cell r="C355" t="str">
            <v>6013</v>
          </cell>
          <cell r="D355" t="str">
            <v>Zinc Chromate Primer.</v>
          </cell>
          <cell r="E355" t="str">
            <v>Gal</v>
          </cell>
          <cell r="F355" t="str">
            <v>Material</v>
          </cell>
          <cell r="G355">
            <v>0</v>
          </cell>
          <cell r="H355">
            <v>4.0000000000000001E-3</v>
          </cell>
          <cell r="I355">
            <v>180</v>
          </cell>
          <cell r="J355">
            <v>320</v>
          </cell>
          <cell r="K355">
            <v>205</v>
          </cell>
          <cell r="L355">
            <v>180</v>
          </cell>
          <cell r="M355">
            <v>200</v>
          </cell>
          <cell r="N355">
            <v>200</v>
          </cell>
          <cell r="O355">
            <v>320</v>
          </cell>
          <cell r="P355">
            <v>180</v>
          </cell>
          <cell r="Q355">
            <v>180</v>
          </cell>
          <cell r="R355">
            <v>200</v>
          </cell>
          <cell r="S355">
            <v>385</v>
          </cell>
        </row>
        <row r="356">
          <cell r="C356" t="str">
            <v>6014</v>
          </cell>
          <cell r="D356" t="str">
            <v>Red Lead Primer</v>
          </cell>
          <cell r="E356" t="str">
            <v>Gal</v>
          </cell>
          <cell r="F356" t="str">
            <v>Material</v>
          </cell>
          <cell r="G356">
            <v>0</v>
          </cell>
          <cell r="H356">
            <v>4.0000000000000001E-3</v>
          </cell>
          <cell r="I356">
            <v>180</v>
          </cell>
          <cell r="J356">
            <v>300</v>
          </cell>
          <cell r="K356">
            <v>205</v>
          </cell>
          <cell r="L356">
            <v>180</v>
          </cell>
          <cell r="M356">
            <v>200</v>
          </cell>
          <cell r="N356">
            <v>300</v>
          </cell>
          <cell r="O356">
            <v>300</v>
          </cell>
          <cell r="P356">
            <v>180</v>
          </cell>
          <cell r="Q356">
            <v>180</v>
          </cell>
          <cell r="R356">
            <v>300</v>
          </cell>
          <cell r="S356">
            <v>290</v>
          </cell>
        </row>
        <row r="357">
          <cell r="C357" t="str">
            <v>6015</v>
          </cell>
          <cell r="D357" t="str">
            <v>Blackboard Paint green</v>
          </cell>
          <cell r="E357" t="str">
            <v>Gal</v>
          </cell>
          <cell r="F357" t="str">
            <v>Material</v>
          </cell>
          <cell r="G357">
            <v>0</v>
          </cell>
          <cell r="H357">
            <v>4.0000000000000001E-3</v>
          </cell>
          <cell r="I357">
            <v>320</v>
          </cell>
          <cell r="J357">
            <v>170</v>
          </cell>
          <cell r="K357">
            <v>325</v>
          </cell>
          <cell r="L357">
            <v>315</v>
          </cell>
          <cell r="M357">
            <v>180</v>
          </cell>
          <cell r="N357">
            <v>315</v>
          </cell>
          <cell r="O357">
            <v>170</v>
          </cell>
          <cell r="P357">
            <v>315</v>
          </cell>
          <cell r="Q357">
            <v>315</v>
          </cell>
          <cell r="R357">
            <v>315</v>
          </cell>
          <cell r="S357">
            <v>330</v>
          </cell>
        </row>
        <row r="358">
          <cell r="C358" t="str">
            <v>6016</v>
          </cell>
          <cell r="D358" t="str">
            <v>Roofing Paint</v>
          </cell>
          <cell r="E358" t="str">
            <v>Gal</v>
          </cell>
          <cell r="F358" t="str">
            <v>Material</v>
          </cell>
          <cell r="G358">
            <v>0</v>
          </cell>
          <cell r="H358">
            <v>4.0000000000000001E-3</v>
          </cell>
          <cell r="I358">
            <v>315</v>
          </cell>
          <cell r="J358">
            <v>180</v>
          </cell>
          <cell r="K358">
            <v>295</v>
          </cell>
          <cell r="L358">
            <v>290</v>
          </cell>
          <cell r="M358">
            <v>180</v>
          </cell>
          <cell r="N358">
            <v>290</v>
          </cell>
          <cell r="O358">
            <v>180</v>
          </cell>
          <cell r="P358">
            <v>290</v>
          </cell>
          <cell r="Q358">
            <v>290</v>
          </cell>
          <cell r="R358">
            <v>290</v>
          </cell>
          <cell r="S358">
            <v>300</v>
          </cell>
        </row>
        <row r="359">
          <cell r="C359" t="str">
            <v>6017</v>
          </cell>
          <cell r="D359" t="str">
            <v>Galva wash zinc remover</v>
          </cell>
          <cell r="E359" t="str">
            <v>Gal</v>
          </cell>
          <cell r="F359" t="str">
            <v>Material</v>
          </cell>
          <cell r="G359">
            <v>0</v>
          </cell>
          <cell r="H359">
            <v>4.0000000000000001E-3</v>
          </cell>
          <cell r="I359">
            <v>180</v>
          </cell>
          <cell r="J359">
            <v>80</v>
          </cell>
          <cell r="K359">
            <v>190</v>
          </cell>
          <cell r="L359">
            <v>185</v>
          </cell>
          <cell r="M359">
            <v>180</v>
          </cell>
          <cell r="N359">
            <v>185</v>
          </cell>
          <cell r="O359">
            <v>80</v>
          </cell>
          <cell r="P359">
            <v>185</v>
          </cell>
          <cell r="Q359">
            <v>185</v>
          </cell>
          <cell r="R359">
            <v>185</v>
          </cell>
          <cell r="S359">
            <v>190</v>
          </cell>
        </row>
        <row r="360">
          <cell r="C360" t="str">
            <v>6018</v>
          </cell>
          <cell r="D360" t="str">
            <v>Sanding Sealer</v>
          </cell>
          <cell r="E360" t="str">
            <v>Gal</v>
          </cell>
          <cell r="F360" t="str">
            <v>Material</v>
          </cell>
          <cell r="G360">
            <v>0</v>
          </cell>
          <cell r="H360">
            <v>4.0000000000000001E-3</v>
          </cell>
          <cell r="I360">
            <v>203.75</v>
          </cell>
          <cell r="J360">
            <v>203.75</v>
          </cell>
          <cell r="K360">
            <v>203.75</v>
          </cell>
          <cell r="L360">
            <v>203.75</v>
          </cell>
          <cell r="M360">
            <v>203.75</v>
          </cell>
          <cell r="N360">
            <v>203.75</v>
          </cell>
          <cell r="O360">
            <v>203.75</v>
          </cell>
          <cell r="P360">
            <v>203.75</v>
          </cell>
          <cell r="Q360">
            <v>203.75</v>
          </cell>
          <cell r="R360">
            <v>203.75</v>
          </cell>
          <cell r="S360">
            <v>203.75</v>
          </cell>
        </row>
        <row r="361">
          <cell r="C361" t="str">
            <v>6019</v>
          </cell>
          <cell r="D361" t="str">
            <v>Clear Gloss Lacquer</v>
          </cell>
          <cell r="E361" t="str">
            <v>Gal</v>
          </cell>
          <cell r="F361" t="str">
            <v>Material</v>
          </cell>
          <cell r="G361">
            <v>0</v>
          </cell>
          <cell r="H361">
            <v>4.0000000000000001E-3</v>
          </cell>
          <cell r="I361">
            <v>239.75</v>
          </cell>
          <cell r="J361">
            <v>239.75</v>
          </cell>
          <cell r="K361">
            <v>239.75</v>
          </cell>
          <cell r="L361">
            <v>239.75</v>
          </cell>
          <cell r="M361">
            <v>239.75</v>
          </cell>
          <cell r="N361">
            <v>239.75</v>
          </cell>
          <cell r="O361">
            <v>239.75</v>
          </cell>
          <cell r="P361">
            <v>239.75</v>
          </cell>
          <cell r="Q361">
            <v>239.75</v>
          </cell>
          <cell r="R361">
            <v>239.75</v>
          </cell>
          <cell r="S361">
            <v>239.75</v>
          </cell>
        </row>
        <row r="362">
          <cell r="C362" t="str">
            <v>6020</v>
          </cell>
          <cell r="D362" t="str">
            <v>Paint Thinner</v>
          </cell>
          <cell r="E362" t="str">
            <v>Gal</v>
          </cell>
          <cell r="F362" t="str">
            <v>Material</v>
          </cell>
          <cell r="G362">
            <v>0</v>
          </cell>
          <cell r="H362">
            <v>4.0000000000000001E-3</v>
          </cell>
          <cell r="I362">
            <v>80</v>
          </cell>
          <cell r="J362">
            <v>600</v>
          </cell>
          <cell r="K362">
            <v>90</v>
          </cell>
          <cell r="L362">
            <v>85</v>
          </cell>
          <cell r="M362">
            <v>160</v>
          </cell>
          <cell r="N362">
            <v>90</v>
          </cell>
          <cell r="O362">
            <v>620</v>
          </cell>
          <cell r="P362">
            <v>80</v>
          </cell>
          <cell r="Q362">
            <v>80</v>
          </cell>
          <cell r="R362">
            <v>90</v>
          </cell>
          <cell r="S362">
            <v>81</v>
          </cell>
        </row>
        <row r="363">
          <cell r="C363" t="str">
            <v>6021</v>
          </cell>
          <cell r="D363" t="str">
            <v>Concrete Neutralizer</v>
          </cell>
          <cell r="E363" t="str">
            <v>Gal</v>
          </cell>
          <cell r="F363" t="str">
            <v>Material</v>
          </cell>
          <cell r="G363">
            <v>0</v>
          </cell>
          <cell r="H363">
            <v>7.0000000000000001E-3</v>
          </cell>
          <cell r="I363">
            <v>178</v>
          </cell>
          <cell r="J363">
            <v>178</v>
          </cell>
          <cell r="K363">
            <v>165</v>
          </cell>
          <cell r="L363">
            <v>155</v>
          </cell>
          <cell r="M363">
            <v>620</v>
          </cell>
          <cell r="N363">
            <v>160</v>
          </cell>
          <cell r="O363">
            <v>160</v>
          </cell>
          <cell r="P363">
            <v>155</v>
          </cell>
          <cell r="Q363">
            <v>155</v>
          </cell>
          <cell r="R363">
            <v>160</v>
          </cell>
          <cell r="S363">
            <v>170</v>
          </cell>
        </row>
        <row r="364">
          <cell r="C364" t="str">
            <v>6022</v>
          </cell>
          <cell r="D364" t="str">
            <v>Wood Stain</v>
          </cell>
          <cell r="E364" t="str">
            <v>qrtz</v>
          </cell>
          <cell r="F364" t="str">
            <v>Material</v>
          </cell>
          <cell r="G364">
            <v>0</v>
          </cell>
          <cell r="H364">
            <v>7.0000000000000001E-3</v>
          </cell>
          <cell r="I364">
            <v>54</v>
          </cell>
          <cell r="J364">
            <v>54</v>
          </cell>
          <cell r="K364">
            <v>54</v>
          </cell>
          <cell r="L364">
            <v>54</v>
          </cell>
          <cell r="M364">
            <v>54</v>
          </cell>
          <cell r="N364">
            <v>54</v>
          </cell>
          <cell r="O364">
            <v>54</v>
          </cell>
          <cell r="P364">
            <v>54</v>
          </cell>
          <cell r="Q364">
            <v>54</v>
          </cell>
          <cell r="R364">
            <v>54</v>
          </cell>
          <cell r="S364">
            <v>54</v>
          </cell>
        </row>
        <row r="365">
          <cell r="C365" t="str">
            <v>6023</v>
          </cell>
          <cell r="D365" t="str">
            <v>Kalsomine powder</v>
          </cell>
          <cell r="E365" t="str">
            <v>Kg</v>
          </cell>
          <cell r="F365" t="str">
            <v>Material</v>
          </cell>
          <cell r="G365">
            <v>0</v>
          </cell>
          <cell r="H365">
            <v>7.0000000000000001E-3</v>
          </cell>
          <cell r="I365">
            <v>10</v>
          </cell>
          <cell r="J365">
            <v>4.75</v>
          </cell>
          <cell r="K365">
            <v>12</v>
          </cell>
          <cell r="L365">
            <v>10</v>
          </cell>
          <cell r="M365">
            <v>15</v>
          </cell>
          <cell r="N365">
            <v>20</v>
          </cell>
          <cell r="O365">
            <v>5</v>
          </cell>
          <cell r="P365">
            <v>10</v>
          </cell>
          <cell r="Q365">
            <v>10</v>
          </cell>
          <cell r="R365">
            <v>15</v>
          </cell>
          <cell r="S365">
            <v>10</v>
          </cell>
        </row>
        <row r="366">
          <cell r="C366" t="str">
            <v>6024</v>
          </cell>
          <cell r="D366" t="str">
            <v>Sanding Paper</v>
          </cell>
          <cell r="E366" t="str">
            <v>pc</v>
          </cell>
          <cell r="F366" t="str">
            <v>Material</v>
          </cell>
          <cell r="G366">
            <v>0</v>
          </cell>
          <cell r="H366">
            <v>7.0000000000000001E-3</v>
          </cell>
          <cell r="I366">
            <v>12</v>
          </cell>
          <cell r="J366">
            <v>2.5</v>
          </cell>
          <cell r="K366">
            <v>15</v>
          </cell>
          <cell r="L366">
            <v>15</v>
          </cell>
          <cell r="M366">
            <v>5</v>
          </cell>
          <cell r="N366">
            <v>15</v>
          </cell>
          <cell r="O366">
            <v>4.5</v>
          </cell>
          <cell r="P366">
            <v>14</v>
          </cell>
          <cell r="Q366">
            <v>14</v>
          </cell>
          <cell r="R366">
            <v>5</v>
          </cell>
          <cell r="S366">
            <v>14</v>
          </cell>
        </row>
        <row r="368">
          <cell r="C368" t="str">
            <v>6100</v>
          </cell>
          <cell r="D368" t="str">
            <v>Wood preservative</v>
          </cell>
          <cell r="E368" t="str">
            <v>Gal</v>
          </cell>
          <cell r="F368" t="str">
            <v>Material</v>
          </cell>
          <cell r="G368">
            <v>0</v>
          </cell>
          <cell r="H368">
            <v>7.0000000000000001E-3</v>
          </cell>
          <cell r="I368">
            <v>600</v>
          </cell>
          <cell r="J368">
            <v>500</v>
          </cell>
          <cell r="K368">
            <v>650</v>
          </cell>
          <cell r="L368">
            <v>600</v>
          </cell>
          <cell r="M368">
            <v>20</v>
          </cell>
          <cell r="N368">
            <v>620</v>
          </cell>
          <cell r="O368">
            <v>500</v>
          </cell>
          <cell r="P368">
            <v>620</v>
          </cell>
          <cell r="Q368">
            <v>620</v>
          </cell>
          <cell r="R368">
            <v>620</v>
          </cell>
          <cell r="S368">
            <v>650</v>
          </cell>
        </row>
        <row r="370">
          <cell r="C370" t="str">
            <v>6200</v>
          </cell>
          <cell r="D370" t="str">
            <v>4-1/4" x 4-1/4" unglazed tiles (white)</v>
          </cell>
          <cell r="E370" t="str">
            <v>pc</v>
          </cell>
          <cell r="F370" t="str">
            <v>Material</v>
          </cell>
          <cell r="G370">
            <v>0</v>
          </cell>
          <cell r="H370">
            <v>7.0000000000000001E-3</v>
          </cell>
          <cell r="I370">
            <v>4.5</v>
          </cell>
          <cell r="J370">
            <v>4.5</v>
          </cell>
          <cell r="K370">
            <v>5</v>
          </cell>
          <cell r="L370">
            <v>5</v>
          </cell>
          <cell r="M370">
            <v>4</v>
          </cell>
          <cell r="N370">
            <v>5</v>
          </cell>
          <cell r="O370">
            <v>4.5</v>
          </cell>
          <cell r="P370">
            <v>4.75</v>
          </cell>
          <cell r="Q370">
            <v>4.75</v>
          </cell>
          <cell r="R370">
            <v>4</v>
          </cell>
          <cell r="S370">
            <v>4.75</v>
          </cell>
        </row>
        <row r="371">
          <cell r="C371" t="str">
            <v>6201</v>
          </cell>
          <cell r="D371" t="str">
            <v>4-1/4" x 4-1/4" glazed tiles (white)</v>
          </cell>
          <cell r="E371" t="str">
            <v>pc</v>
          </cell>
          <cell r="F371" t="str">
            <v>Material</v>
          </cell>
          <cell r="G371">
            <v>0</v>
          </cell>
          <cell r="H371">
            <v>7.0000000000000001E-3</v>
          </cell>
          <cell r="I371">
            <v>3</v>
          </cell>
          <cell r="J371">
            <v>6</v>
          </cell>
          <cell r="K371">
            <v>4</v>
          </cell>
          <cell r="L371">
            <v>3</v>
          </cell>
          <cell r="M371">
            <v>5</v>
          </cell>
          <cell r="N371">
            <v>4</v>
          </cell>
          <cell r="O371">
            <v>5</v>
          </cell>
          <cell r="P371">
            <v>2.5</v>
          </cell>
          <cell r="Q371">
            <v>2.5</v>
          </cell>
          <cell r="R371">
            <v>5</v>
          </cell>
          <cell r="S371">
            <v>2.5</v>
          </cell>
        </row>
        <row r="372">
          <cell r="C372" t="str">
            <v>6210</v>
          </cell>
          <cell r="D372" t="str">
            <v>12 x 12 Floor Mosaic Tiles</v>
          </cell>
          <cell r="E372" t="str">
            <v>pc</v>
          </cell>
          <cell r="F372" t="str">
            <v>Material</v>
          </cell>
          <cell r="G372">
            <v>0</v>
          </cell>
          <cell r="H372">
            <v>5.0000000000000001E-3</v>
          </cell>
          <cell r="I372">
            <v>38</v>
          </cell>
          <cell r="J372">
            <v>15</v>
          </cell>
          <cell r="K372">
            <v>40</v>
          </cell>
          <cell r="L372">
            <v>50</v>
          </cell>
          <cell r="M372">
            <v>50</v>
          </cell>
          <cell r="N372">
            <v>35</v>
          </cell>
          <cell r="O372">
            <v>15</v>
          </cell>
          <cell r="P372">
            <v>35</v>
          </cell>
          <cell r="Q372">
            <v>35</v>
          </cell>
          <cell r="R372">
            <v>50</v>
          </cell>
          <cell r="S372">
            <v>35</v>
          </cell>
        </row>
        <row r="373">
          <cell r="C373" t="str">
            <v>6220</v>
          </cell>
          <cell r="D373" t="str">
            <v>4" x 4" glazed wall tiles</v>
          </cell>
          <cell r="E373" t="str">
            <v>pc</v>
          </cell>
          <cell r="F373" t="str">
            <v>Material</v>
          </cell>
          <cell r="G373">
            <v>0</v>
          </cell>
          <cell r="H373">
            <v>6.0000000000000001E-3</v>
          </cell>
          <cell r="I373">
            <v>3</v>
          </cell>
          <cell r="J373">
            <v>28</v>
          </cell>
          <cell r="K373">
            <v>5</v>
          </cell>
          <cell r="L373">
            <v>5</v>
          </cell>
          <cell r="M373">
            <v>10</v>
          </cell>
          <cell r="N373">
            <v>4</v>
          </cell>
          <cell r="O373">
            <v>30</v>
          </cell>
          <cell r="P373">
            <v>3</v>
          </cell>
          <cell r="Q373">
            <v>3</v>
          </cell>
          <cell r="R373">
            <v>18</v>
          </cell>
          <cell r="S373">
            <v>3</v>
          </cell>
        </row>
        <row r="374">
          <cell r="C374" t="str">
            <v>6221</v>
          </cell>
          <cell r="D374" t="str">
            <v>4" x 8" Vitrified tiles</v>
          </cell>
          <cell r="E374" t="str">
            <v>pc</v>
          </cell>
          <cell r="F374" t="str">
            <v>Material</v>
          </cell>
          <cell r="G374">
            <v>0</v>
          </cell>
          <cell r="H374">
            <v>6.0000000000000001E-3</v>
          </cell>
          <cell r="I374">
            <v>10</v>
          </cell>
          <cell r="J374">
            <v>38</v>
          </cell>
          <cell r="K374">
            <v>10</v>
          </cell>
          <cell r="L374">
            <v>28</v>
          </cell>
          <cell r="M374">
            <v>30</v>
          </cell>
          <cell r="N374">
            <v>18</v>
          </cell>
          <cell r="O374">
            <v>40</v>
          </cell>
          <cell r="P374">
            <v>10</v>
          </cell>
          <cell r="Q374">
            <v>10</v>
          </cell>
          <cell r="R374">
            <v>30</v>
          </cell>
          <cell r="S374">
            <v>10</v>
          </cell>
        </row>
        <row r="375">
          <cell r="C375" t="str">
            <v>6222</v>
          </cell>
          <cell r="D375" t="str">
            <v>8" x 8" Floor tiles</v>
          </cell>
          <cell r="E375" t="str">
            <v>pc</v>
          </cell>
          <cell r="F375" t="str">
            <v>Material</v>
          </cell>
          <cell r="G375">
            <v>0</v>
          </cell>
          <cell r="H375">
            <v>6.0000000000000001E-3</v>
          </cell>
          <cell r="I375">
            <v>28</v>
          </cell>
          <cell r="J375">
            <v>50</v>
          </cell>
          <cell r="K375">
            <v>30</v>
          </cell>
          <cell r="L375">
            <v>35</v>
          </cell>
          <cell r="M375">
            <v>40</v>
          </cell>
          <cell r="N375">
            <v>30</v>
          </cell>
          <cell r="O375">
            <v>50</v>
          </cell>
          <cell r="P375">
            <v>28</v>
          </cell>
          <cell r="Q375">
            <v>28</v>
          </cell>
          <cell r="R375">
            <v>35</v>
          </cell>
          <cell r="S375">
            <v>28</v>
          </cell>
        </row>
        <row r="376">
          <cell r="C376" t="str">
            <v>6223</v>
          </cell>
          <cell r="D376" t="str">
            <v>8" x 8" Glazed Tiles</v>
          </cell>
          <cell r="E376" t="str">
            <v>pc</v>
          </cell>
          <cell r="F376" t="str">
            <v>Material</v>
          </cell>
          <cell r="G376">
            <v>0</v>
          </cell>
          <cell r="H376">
            <v>6.0000000000000001E-3</v>
          </cell>
          <cell r="I376">
            <v>28</v>
          </cell>
          <cell r="J376">
            <v>50</v>
          </cell>
          <cell r="K376">
            <v>30</v>
          </cell>
          <cell r="L376">
            <v>35</v>
          </cell>
          <cell r="M376">
            <v>40</v>
          </cell>
          <cell r="N376">
            <v>30</v>
          </cell>
          <cell r="O376">
            <v>50</v>
          </cell>
          <cell r="P376">
            <v>28</v>
          </cell>
          <cell r="Q376">
            <v>28</v>
          </cell>
          <cell r="R376">
            <v>35</v>
          </cell>
          <cell r="S376">
            <v>28</v>
          </cell>
        </row>
        <row r="377">
          <cell r="C377" t="str">
            <v>6224</v>
          </cell>
          <cell r="D377" t="str">
            <v>8" x8" Vinyl tiles</v>
          </cell>
          <cell r="E377" t="str">
            <v>pc</v>
          </cell>
          <cell r="F377" t="str">
            <v>Material</v>
          </cell>
          <cell r="G377">
            <v>0</v>
          </cell>
          <cell r="H377">
            <v>5.0000000000000001E-3</v>
          </cell>
          <cell r="I377">
            <v>15</v>
          </cell>
          <cell r="J377">
            <v>18</v>
          </cell>
          <cell r="K377">
            <v>18</v>
          </cell>
          <cell r="L377">
            <v>680</v>
          </cell>
          <cell r="M377">
            <v>685</v>
          </cell>
          <cell r="N377">
            <v>15</v>
          </cell>
          <cell r="O377">
            <v>20</v>
          </cell>
          <cell r="P377">
            <v>13</v>
          </cell>
          <cell r="Q377">
            <v>13</v>
          </cell>
          <cell r="R377">
            <v>680</v>
          </cell>
          <cell r="S377">
            <v>13</v>
          </cell>
        </row>
        <row r="378">
          <cell r="C378" t="str">
            <v>6240</v>
          </cell>
          <cell r="D378" t="str">
            <v>Capping</v>
          </cell>
          <cell r="E378" t="str">
            <v>pc</v>
          </cell>
          <cell r="F378" t="str">
            <v>Material</v>
          </cell>
          <cell r="G378">
            <v>2.5000000000000001E-2</v>
          </cell>
          <cell r="H378">
            <v>0</v>
          </cell>
          <cell r="I378">
            <v>4.5</v>
          </cell>
          <cell r="J378">
            <v>6</v>
          </cell>
          <cell r="K378">
            <v>4</v>
          </cell>
          <cell r="L378">
            <v>4.75</v>
          </cell>
          <cell r="M378">
            <v>6</v>
          </cell>
          <cell r="N378">
            <v>5</v>
          </cell>
          <cell r="O378">
            <v>5</v>
          </cell>
          <cell r="P378">
            <v>4.75</v>
          </cell>
          <cell r="Q378">
            <v>4.75</v>
          </cell>
          <cell r="R378">
            <v>5</v>
          </cell>
          <cell r="S378">
            <v>4.75</v>
          </cell>
        </row>
        <row r="379">
          <cell r="C379" t="str">
            <v>6241</v>
          </cell>
          <cell r="D379" t="str">
            <v>4" internal bead white</v>
          </cell>
          <cell r="E379" t="str">
            <v>pc</v>
          </cell>
          <cell r="F379" t="str">
            <v>Material</v>
          </cell>
          <cell r="G379">
            <v>0.01</v>
          </cell>
          <cell r="H379">
            <v>0</v>
          </cell>
          <cell r="I379">
            <v>5</v>
          </cell>
          <cell r="J379">
            <v>2.5</v>
          </cell>
          <cell r="K379">
            <v>6.5</v>
          </cell>
          <cell r="L379">
            <v>6</v>
          </cell>
          <cell r="M379">
            <v>6</v>
          </cell>
          <cell r="N379">
            <v>5</v>
          </cell>
          <cell r="O379">
            <v>3</v>
          </cell>
          <cell r="P379">
            <v>6</v>
          </cell>
          <cell r="Q379">
            <v>6</v>
          </cell>
          <cell r="R379">
            <v>4</v>
          </cell>
          <cell r="S379">
            <v>6</v>
          </cell>
        </row>
        <row r="380">
          <cell r="C380" t="str">
            <v>6242</v>
          </cell>
          <cell r="D380" t="str">
            <v>4" external bead white</v>
          </cell>
          <cell r="E380" t="str">
            <v>pc</v>
          </cell>
          <cell r="F380" t="str">
            <v>Material</v>
          </cell>
          <cell r="G380">
            <v>0.01</v>
          </cell>
          <cell r="H380">
            <v>0</v>
          </cell>
          <cell r="I380">
            <v>5</v>
          </cell>
          <cell r="J380">
            <v>2.5</v>
          </cell>
          <cell r="K380">
            <v>6.5</v>
          </cell>
          <cell r="L380">
            <v>6</v>
          </cell>
          <cell r="M380">
            <v>3</v>
          </cell>
          <cell r="N380">
            <v>4</v>
          </cell>
          <cell r="O380">
            <v>3</v>
          </cell>
          <cell r="P380">
            <v>6</v>
          </cell>
          <cell r="Q380">
            <v>6</v>
          </cell>
          <cell r="R380">
            <v>4</v>
          </cell>
          <cell r="S380">
            <v>6</v>
          </cell>
        </row>
        <row r="381">
          <cell r="C381" t="str">
            <v>6243</v>
          </cell>
          <cell r="D381" t="str">
            <v>Internal Corner bead</v>
          </cell>
          <cell r="E381" t="str">
            <v>pc</v>
          </cell>
          <cell r="F381" t="str">
            <v>Material</v>
          </cell>
          <cell r="G381">
            <v>0.06</v>
          </cell>
          <cell r="H381">
            <v>0</v>
          </cell>
          <cell r="I381">
            <v>3</v>
          </cell>
          <cell r="J381">
            <v>3</v>
          </cell>
          <cell r="K381">
            <v>4</v>
          </cell>
          <cell r="L381">
            <v>3</v>
          </cell>
          <cell r="M381">
            <v>3</v>
          </cell>
          <cell r="N381">
            <v>4</v>
          </cell>
          <cell r="O381">
            <v>4.5</v>
          </cell>
          <cell r="P381">
            <v>2.5</v>
          </cell>
          <cell r="Q381">
            <v>2.5</v>
          </cell>
          <cell r="R381">
            <v>4</v>
          </cell>
          <cell r="S381">
            <v>2.5</v>
          </cell>
        </row>
        <row r="382">
          <cell r="C382" t="str">
            <v>6244</v>
          </cell>
          <cell r="D382" t="str">
            <v>External Corner bead</v>
          </cell>
          <cell r="E382" t="str">
            <v>pc</v>
          </cell>
          <cell r="F382" t="str">
            <v>Material</v>
          </cell>
          <cell r="G382">
            <v>0.06</v>
          </cell>
          <cell r="H382">
            <v>0</v>
          </cell>
          <cell r="I382">
            <v>3</v>
          </cell>
          <cell r="J382">
            <v>10</v>
          </cell>
          <cell r="K382">
            <v>4</v>
          </cell>
          <cell r="L382">
            <v>3</v>
          </cell>
          <cell r="M382">
            <v>5</v>
          </cell>
          <cell r="N382">
            <v>4</v>
          </cell>
          <cell r="O382">
            <v>10</v>
          </cell>
          <cell r="P382">
            <v>2.5</v>
          </cell>
          <cell r="Q382">
            <v>2.5</v>
          </cell>
          <cell r="R382">
            <v>4</v>
          </cell>
          <cell r="S382">
            <v>2.5</v>
          </cell>
        </row>
        <row r="384">
          <cell r="C384" t="str">
            <v>8000</v>
          </cell>
          <cell r="D384" t="str">
            <v>Skilled</v>
          </cell>
          <cell r="E384" t="str">
            <v>MH</v>
          </cell>
          <cell r="F384" t="str">
            <v>Labor</v>
          </cell>
          <cell r="G384">
            <v>0</v>
          </cell>
          <cell r="H384">
            <v>0</v>
          </cell>
          <cell r="I384">
            <v>21.87</v>
          </cell>
          <cell r="J384">
            <v>18.75</v>
          </cell>
          <cell r="K384">
            <v>21.87</v>
          </cell>
          <cell r="L384">
            <v>21.87</v>
          </cell>
          <cell r="M384">
            <v>18.13</v>
          </cell>
          <cell r="O384">
            <v>18.75</v>
          </cell>
          <cell r="P384">
            <v>21.87</v>
          </cell>
          <cell r="Q384">
            <v>21.87</v>
          </cell>
          <cell r="R384">
            <v>19.63</v>
          </cell>
          <cell r="S384">
            <v>21.87</v>
          </cell>
        </row>
        <row r="385">
          <cell r="C385" t="str">
            <v>8001</v>
          </cell>
          <cell r="D385" t="str">
            <v>Unskilled Labor</v>
          </cell>
          <cell r="E385" t="str">
            <v>MH</v>
          </cell>
          <cell r="F385" t="str">
            <v>Labor</v>
          </cell>
          <cell r="G385">
            <v>0</v>
          </cell>
          <cell r="H385">
            <v>0</v>
          </cell>
          <cell r="I385">
            <v>17.399999999999999</v>
          </cell>
          <cell r="J385">
            <v>18.75</v>
          </cell>
          <cell r="K385">
            <v>17.25</v>
          </cell>
          <cell r="L385">
            <v>18.13</v>
          </cell>
          <cell r="M385">
            <v>18.75</v>
          </cell>
          <cell r="N385">
            <v>19.63</v>
          </cell>
          <cell r="O385">
            <v>18.75</v>
          </cell>
          <cell r="P385">
            <v>17.75</v>
          </cell>
          <cell r="Q385">
            <v>17.75</v>
          </cell>
          <cell r="R385">
            <v>21.87</v>
          </cell>
          <cell r="S385">
            <v>17.25</v>
          </cell>
        </row>
        <row r="386">
          <cell r="C386" t="str">
            <v>8002</v>
          </cell>
          <cell r="D386" t="str">
            <v>Mason</v>
          </cell>
          <cell r="E386" t="str">
            <v>MH</v>
          </cell>
          <cell r="F386" t="str">
            <v>Labor</v>
          </cell>
          <cell r="G386">
            <v>0</v>
          </cell>
          <cell r="H386">
            <v>0</v>
          </cell>
          <cell r="I386">
            <v>21.87</v>
          </cell>
          <cell r="J386">
            <v>21.87</v>
          </cell>
          <cell r="K386">
            <v>21.87</v>
          </cell>
          <cell r="L386">
            <v>21.87</v>
          </cell>
          <cell r="M386">
            <v>21.87</v>
          </cell>
          <cell r="N386">
            <v>21.87</v>
          </cell>
          <cell r="O386">
            <v>21.87</v>
          </cell>
          <cell r="P386">
            <v>21.87</v>
          </cell>
          <cell r="Q386">
            <v>21.87</v>
          </cell>
          <cell r="R386">
            <v>21.87</v>
          </cell>
          <cell r="S386">
            <v>21.87</v>
          </cell>
        </row>
        <row r="387">
          <cell r="C387" t="str">
            <v>8003</v>
          </cell>
          <cell r="D387" t="str">
            <v>Steelman</v>
          </cell>
          <cell r="E387" t="str">
            <v>MH</v>
          </cell>
          <cell r="F387" t="str">
            <v>Labor</v>
          </cell>
          <cell r="G387">
            <v>0</v>
          </cell>
          <cell r="H387">
            <v>0</v>
          </cell>
          <cell r="I387">
            <v>18.75</v>
          </cell>
          <cell r="J387">
            <v>18.75</v>
          </cell>
          <cell r="K387">
            <v>18.75</v>
          </cell>
          <cell r="L387">
            <v>18.75</v>
          </cell>
          <cell r="M387">
            <v>18.75</v>
          </cell>
          <cell r="N387">
            <v>21.87</v>
          </cell>
          <cell r="O387">
            <v>18.75</v>
          </cell>
          <cell r="P387">
            <v>18.75</v>
          </cell>
          <cell r="Q387">
            <v>18.75</v>
          </cell>
          <cell r="R387">
            <v>21.87</v>
          </cell>
          <cell r="S387">
            <v>18.75</v>
          </cell>
        </row>
        <row r="388">
          <cell r="C388" t="str">
            <v>8004</v>
          </cell>
          <cell r="D388" t="str">
            <v>Tinsmith</v>
          </cell>
          <cell r="E388" t="str">
            <v>MH</v>
          </cell>
          <cell r="F388" t="str">
            <v>Labor</v>
          </cell>
          <cell r="G388">
            <v>0</v>
          </cell>
          <cell r="H388">
            <v>0</v>
          </cell>
          <cell r="I388">
            <v>18.75</v>
          </cell>
          <cell r="J388">
            <v>18.75</v>
          </cell>
          <cell r="K388">
            <v>18.75</v>
          </cell>
          <cell r="L388">
            <v>18.75</v>
          </cell>
          <cell r="M388">
            <v>18.75</v>
          </cell>
          <cell r="N388">
            <v>21.87</v>
          </cell>
          <cell r="O388">
            <v>18.75</v>
          </cell>
          <cell r="P388">
            <v>18.75</v>
          </cell>
          <cell r="Q388">
            <v>18.75</v>
          </cell>
          <cell r="R388">
            <v>21.87</v>
          </cell>
          <cell r="S388">
            <v>18.75</v>
          </cell>
        </row>
        <row r="389">
          <cell r="C389" t="str">
            <v>8005</v>
          </cell>
          <cell r="D389" t="str">
            <v>Welder</v>
          </cell>
          <cell r="E389" t="str">
            <v>MH</v>
          </cell>
          <cell r="F389" t="str">
            <v>Labor</v>
          </cell>
          <cell r="G389">
            <v>0</v>
          </cell>
          <cell r="H389">
            <v>0</v>
          </cell>
          <cell r="I389">
            <v>18.75</v>
          </cell>
          <cell r="J389">
            <v>18.75</v>
          </cell>
          <cell r="K389">
            <v>18.75</v>
          </cell>
          <cell r="L389">
            <v>18.75</v>
          </cell>
          <cell r="M389">
            <v>18.75</v>
          </cell>
          <cell r="N389">
            <v>21.87</v>
          </cell>
          <cell r="O389">
            <v>18.75</v>
          </cell>
          <cell r="P389">
            <v>18.75</v>
          </cell>
          <cell r="Q389">
            <v>18.75</v>
          </cell>
          <cell r="R389">
            <v>21.87</v>
          </cell>
          <cell r="S389">
            <v>18.75</v>
          </cell>
        </row>
        <row r="390">
          <cell r="C390" t="str">
            <v>8006</v>
          </cell>
          <cell r="D390" t="str">
            <v>Plumber</v>
          </cell>
          <cell r="E390" t="str">
            <v>MH</v>
          </cell>
          <cell r="F390" t="str">
            <v>Labor</v>
          </cell>
          <cell r="G390">
            <v>0</v>
          </cell>
          <cell r="H390">
            <v>0</v>
          </cell>
          <cell r="I390">
            <v>18.75</v>
          </cell>
          <cell r="J390">
            <v>21.87</v>
          </cell>
          <cell r="K390">
            <v>18.75</v>
          </cell>
          <cell r="L390">
            <v>18.75</v>
          </cell>
          <cell r="M390">
            <v>18.75</v>
          </cell>
          <cell r="N390">
            <v>21.87</v>
          </cell>
          <cell r="O390">
            <v>21.87</v>
          </cell>
          <cell r="P390">
            <v>18.75</v>
          </cell>
          <cell r="Q390">
            <v>18.75</v>
          </cell>
          <cell r="R390">
            <v>21.87</v>
          </cell>
          <cell r="S390">
            <v>18.75</v>
          </cell>
        </row>
        <row r="391">
          <cell r="C391" t="str">
            <v>8007</v>
          </cell>
          <cell r="D391" t="str">
            <v>Painter</v>
          </cell>
          <cell r="E391" t="str">
            <v>MH</v>
          </cell>
          <cell r="F391" t="str">
            <v>Labor</v>
          </cell>
          <cell r="G391">
            <v>0</v>
          </cell>
          <cell r="H391">
            <v>0</v>
          </cell>
          <cell r="I391">
            <v>18.75</v>
          </cell>
          <cell r="J391">
            <v>21.87</v>
          </cell>
          <cell r="K391">
            <v>18.75</v>
          </cell>
          <cell r="L391">
            <v>18.75</v>
          </cell>
          <cell r="M391">
            <v>21.87</v>
          </cell>
          <cell r="N391">
            <v>21.87</v>
          </cell>
          <cell r="O391">
            <v>21.87</v>
          </cell>
          <cell r="P391">
            <v>18.75</v>
          </cell>
          <cell r="Q391">
            <v>18.75</v>
          </cell>
          <cell r="R391">
            <v>24.99</v>
          </cell>
          <cell r="S391">
            <v>18.75</v>
          </cell>
        </row>
        <row r="392">
          <cell r="C392" t="str">
            <v>8008</v>
          </cell>
          <cell r="D392" t="str">
            <v>Carpenter</v>
          </cell>
          <cell r="E392" t="str">
            <v>MH</v>
          </cell>
          <cell r="F392" t="str">
            <v>Labor</v>
          </cell>
          <cell r="G392">
            <v>0</v>
          </cell>
          <cell r="H392">
            <v>0</v>
          </cell>
          <cell r="I392">
            <v>21.87</v>
          </cell>
          <cell r="J392">
            <v>21.87</v>
          </cell>
          <cell r="K392">
            <v>21.87</v>
          </cell>
          <cell r="L392">
            <v>21.87</v>
          </cell>
          <cell r="M392">
            <v>21.87</v>
          </cell>
          <cell r="N392">
            <v>21.87</v>
          </cell>
          <cell r="O392">
            <v>21.87</v>
          </cell>
          <cell r="P392">
            <v>21.87</v>
          </cell>
          <cell r="Q392">
            <v>21.87</v>
          </cell>
          <cell r="R392">
            <v>21.87</v>
          </cell>
          <cell r="S392">
            <v>21.87</v>
          </cell>
        </row>
        <row r="393">
          <cell r="C393" t="str">
            <v>8009</v>
          </cell>
          <cell r="D393" t="str">
            <v>Electrician</v>
          </cell>
          <cell r="E393" t="str">
            <v>MH</v>
          </cell>
          <cell r="F393" t="str">
            <v>Labor</v>
          </cell>
          <cell r="G393">
            <v>0</v>
          </cell>
          <cell r="H393">
            <v>0</v>
          </cell>
          <cell r="I393">
            <v>21.87</v>
          </cell>
          <cell r="J393">
            <v>850</v>
          </cell>
          <cell r="K393">
            <v>21.87</v>
          </cell>
          <cell r="L393">
            <v>21.87</v>
          </cell>
          <cell r="M393">
            <v>0</v>
          </cell>
          <cell r="N393">
            <v>24.99</v>
          </cell>
          <cell r="O393">
            <v>850</v>
          </cell>
          <cell r="P393">
            <v>21.87</v>
          </cell>
          <cell r="Q393">
            <v>21.87</v>
          </cell>
          <cell r="R393">
            <v>0</v>
          </cell>
          <cell r="S393">
            <v>21.87</v>
          </cell>
        </row>
        <row r="394">
          <cell r="C394" t="str">
            <v>8010</v>
          </cell>
          <cell r="D394" t="str">
            <v>HE Operator</v>
          </cell>
          <cell r="E394" t="str">
            <v>MH</v>
          </cell>
          <cell r="F394" t="str">
            <v>Labor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</row>
        <row r="395">
          <cell r="C395" t="str">
            <v>8011</v>
          </cell>
          <cell r="D395" t="str">
            <v>Trainer's Fee</v>
          </cell>
          <cell r="E395" t="str">
            <v>MH</v>
          </cell>
          <cell r="F395" t="str">
            <v>Labor</v>
          </cell>
          <cell r="G395">
            <v>0</v>
          </cell>
          <cell r="H395">
            <v>0</v>
          </cell>
          <cell r="I395">
            <v>0</v>
          </cell>
          <cell r="J395">
            <v>433</v>
          </cell>
          <cell r="K395">
            <v>0</v>
          </cell>
          <cell r="L395">
            <v>0</v>
          </cell>
          <cell r="M395">
            <v>1618.61</v>
          </cell>
          <cell r="N395">
            <v>0</v>
          </cell>
          <cell r="O395">
            <v>433</v>
          </cell>
          <cell r="P395">
            <v>0</v>
          </cell>
          <cell r="Q395">
            <v>0</v>
          </cell>
          <cell r="R395">
            <v>850</v>
          </cell>
          <cell r="S395">
            <v>0</v>
          </cell>
        </row>
        <row r="397">
          <cell r="C397" t="str">
            <v>8200</v>
          </cell>
          <cell r="D397" t="str">
            <v>Buldozer</v>
          </cell>
          <cell r="E397" t="str">
            <v>H</v>
          </cell>
          <cell r="F397" t="str">
            <v>Equipment</v>
          </cell>
          <cell r="G397">
            <v>0</v>
          </cell>
          <cell r="H397">
            <v>0</v>
          </cell>
          <cell r="I397">
            <v>850</v>
          </cell>
          <cell r="J397">
            <v>703</v>
          </cell>
          <cell r="K397">
            <v>850</v>
          </cell>
          <cell r="L397">
            <v>850</v>
          </cell>
          <cell r="M397">
            <v>685.1</v>
          </cell>
          <cell r="N397">
            <v>850</v>
          </cell>
          <cell r="O397">
            <v>703</v>
          </cell>
          <cell r="P397">
            <v>850</v>
          </cell>
          <cell r="Q397">
            <v>850</v>
          </cell>
          <cell r="R397">
            <v>433</v>
          </cell>
          <cell r="S397">
            <v>850</v>
          </cell>
        </row>
        <row r="398">
          <cell r="C398" t="str">
            <v>8201</v>
          </cell>
          <cell r="D398" t="str">
            <v>Grader</v>
          </cell>
          <cell r="E398" t="str">
            <v>H</v>
          </cell>
          <cell r="F398" t="str">
            <v>Equipment</v>
          </cell>
          <cell r="G398">
            <v>0</v>
          </cell>
          <cell r="H398">
            <v>0</v>
          </cell>
          <cell r="I398">
            <v>433</v>
          </cell>
          <cell r="J398">
            <v>1063</v>
          </cell>
          <cell r="K398">
            <v>433</v>
          </cell>
          <cell r="L398">
            <v>433</v>
          </cell>
          <cell r="M398">
            <v>618.6</v>
          </cell>
          <cell r="N398">
            <v>433</v>
          </cell>
          <cell r="O398">
            <v>1063</v>
          </cell>
          <cell r="P398">
            <v>433</v>
          </cell>
          <cell r="Q398">
            <v>433</v>
          </cell>
          <cell r="R398">
            <v>703</v>
          </cell>
          <cell r="S398">
            <v>433</v>
          </cell>
        </row>
        <row r="399">
          <cell r="C399" t="str">
            <v>8202</v>
          </cell>
          <cell r="D399" t="str">
            <v>Pay Loader</v>
          </cell>
          <cell r="E399" t="str">
            <v>H</v>
          </cell>
          <cell r="F399" t="str">
            <v>Equipment</v>
          </cell>
          <cell r="G399">
            <v>0</v>
          </cell>
          <cell r="H399">
            <v>0</v>
          </cell>
          <cell r="I399">
            <v>703</v>
          </cell>
          <cell r="J399">
            <v>650</v>
          </cell>
          <cell r="K399">
            <v>703</v>
          </cell>
          <cell r="L399">
            <v>703</v>
          </cell>
          <cell r="M399">
            <v>0</v>
          </cell>
          <cell r="N399">
            <v>703</v>
          </cell>
          <cell r="O399">
            <v>650</v>
          </cell>
          <cell r="P399">
            <v>703</v>
          </cell>
          <cell r="Q399">
            <v>703</v>
          </cell>
          <cell r="R399">
            <v>1063</v>
          </cell>
          <cell r="S399">
            <v>703</v>
          </cell>
        </row>
        <row r="400">
          <cell r="C400" t="str">
            <v>8203</v>
          </cell>
          <cell r="D400" t="str">
            <v>Crane Shovel</v>
          </cell>
          <cell r="E400" t="str">
            <v>H</v>
          </cell>
          <cell r="F400" t="str">
            <v>Equipment</v>
          </cell>
          <cell r="G400">
            <v>0</v>
          </cell>
          <cell r="H400">
            <v>0</v>
          </cell>
          <cell r="I400">
            <v>1063</v>
          </cell>
          <cell r="J400">
            <v>1039</v>
          </cell>
          <cell r="K400">
            <v>1063</v>
          </cell>
          <cell r="L400">
            <v>1063</v>
          </cell>
          <cell r="M400">
            <v>0</v>
          </cell>
          <cell r="N400">
            <v>1063</v>
          </cell>
          <cell r="O400">
            <v>1039</v>
          </cell>
          <cell r="P400">
            <v>1063</v>
          </cell>
          <cell r="Q400">
            <v>1063</v>
          </cell>
          <cell r="R400">
            <v>650</v>
          </cell>
          <cell r="S400">
            <v>1063</v>
          </cell>
        </row>
        <row r="401">
          <cell r="C401" t="str">
            <v>8204</v>
          </cell>
          <cell r="D401" t="str">
            <v>Pneumatic Roller</v>
          </cell>
          <cell r="E401" t="str">
            <v>H</v>
          </cell>
          <cell r="F401" t="str">
            <v>Equipment</v>
          </cell>
          <cell r="G401">
            <v>0</v>
          </cell>
          <cell r="H401">
            <v>0</v>
          </cell>
          <cell r="I401">
            <v>650</v>
          </cell>
          <cell r="J401">
            <v>354</v>
          </cell>
          <cell r="K401">
            <v>650</v>
          </cell>
          <cell r="L401">
            <v>650</v>
          </cell>
          <cell r="M401">
            <v>785.16</v>
          </cell>
          <cell r="N401">
            <v>650</v>
          </cell>
          <cell r="O401">
            <v>354</v>
          </cell>
          <cell r="P401">
            <v>650</v>
          </cell>
          <cell r="Q401">
            <v>650</v>
          </cell>
          <cell r="R401">
            <v>1039</v>
          </cell>
          <cell r="S401">
            <v>650</v>
          </cell>
        </row>
        <row r="402">
          <cell r="C402" t="str">
            <v>8205</v>
          </cell>
          <cell r="D402" t="str">
            <v>Vibratory Drum Road Roller</v>
          </cell>
          <cell r="E402" t="str">
            <v>H</v>
          </cell>
          <cell r="F402" t="str">
            <v>Equipment</v>
          </cell>
          <cell r="G402">
            <v>0</v>
          </cell>
          <cell r="H402">
            <v>0</v>
          </cell>
          <cell r="I402">
            <v>1039</v>
          </cell>
          <cell r="J402">
            <v>354</v>
          </cell>
          <cell r="K402">
            <v>1039</v>
          </cell>
          <cell r="L402">
            <v>1039</v>
          </cell>
          <cell r="M402">
            <v>0</v>
          </cell>
          <cell r="N402">
            <v>1039</v>
          </cell>
          <cell r="O402">
            <v>354</v>
          </cell>
          <cell r="P402">
            <v>1039</v>
          </cell>
          <cell r="Q402">
            <v>1039</v>
          </cell>
          <cell r="R402">
            <v>354</v>
          </cell>
          <cell r="S402">
            <v>1039</v>
          </cell>
        </row>
        <row r="403">
          <cell r="C403" t="str">
            <v>8206</v>
          </cell>
          <cell r="D403" t="str">
            <v>Tractor - Drawn Roller (1-d)</v>
          </cell>
          <cell r="E403" t="str">
            <v>H</v>
          </cell>
          <cell r="F403" t="str">
            <v>Equipment</v>
          </cell>
          <cell r="G403">
            <v>0</v>
          </cell>
          <cell r="H403">
            <v>0</v>
          </cell>
          <cell r="I403">
            <v>354</v>
          </cell>
          <cell r="J403">
            <v>502</v>
          </cell>
          <cell r="K403">
            <v>354</v>
          </cell>
          <cell r="L403">
            <v>354</v>
          </cell>
          <cell r="M403">
            <v>0</v>
          </cell>
          <cell r="N403">
            <v>354</v>
          </cell>
          <cell r="O403">
            <v>502</v>
          </cell>
          <cell r="P403">
            <v>354</v>
          </cell>
          <cell r="Q403">
            <v>354</v>
          </cell>
          <cell r="R403">
            <v>354</v>
          </cell>
          <cell r="S403">
            <v>354</v>
          </cell>
        </row>
        <row r="404">
          <cell r="C404" t="str">
            <v>8207</v>
          </cell>
          <cell r="D404" t="str">
            <v>Tandem Roller</v>
          </cell>
          <cell r="E404" t="str">
            <v>H</v>
          </cell>
          <cell r="F404" t="str">
            <v>Equipment</v>
          </cell>
          <cell r="G404">
            <v>0</v>
          </cell>
          <cell r="H404">
            <v>0</v>
          </cell>
          <cell r="I404">
            <v>354</v>
          </cell>
          <cell r="J404">
            <v>148</v>
          </cell>
          <cell r="K404">
            <v>354</v>
          </cell>
          <cell r="L404">
            <v>354</v>
          </cell>
          <cell r="M404">
            <v>389.05</v>
          </cell>
          <cell r="N404">
            <v>354</v>
          </cell>
          <cell r="O404">
            <v>148</v>
          </cell>
          <cell r="P404">
            <v>354</v>
          </cell>
          <cell r="Q404">
            <v>354</v>
          </cell>
          <cell r="R404">
            <v>502</v>
          </cell>
          <cell r="S404">
            <v>354</v>
          </cell>
        </row>
        <row r="405">
          <cell r="C405" t="str">
            <v>8208</v>
          </cell>
          <cell r="D405" t="str">
            <v>Mini-Excavator</v>
          </cell>
          <cell r="E405" t="str">
            <v>H</v>
          </cell>
          <cell r="F405" t="str">
            <v>Equipment</v>
          </cell>
          <cell r="G405">
            <v>0</v>
          </cell>
          <cell r="H405">
            <v>0</v>
          </cell>
          <cell r="I405">
            <v>709</v>
          </cell>
          <cell r="J405">
            <v>762</v>
          </cell>
          <cell r="K405">
            <v>709</v>
          </cell>
          <cell r="L405">
            <v>709</v>
          </cell>
          <cell r="M405">
            <v>0</v>
          </cell>
          <cell r="N405">
            <v>709</v>
          </cell>
          <cell r="O405">
            <v>762</v>
          </cell>
          <cell r="P405">
            <v>709</v>
          </cell>
          <cell r="Q405">
            <v>709</v>
          </cell>
          <cell r="R405">
            <v>0</v>
          </cell>
          <cell r="S405">
            <v>709</v>
          </cell>
        </row>
        <row r="406">
          <cell r="C406" t="str">
            <v>8209</v>
          </cell>
          <cell r="D406" t="str">
            <v>Skid-Steer Loader</v>
          </cell>
          <cell r="E406" t="str">
            <v>H</v>
          </cell>
          <cell r="F406" t="str">
            <v>Equipment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762</v>
          </cell>
          <cell r="S406">
            <v>0</v>
          </cell>
        </row>
        <row r="407">
          <cell r="C407" t="str">
            <v>8210</v>
          </cell>
          <cell r="D407" t="str">
            <v>Truck Mounted Crane</v>
          </cell>
          <cell r="E407" t="str">
            <v>H</v>
          </cell>
          <cell r="F407" t="str">
            <v>Equipment</v>
          </cell>
          <cell r="G407">
            <v>0</v>
          </cell>
          <cell r="H407">
            <v>0</v>
          </cell>
          <cell r="I407">
            <v>762</v>
          </cell>
          <cell r="J407">
            <v>865.71</v>
          </cell>
          <cell r="K407">
            <v>762</v>
          </cell>
          <cell r="L407">
            <v>762</v>
          </cell>
          <cell r="M407">
            <v>0</v>
          </cell>
          <cell r="N407">
            <v>762</v>
          </cell>
          <cell r="O407">
            <v>865.71</v>
          </cell>
          <cell r="P407">
            <v>762</v>
          </cell>
          <cell r="Q407">
            <v>762</v>
          </cell>
          <cell r="R407">
            <v>0</v>
          </cell>
          <cell r="S407">
            <v>762</v>
          </cell>
        </row>
        <row r="408">
          <cell r="C408" t="str">
            <v>8211</v>
          </cell>
          <cell r="D408" t="str">
            <v>Road Maintener</v>
          </cell>
          <cell r="E408" t="str">
            <v>H</v>
          </cell>
          <cell r="F408" t="str">
            <v>Equipment</v>
          </cell>
          <cell r="G408">
            <v>0</v>
          </cell>
          <cell r="H408">
            <v>0</v>
          </cell>
          <cell r="I408">
            <v>0</v>
          </cell>
          <cell r="J408">
            <v>42.97</v>
          </cell>
          <cell r="K408">
            <v>0</v>
          </cell>
          <cell r="L408">
            <v>0</v>
          </cell>
          <cell r="M408">
            <v>217.26</v>
          </cell>
          <cell r="N408">
            <v>0</v>
          </cell>
          <cell r="O408">
            <v>42.97</v>
          </cell>
          <cell r="P408">
            <v>0</v>
          </cell>
          <cell r="Q408">
            <v>0</v>
          </cell>
          <cell r="R408">
            <v>865.71</v>
          </cell>
          <cell r="S408">
            <v>0</v>
          </cell>
        </row>
        <row r="409">
          <cell r="C409" t="str">
            <v>8212</v>
          </cell>
          <cell r="D409" t="str">
            <v>Diesel Hammer</v>
          </cell>
          <cell r="E409" t="str">
            <v>H</v>
          </cell>
          <cell r="F409" t="str">
            <v>Equipment</v>
          </cell>
          <cell r="G409">
            <v>0</v>
          </cell>
          <cell r="H409">
            <v>0</v>
          </cell>
          <cell r="I409">
            <v>800</v>
          </cell>
          <cell r="J409">
            <v>0</v>
          </cell>
          <cell r="K409">
            <v>800</v>
          </cell>
          <cell r="L409">
            <v>800</v>
          </cell>
          <cell r="M409">
            <v>0</v>
          </cell>
          <cell r="N409">
            <v>800</v>
          </cell>
          <cell r="O409">
            <v>0</v>
          </cell>
          <cell r="P409">
            <v>800</v>
          </cell>
          <cell r="Q409">
            <v>800</v>
          </cell>
          <cell r="R409">
            <v>600</v>
          </cell>
          <cell r="S409">
            <v>800</v>
          </cell>
        </row>
        <row r="410">
          <cell r="C410" t="str">
            <v>8213</v>
          </cell>
          <cell r="D410" t="str">
            <v>Drop Hammer</v>
          </cell>
          <cell r="E410" t="str">
            <v>H</v>
          </cell>
          <cell r="F410" t="str">
            <v>Equipment</v>
          </cell>
          <cell r="G410">
            <v>0</v>
          </cell>
          <cell r="H410">
            <v>0</v>
          </cell>
          <cell r="I410">
            <v>600</v>
          </cell>
          <cell r="J410">
            <v>112.5</v>
          </cell>
          <cell r="K410">
            <v>600</v>
          </cell>
          <cell r="L410">
            <v>600</v>
          </cell>
          <cell r="M410">
            <v>0</v>
          </cell>
          <cell r="N410">
            <v>600</v>
          </cell>
          <cell r="O410">
            <v>112.5</v>
          </cell>
          <cell r="P410">
            <v>600</v>
          </cell>
          <cell r="Q410">
            <v>600</v>
          </cell>
          <cell r="R410">
            <v>0</v>
          </cell>
          <cell r="S410">
            <v>600</v>
          </cell>
        </row>
        <row r="411">
          <cell r="C411" t="str">
            <v>8214</v>
          </cell>
          <cell r="D411" t="str">
            <v>Percussion</v>
          </cell>
          <cell r="E411" t="str">
            <v>H</v>
          </cell>
          <cell r="F411" t="str">
            <v>Equipment</v>
          </cell>
          <cell r="G411">
            <v>0</v>
          </cell>
          <cell r="H411">
            <v>0</v>
          </cell>
          <cell r="I411">
            <v>0</v>
          </cell>
          <cell r="J411">
            <v>98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98</v>
          </cell>
          <cell r="P411">
            <v>0</v>
          </cell>
          <cell r="Q411">
            <v>0</v>
          </cell>
          <cell r="R411">
            <v>112.5</v>
          </cell>
          <cell r="S411">
            <v>0</v>
          </cell>
        </row>
        <row r="412">
          <cell r="C412" t="str">
            <v>8215</v>
          </cell>
          <cell r="D412" t="str">
            <v>Rammers</v>
          </cell>
          <cell r="E412" t="str">
            <v>H</v>
          </cell>
          <cell r="F412" t="str">
            <v>Equipment</v>
          </cell>
          <cell r="G412">
            <v>0</v>
          </cell>
          <cell r="H412">
            <v>0</v>
          </cell>
          <cell r="I412">
            <v>112.5</v>
          </cell>
          <cell r="J412">
            <v>57.84</v>
          </cell>
          <cell r="K412">
            <v>112.5</v>
          </cell>
          <cell r="L412">
            <v>112.5</v>
          </cell>
          <cell r="M412">
            <v>500</v>
          </cell>
          <cell r="N412">
            <v>112.5</v>
          </cell>
          <cell r="O412">
            <v>57.84</v>
          </cell>
          <cell r="P412">
            <v>112.5</v>
          </cell>
          <cell r="Q412">
            <v>112.5</v>
          </cell>
          <cell r="R412">
            <v>98</v>
          </cell>
          <cell r="S412">
            <v>112.5</v>
          </cell>
        </row>
        <row r="414">
          <cell r="C414" t="str">
            <v>8500</v>
          </cell>
          <cell r="D414" t="str">
            <v>Buggy</v>
          </cell>
          <cell r="E414" t="str">
            <v>H</v>
          </cell>
          <cell r="F414" t="str">
            <v>Equipment</v>
          </cell>
          <cell r="G414">
            <v>0</v>
          </cell>
          <cell r="H414">
            <v>0</v>
          </cell>
          <cell r="I414">
            <v>0</v>
          </cell>
          <cell r="J414">
            <v>709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709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</row>
        <row r="415">
          <cell r="C415" t="str">
            <v>8501</v>
          </cell>
          <cell r="D415" t="str">
            <v>Wheel borrow</v>
          </cell>
          <cell r="E415" t="str">
            <v>H</v>
          </cell>
          <cell r="F415" t="str">
            <v>Equipment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709</v>
          </cell>
          <cell r="S415">
            <v>0</v>
          </cell>
        </row>
        <row r="416">
          <cell r="C416" t="str">
            <v>8502</v>
          </cell>
          <cell r="D416" t="str">
            <v>2" Heavy Duty Pulley</v>
          </cell>
          <cell r="E416" t="str">
            <v>H</v>
          </cell>
          <cell r="F416" t="str">
            <v>Material</v>
          </cell>
          <cell r="G416">
            <v>0</v>
          </cell>
          <cell r="H416">
            <v>0</v>
          </cell>
          <cell r="I416">
            <v>28</v>
          </cell>
          <cell r="J416">
            <v>75</v>
          </cell>
          <cell r="K416">
            <v>30</v>
          </cell>
          <cell r="L416">
            <v>25</v>
          </cell>
          <cell r="M416">
            <v>80</v>
          </cell>
          <cell r="N416">
            <v>25</v>
          </cell>
          <cell r="O416">
            <v>80</v>
          </cell>
          <cell r="P416">
            <v>28</v>
          </cell>
          <cell r="Q416">
            <v>28</v>
          </cell>
          <cell r="R416">
            <v>25</v>
          </cell>
          <cell r="S416">
            <v>25</v>
          </cell>
        </row>
        <row r="417">
          <cell r="C417" t="str">
            <v>8503</v>
          </cell>
          <cell r="D417" t="str">
            <v>Concrets Mixer (1-bagger)</v>
          </cell>
          <cell r="E417" t="str">
            <v>H</v>
          </cell>
          <cell r="F417" t="str">
            <v>Equipment</v>
          </cell>
          <cell r="G417">
            <v>200</v>
          </cell>
          <cell r="H417">
            <v>0</v>
          </cell>
          <cell r="I417">
            <v>42.97</v>
          </cell>
          <cell r="J417">
            <v>0</v>
          </cell>
          <cell r="K417">
            <v>42.97</v>
          </cell>
          <cell r="L417">
            <v>42.97</v>
          </cell>
          <cell r="M417">
            <v>50</v>
          </cell>
          <cell r="N417">
            <v>42.97</v>
          </cell>
          <cell r="O417">
            <v>0</v>
          </cell>
          <cell r="P417">
            <v>42.97</v>
          </cell>
          <cell r="Q417">
            <v>42.97</v>
          </cell>
          <cell r="R417">
            <v>38.68</v>
          </cell>
          <cell r="S417">
            <v>42.97</v>
          </cell>
        </row>
        <row r="418">
          <cell r="C418" t="str">
            <v>8504</v>
          </cell>
          <cell r="D418" t="str">
            <v>Concrete Vibrator</v>
          </cell>
          <cell r="E418" t="str">
            <v>H</v>
          </cell>
          <cell r="F418" t="str">
            <v>Equipment</v>
          </cell>
          <cell r="G418">
            <v>60</v>
          </cell>
          <cell r="H418">
            <v>0</v>
          </cell>
          <cell r="I418">
            <v>38.68</v>
          </cell>
          <cell r="J418">
            <v>800</v>
          </cell>
          <cell r="K418">
            <v>38.68</v>
          </cell>
          <cell r="L418">
            <v>38.68</v>
          </cell>
          <cell r="M418">
            <v>0</v>
          </cell>
          <cell r="N418">
            <v>38.68</v>
          </cell>
          <cell r="O418">
            <v>800</v>
          </cell>
          <cell r="P418">
            <v>38.68</v>
          </cell>
          <cell r="Q418">
            <v>38.68</v>
          </cell>
          <cell r="R418">
            <v>0</v>
          </cell>
          <cell r="S418">
            <v>38.68</v>
          </cell>
        </row>
        <row r="419">
          <cell r="C419" t="str">
            <v>8505</v>
          </cell>
          <cell r="D419" t="str">
            <v>Plate Compactor</v>
          </cell>
          <cell r="E419" t="str">
            <v>H</v>
          </cell>
          <cell r="F419" t="str">
            <v>Equipment</v>
          </cell>
          <cell r="G419">
            <v>50</v>
          </cell>
          <cell r="H419">
            <v>0</v>
          </cell>
          <cell r="I419">
            <v>98</v>
          </cell>
          <cell r="J419">
            <v>98</v>
          </cell>
          <cell r="K419">
            <v>98</v>
          </cell>
          <cell r="L419">
            <v>98</v>
          </cell>
          <cell r="M419">
            <v>98</v>
          </cell>
          <cell r="N419">
            <v>98</v>
          </cell>
          <cell r="O419">
            <v>98</v>
          </cell>
          <cell r="P419">
            <v>98</v>
          </cell>
          <cell r="Q419">
            <v>98</v>
          </cell>
          <cell r="R419">
            <v>98</v>
          </cell>
          <cell r="S419">
            <v>98</v>
          </cell>
        </row>
        <row r="420">
          <cell r="C420" t="str">
            <v>8506</v>
          </cell>
          <cell r="D420" t="str">
            <v>Air Compressor</v>
          </cell>
          <cell r="E420" t="str">
            <v>H</v>
          </cell>
          <cell r="F420" t="str">
            <v>Equipment</v>
          </cell>
          <cell r="G420">
            <v>0</v>
          </cell>
          <cell r="H420">
            <v>0</v>
          </cell>
          <cell r="I420">
            <v>112</v>
          </cell>
          <cell r="J420">
            <v>10</v>
          </cell>
          <cell r="K420">
            <v>112</v>
          </cell>
          <cell r="L420">
            <v>112</v>
          </cell>
          <cell r="M420">
            <v>30</v>
          </cell>
          <cell r="N420">
            <v>112</v>
          </cell>
          <cell r="O420">
            <v>10</v>
          </cell>
          <cell r="P420">
            <v>112</v>
          </cell>
          <cell r="Q420">
            <v>112</v>
          </cell>
          <cell r="R420">
            <v>10</v>
          </cell>
          <cell r="S420">
            <v>112</v>
          </cell>
        </row>
        <row r="421">
          <cell r="C421" t="str">
            <v>8507</v>
          </cell>
          <cell r="D421" t="str">
            <v>Bar Cutter</v>
          </cell>
          <cell r="E421" t="str">
            <v>H</v>
          </cell>
          <cell r="F421" t="str">
            <v>Equipment</v>
          </cell>
          <cell r="G421">
            <v>15</v>
          </cell>
          <cell r="H421">
            <v>0</v>
          </cell>
          <cell r="I421">
            <v>10</v>
          </cell>
          <cell r="J421">
            <v>10</v>
          </cell>
          <cell r="K421">
            <v>10</v>
          </cell>
          <cell r="L421">
            <v>10</v>
          </cell>
          <cell r="M421">
            <v>10</v>
          </cell>
          <cell r="N421">
            <v>10</v>
          </cell>
          <cell r="O421">
            <v>10</v>
          </cell>
          <cell r="P421">
            <v>10</v>
          </cell>
          <cell r="Q421">
            <v>10</v>
          </cell>
          <cell r="R421">
            <v>10</v>
          </cell>
          <cell r="S421">
            <v>10</v>
          </cell>
        </row>
        <row r="422">
          <cell r="C422" t="str">
            <v>8508</v>
          </cell>
          <cell r="D422" t="str">
            <v>Bar Bender</v>
          </cell>
          <cell r="E422" t="str">
            <v>H</v>
          </cell>
          <cell r="F422" t="str">
            <v>Equipment</v>
          </cell>
          <cell r="G422">
            <v>0</v>
          </cell>
          <cell r="H422">
            <v>0</v>
          </cell>
          <cell r="I422">
            <v>10</v>
          </cell>
          <cell r="J422">
            <v>10</v>
          </cell>
          <cell r="K422">
            <v>10</v>
          </cell>
          <cell r="L422">
            <v>10</v>
          </cell>
          <cell r="M422">
            <v>10</v>
          </cell>
          <cell r="N422">
            <v>10</v>
          </cell>
          <cell r="O422">
            <v>10</v>
          </cell>
          <cell r="P422">
            <v>10</v>
          </cell>
          <cell r="Q422">
            <v>10</v>
          </cell>
          <cell r="R422">
            <v>10</v>
          </cell>
          <cell r="S422">
            <v>10</v>
          </cell>
        </row>
        <row r="423">
          <cell r="C423" t="str">
            <v>8509</v>
          </cell>
          <cell r="D423" t="str">
            <v>Motorized Water Pump</v>
          </cell>
          <cell r="E423" t="str">
            <v>H</v>
          </cell>
          <cell r="F423" t="str">
            <v>Equipment</v>
          </cell>
          <cell r="G423">
            <v>0</v>
          </cell>
          <cell r="H423">
            <v>0</v>
          </cell>
          <cell r="I423">
            <v>41.52</v>
          </cell>
          <cell r="J423">
            <v>34.75</v>
          </cell>
          <cell r="K423">
            <v>41.52</v>
          </cell>
          <cell r="L423">
            <v>41.52</v>
          </cell>
          <cell r="M423">
            <v>562.5</v>
          </cell>
          <cell r="N423">
            <v>41.52</v>
          </cell>
          <cell r="O423">
            <v>34.75</v>
          </cell>
          <cell r="P423">
            <v>41.52</v>
          </cell>
          <cell r="Q423">
            <v>41.52</v>
          </cell>
          <cell r="R423">
            <v>562.5</v>
          </cell>
          <cell r="S423">
            <v>41.52</v>
          </cell>
        </row>
        <row r="424">
          <cell r="C424" t="str">
            <v>8510</v>
          </cell>
          <cell r="D424" t="str">
            <v>Truck-mounted Drilling Rig, Rotary</v>
          </cell>
          <cell r="E424" t="str">
            <v>H</v>
          </cell>
          <cell r="F424" t="str">
            <v>Equipment</v>
          </cell>
          <cell r="G424">
            <v>0</v>
          </cell>
          <cell r="H424">
            <v>0</v>
          </cell>
          <cell r="I424">
            <v>562.5</v>
          </cell>
          <cell r="J424">
            <v>562.5</v>
          </cell>
          <cell r="K424">
            <v>562.5</v>
          </cell>
          <cell r="L424">
            <v>562.5</v>
          </cell>
          <cell r="M424">
            <v>562.5</v>
          </cell>
          <cell r="N424">
            <v>562.5</v>
          </cell>
          <cell r="O424">
            <v>562.5</v>
          </cell>
          <cell r="P424">
            <v>562.5</v>
          </cell>
          <cell r="Q424">
            <v>562.5</v>
          </cell>
          <cell r="R424">
            <v>562.5</v>
          </cell>
          <cell r="S424">
            <v>562.5</v>
          </cell>
        </row>
        <row r="425">
          <cell r="C425" t="str">
            <v>8511</v>
          </cell>
          <cell r="D425" t="str">
            <v>Electric Welding Machine</v>
          </cell>
          <cell r="E425" t="str">
            <v>H</v>
          </cell>
          <cell r="F425" t="str">
            <v>Equipment</v>
          </cell>
          <cell r="G425">
            <v>0</v>
          </cell>
          <cell r="H425">
            <v>0</v>
          </cell>
          <cell r="I425">
            <v>34.75</v>
          </cell>
          <cell r="J425">
            <v>287.3</v>
          </cell>
          <cell r="K425">
            <v>34.75</v>
          </cell>
          <cell r="L425">
            <v>34.75</v>
          </cell>
          <cell r="M425">
            <v>100</v>
          </cell>
          <cell r="N425">
            <v>34.75</v>
          </cell>
          <cell r="O425">
            <v>287.3</v>
          </cell>
          <cell r="P425">
            <v>34.75</v>
          </cell>
          <cell r="Q425">
            <v>34.75</v>
          </cell>
          <cell r="R425">
            <v>100</v>
          </cell>
          <cell r="S425">
            <v>34.75</v>
          </cell>
        </row>
        <row r="426">
          <cell r="C426" t="str">
            <v>8512</v>
          </cell>
          <cell r="D426" t="str">
            <v>A/O Gas Welding Machine &amp; Outfits</v>
          </cell>
          <cell r="E426" t="str">
            <v>H</v>
          </cell>
          <cell r="F426" t="str">
            <v>Equipment</v>
          </cell>
          <cell r="G426">
            <v>50</v>
          </cell>
          <cell r="H426">
            <v>0</v>
          </cell>
          <cell r="I426">
            <v>100</v>
          </cell>
          <cell r="J426">
            <v>10</v>
          </cell>
          <cell r="K426">
            <v>100</v>
          </cell>
          <cell r="L426">
            <v>100</v>
          </cell>
          <cell r="M426">
            <v>100</v>
          </cell>
          <cell r="N426">
            <v>0</v>
          </cell>
          <cell r="O426">
            <v>10</v>
          </cell>
          <cell r="P426">
            <v>100</v>
          </cell>
          <cell r="Q426">
            <v>100</v>
          </cell>
          <cell r="R426">
            <v>287.3</v>
          </cell>
          <cell r="S426">
            <v>100</v>
          </cell>
        </row>
        <row r="427">
          <cell r="C427" t="str">
            <v>8513</v>
          </cell>
          <cell r="D427" t="str">
            <v>Diesel Engine Generator</v>
          </cell>
          <cell r="E427" t="str">
            <v>H</v>
          </cell>
          <cell r="F427" t="str">
            <v>Equipment</v>
          </cell>
          <cell r="G427">
            <v>0</v>
          </cell>
          <cell r="H427">
            <v>0</v>
          </cell>
          <cell r="I427">
            <v>287.3</v>
          </cell>
          <cell r="J427">
            <v>70</v>
          </cell>
          <cell r="K427">
            <v>287.3</v>
          </cell>
          <cell r="L427">
            <v>287.3</v>
          </cell>
          <cell r="M427">
            <v>11.25</v>
          </cell>
          <cell r="N427">
            <v>287.3</v>
          </cell>
          <cell r="O427">
            <v>70</v>
          </cell>
          <cell r="P427">
            <v>287.3</v>
          </cell>
          <cell r="Q427">
            <v>287.3</v>
          </cell>
          <cell r="R427">
            <v>10</v>
          </cell>
          <cell r="S427">
            <v>287.3</v>
          </cell>
        </row>
        <row r="428">
          <cell r="C428" t="str">
            <v>8514</v>
          </cell>
          <cell r="D428" t="str">
            <v>Electric Grinder</v>
          </cell>
          <cell r="E428" t="str">
            <v>H</v>
          </cell>
          <cell r="F428" t="str">
            <v>Equipment</v>
          </cell>
          <cell r="G428">
            <v>0</v>
          </cell>
          <cell r="H428">
            <v>0</v>
          </cell>
          <cell r="I428">
            <v>10</v>
          </cell>
          <cell r="J428">
            <v>20</v>
          </cell>
          <cell r="K428">
            <v>10</v>
          </cell>
          <cell r="L428">
            <v>10</v>
          </cell>
          <cell r="M428">
            <v>11.25</v>
          </cell>
          <cell r="N428">
            <v>10</v>
          </cell>
          <cell r="O428">
            <v>20</v>
          </cell>
          <cell r="P428">
            <v>10</v>
          </cell>
          <cell r="Q428">
            <v>10</v>
          </cell>
          <cell r="R428">
            <v>70</v>
          </cell>
          <cell r="S428">
            <v>10</v>
          </cell>
        </row>
        <row r="429">
          <cell r="C429" t="str">
            <v>8515</v>
          </cell>
          <cell r="D429" t="str">
            <v>Electric Drill</v>
          </cell>
          <cell r="E429" t="str">
            <v>H</v>
          </cell>
          <cell r="F429" t="str">
            <v>Equipment</v>
          </cell>
          <cell r="G429">
            <v>0</v>
          </cell>
          <cell r="H429">
            <v>0</v>
          </cell>
          <cell r="I429">
            <v>70</v>
          </cell>
          <cell r="J429">
            <v>30</v>
          </cell>
          <cell r="K429">
            <v>70</v>
          </cell>
          <cell r="L429">
            <v>70</v>
          </cell>
          <cell r="M429">
            <v>20</v>
          </cell>
          <cell r="N429">
            <v>70</v>
          </cell>
          <cell r="O429">
            <v>30</v>
          </cell>
          <cell r="P429">
            <v>70</v>
          </cell>
          <cell r="Q429">
            <v>70</v>
          </cell>
          <cell r="R429">
            <v>20</v>
          </cell>
          <cell r="S429">
            <v>70</v>
          </cell>
        </row>
        <row r="430">
          <cell r="C430" t="str">
            <v>8516</v>
          </cell>
          <cell r="D430" t="str">
            <v>Steel Tri-Boom</v>
          </cell>
          <cell r="E430" t="str">
            <v>H</v>
          </cell>
          <cell r="F430" t="str">
            <v>Equipment</v>
          </cell>
          <cell r="G430">
            <v>0</v>
          </cell>
          <cell r="H430">
            <v>0</v>
          </cell>
          <cell r="I430">
            <v>20</v>
          </cell>
          <cell r="J430">
            <v>0</v>
          </cell>
          <cell r="K430">
            <v>20</v>
          </cell>
          <cell r="L430">
            <v>20</v>
          </cell>
          <cell r="M430">
            <v>30</v>
          </cell>
          <cell r="N430">
            <v>0</v>
          </cell>
          <cell r="O430">
            <v>0</v>
          </cell>
          <cell r="P430">
            <v>20</v>
          </cell>
          <cell r="Q430">
            <v>20</v>
          </cell>
          <cell r="R430">
            <v>30</v>
          </cell>
          <cell r="S430">
            <v>20</v>
          </cell>
        </row>
        <row r="431">
          <cell r="C431" t="str">
            <v>8517</v>
          </cell>
          <cell r="D431" t="str">
            <v>Pulley</v>
          </cell>
          <cell r="E431" t="str">
            <v>H</v>
          </cell>
          <cell r="F431" t="str">
            <v>Equipment</v>
          </cell>
          <cell r="G431">
            <v>10</v>
          </cell>
          <cell r="H431">
            <v>0</v>
          </cell>
          <cell r="I431">
            <v>30</v>
          </cell>
          <cell r="J431">
            <v>13950</v>
          </cell>
          <cell r="K431">
            <v>30</v>
          </cell>
          <cell r="L431">
            <v>30</v>
          </cell>
          <cell r="M431">
            <v>0</v>
          </cell>
          <cell r="N431">
            <v>0</v>
          </cell>
          <cell r="O431">
            <v>13950</v>
          </cell>
          <cell r="P431">
            <v>30</v>
          </cell>
          <cell r="Q431">
            <v>30</v>
          </cell>
          <cell r="R431">
            <v>0</v>
          </cell>
          <cell r="S431">
            <v>30</v>
          </cell>
        </row>
        <row r="432">
          <cell r="C432" t="str">
            <v>8518</v>
          </cell>
          <cell r="D432" t="str">
            <v>Plumber's Tools</v>
          </cell>
          <cell r="E432" t="str">
            <v>H</v>
          </cell>
          <cell r="F432" t="str">
            <v>Equipment</v>
          </cell>
          <cell r="G432">
            <v>10</v>
          </cell>
          <cell r="H432">
            <v>0</v>
          </cell>
          <cell r="I432">
            <v>100</v>
          </cell>
          <cell r="J432">
            <v>5900</v>
          </cell>
          <cell r="K432">
            <v>100</v>
          </cell>
          <cell r="L432">
            <v>0</v>
          </cell>
          <cell r="M432">
            <v>13950</v>
          </cell>
          <cell r="N432">
            <v>0</v>
          </cell>
          <cell r="O432">
            <v>5900</v>
          </cell>
          <cell r="P432">
            <v>0</v>
          </cell>
          <cell r="Q432">
            <v>0</v>
          </cell>
          <cell r="R432">
            <v>13950</v>
          </cell>
          <cell r="S432">
            <v>0</v>
          </cell>
        </row>
        <row r="434">
          <cell r="C434" t="str">
            <v>8700</v>
          </cell>
          <cell r="D434" t="str">
            <v>Water Truck</v>
          </cell>
          <cell r="E434" t="str">
            <v>H</v>
          </cell>
          <cell r="F434" t="str">
            <v>Equipment</v>
          </cell>
          <cell r="G434">
            <v>0</v>
          </cell>
          <cell r="H434">
            <v>0</v>
          </cell>
          <cell r="I434">
            <v>865.71</v>
          </cell>
          <cell r="J434">
            <v>38.68</v>
          </cell>
          <cell r="K434">
            <v>865.71</v>
          </cell>
          <cell r="L434">
            <v>865.71</v>
          </cell>
          <cell r="M434">
            <v>70.180000000000007</v>
          </cell>
          <cell r="N434">
            <v>865.71</v>
          </cell>
          <cell r="O434">
            <v>38.68</v>
          </cell>
          <cell r="P434">
            <v>865.71</v>
          </cell>
          <cell r="Q434">
            <v>865.71</v>
          </cell>
          <cell r="R434">
            <v>42.97</v>
          </cell>
          <cell r="S434">
            <v>865.71</v>
          </cell>
        </row>
        <row r="435">
          <cell r="C435" t="str">
            <v>8701</v>
          </cell>
          <cell r="D435" t="str">
            <v>Dump Truck (6-wheeler)</v>
          </cell>
          <cell r="E435" t="str">
            <v>H</v>
          </cell>
          <cell r="F435" t="str">
            <v>Equipment</v>
          </cell>
          <cell r="G435">
            <v>0</v>
          </cell>
          <cell r="H435">
            <v>0</v>
          </cell>
          <cell r="I435">
            <v>502</v>
          </cell>
          <cell r="J435">
            <v>0</v>
          </cell>
          <cell r="K435">
            <v>502</v>
          </cell>
          <cell r="L435">
            <v>502</v>
          </cell>
          <cell r="M435">
            <v>0</v>
          </cell>
          <cell r="N435">
            <v>502</v>
          </cell>
          <cell r="O435">
            <v>0</v>
          </cell>
          <cell r="P435">
            <v>502</v>
          </cell>
          <cell r="Q435">
            <v>502</v>
          </cell>
          <cell r="R435">
            <v>148</v>
          </cell>
          <cell r="S435">
            <v>502</v>
          </cell>
        </row>
        <row r="436">
          <cell r="C436" t="str">
            <v>8702</v>
          </cell>
          <cell r="D436" t="str">
            <v>2-1/2 T Dump Truck (Baby DT)</v>
          </cell>
          <cell r="E436" t="str">
            <v>H</v>
          </cell>
          <cell r="F436" t="str">
            <v>Equipment</v>
          </cell>
          <cell r="G436">
            <v>0</v>
          </cell>
          <cell r="H436">
            <v>0</v>
          </cell>
          <cell r="I436">
            <v>148</v>
          </cell>
          <cell r="J436">
            <v>0</v>
          </cell>
          <cell r="K436">
            <v>148</v>
          </cell>
          <cell r="L436">
            <v>148</v>
          </cell>
          <cell r="M436">
            <v>0</v>
          </cell>
          <cell r="N436">
            <v>148</v>
          </cell>
          <cell r="O436">
            <v>0</v>
          </cell>
          <cell r="P436">
            <v>148</v>
          </cell>
          <cell r="Q436">
            <v>148</v>
          </cell>
          <cell r="R436">
            <v>0</v>
          </cell>
          <cell r="S436">
            <v>148</v>
          </cell>
        </row>
        <row r="438">
          <cell r="C438" t="str">
            <v>8800</v>
          </cell>
          <cell r="D438" t="str">
            <v>Weighing Scale w Ht Measurement (Adult)</v>
          </cell>
          <cell r="E438" t="str">
            <v>Unit</v>
          </cell>
          <cell r="F438" t="str">
            <v>Equipment</v>
          </cell>
          <cell r="G438">
            <v>0</v>
          </cell>
          <cell r="H438">
            <v>0</v>
          </cell>
          <cell r="I438">
            <v>13950</v>
          </cell>
          <cell r="J438">
            <v>270</v>
          </cell>
          <cell r="K438">
            <v>13950</v>
          </cell>
          <cell r="L438">
            <v>13950</v>
          </cell>
          <cell r="M438">
            <v>5900</v>
          </cell>
          <cell r="N438">
            <v>13950</v>
          </cell>
          <cell r="O438">
            <v>270</v>
          </cell>
          <cell r="P438">
            <v>13950</v>
          </cell>
          <cell r="Q438">
            <v>13950</v>
          </cell>
          <cell r="R438">
            <v>5900</v>
          </cell>
          <cell r="S438">
            <v>13950</v>
          </cell>
        </row>
        <row r="439">
          <cell r="C439" t="str">
            <v>8801</v>
          </cell>
          <cell r="D439" t="str">
            <v>Weighing Scale (Newborn)</v>
          </cell>
          <cell r="E439" t="str">
            <v>Unit</v>
          </cell>
          <cell r="F439" t="str">
            <v>Equipment</v>
          </cell>
          <cell r="G439">
            <v>0</v>
          </cell>
          <cell r="H439">
            <v>0</v>
          </cell>
          <cell r="I439">
            <v>5900</v>
          </cell>
          <cell r="J439">
            <v>6000</v>
          </cell>
          <cell r="K439">
            <v>5900</v>
          </cell>
          <cell r="L439">
            <v>5900</v>
          </cell>
          <cell r="M439">
            <v>270</v>
          </cell>
          <cell r="N439">
            <v>5900</v>
          </cell>
          <cell r="O439">
            <v>6000</v>
          </cell>
          <cell r="P439">
            <v>5900</v>
          </cell>
          <cell r="Q439">
            <v>5900</v>
          </cell>
          <cell r="R439">
            <v>270</v>
          </cell>
          <cell r="S439">
            <v>5900</v>
          </cell>
        </row>
        <row r="440">
          <cell r="C440" t="str">
            <v>8802</v>
          </cell>
          <cell r="D440" t="str">
            <v>Stethoscope</v>
          </cell>
          <cell r="E440" t="str">
            <v>Unit</v>
          </cell>
          <cell r="F440" t="str">
            <v>Equipment</v>
          </cell>
          <cell r="G440">
            <v>0</v>
          </cell>
          <cell r="H440">
            <v>0</v>
          </cell>
          <cell r="I440">
            <v>270</v>
          </cell>
          <cell r="J440">
            <v>1000</v>
          </cell>
          <cell r="K440">
            <v>270</v>
          </cell>
          <cell r="L440">
            <v>270</v>
          </cell>
          <cell r="M440">
            <v>6000</v>
          </cell>
          <cell r="N440">
            <v>270</v>
          </cell>
          <cell r="O440">
            <v>1000</v>
          </cell>
          <cell r="P440">
            <v>270</v>
          </cell>
          <cell r="Q440">
            <v>270</v>
          </cell>
          <cell r="R440">
            <v>6000</v>
          </cell>
          <cell r="S440">
            <v>270</v>
          </cell>
        </row>
        <row r="441">
          <cell r="C441" t="str">
            <v>8803</v>
          </cell>
          <cell r="D441" t="str">
            <v>Medical Trolley w/glass container</v>
          </cell>
          <cell r="E441" t="str">
            <v>Unit</v>
          </cell>
          <cell r="F441" t="str">
            <v>Equipment</v>
          </cell>
          <cell r="G441">
            <v>0</v>
          </cell>
          <cell r="H441">
            <v>0</v>
          </cell>
          <cell r="I441">
            <v>6000</v>
          </cell>
          <cell r="J441">
            <v>15</v>
          </cell>
          <cell r="K441">
            <v>6000</v>
          </cell>
          <cell r="L441">
            <v>6000</v>
          </cell>
          <cell r="M441">
            <v>1000</v>
          </cell>
          <cell r="N441">
            <v>6000</v>
          </cell>
          <cell r="O441">
            <v>15</v>
          </cell>
          <cell r="P441">
            <v>6000</v>
          </cell>
          <cell r="Q441">
            <v>6000</v>
          </cell>
          <cell r="R441">
            <v>1000</v>
          </cell>
          <cell r="S441">
            <v>6000</v>
          </cell>
        </row>
        <row r="442">
          <cell r="C442" t="str">
            <v>8804</v>
          </cell>
          <cell r="D442" t="str">
            <v>Sphygmomanometer (Mercury)</v>
          </cell>
          <cell r="E442" t="str">
            <v>Unit</v>
          </cell>
          <cell r="F442" t="str">
            <v>Equipment</v>
          </cell>
          <cell r="G442">
            <v>0</v>
          </cell>
          <cell r="H442">
            <v>0</v>
          </cell>
          <cell r="I442">
            <v>1000</v>
          </cell>
          <cell r="J442">
            <v>65</v>
          </cell>
          <cell r="K442">
            <v>1000</v>
          </cell>
          <cell r="L442">
            <v>1000</v>
          </cell>
          <cell r="M442">
            <v>15</v>
          </cell>
          <cell r="N442">
            <v>1000</v>
          </cell>
          <cell r="O442">
            <v>65</v>
          </cell>
          <cell r="P442">
            <v>1000</v>
          </cell>
          <cell r="Q442">
            <v>1000</v>
          </cell>
          <cell r="R442">
            <v>15</v>
          </cell>
          <cell r="S442">
            <v>1000</v>
          </cell>
        </row>
        <row r="443">
          <cell r="C443" t="str">
            <v>8805</v>
          </cell>
          <cell r="D443" t="str">
            <v>Thermometer</v>
          </cell>
          <cell r="E443" t="str">
            <v>Unit</v>
          </cell>
          <cell r="F443" t="str">
            <v>Equipment</v>
          </cell>
          <cell r="G443">
            <v>0</v>
          </cell>
          <cell r="H443">
            <v>0</v>
          </cell>
          <cell r="I443">
            <v>15</v>
          </cell>
          <cell r="J443">
            <v>65</v>
          </cell>
          <cell r="K443">
            <v>15</v>
          </cell>
          <cell r="L443">
            <v>15</v>
          </cell>
          <cell r="M443">
            <v>65</v>
          </cell>
          <cell r="N443">
            <v>15</v>
          </cell>
          <cell r="O443">
            <v>65</v>
          </cell>
          <cell r="P443">
            <v>15</v>
          </cell>
          <cell r="Q443">
            <v>15</v>
          </cell>
          <cell r="R443">
            <v>65</v>
          </cell>
          <cell r="S443">
            <v>15</v>
          </cell>
        </row>
        <row r="444">
          <cell r="C444" t="str">
            <v>8806</v>
          </cell>
          <cell r="D444" t="str">
            <v>Scissors (Surgical)</v>
          </cell>
          <cell r="E444" t="str">
            <v>Unit</v>
          </cell>
          <cell r="F444" t="str">
            <v>Equipment</v>
          </cell>
          <cell r="G444">
            <v>0</v>
          </cell>
          <cell r="H444">
            <v>0</v>
          </cell>
          <cell r="I444">
            <v>65</v>
          </cell>
          <cell r="J444">
            <v>65</v>
          </cell>
          <cell r="K444">
            <v>65</v>
          </cell>
          <cell r="L444">
            <v>65</v>
          </cell>
          <cell r="M444">
            <v>65</v>
          </cell>
          <cell r="N444">
            <v>65</v>
          </cell>
          <cell r="O444">
            <v>65</v>
          </cell>
          <cell r="P444">
            <v>65</v>
          </cell>
          <cell r="Q444">
            <v>65</v>
          </cell>
          <cell r="R444">
            <v>65</v>
          </cell>
          <cell r="S444">
            <v>65</v>
          </cell>
        </row>
        <row r="445">
          <cell r="C445" t="str">
            <v>8807</v>
          </cell>
          <cell r="D445" t="str">
            <v>Scissors (Bandage)</v>
          </cell>
          <cell r="E445" t="str">
            <v>Unit</v>
          </cell>
          <cell r="F445" t="str">
            <v>Equipment</v>
          </cell>
          <cell r="G445">
            <v>0</v>
          </cell>
          <cell r="H445">
            <v>0</v>
          </cell>
          <cell r="I445">
            <v>65</v>
          </cell>
          <cell r="J445">
            <v>65</v>
          </cell>
          <cell r="K445">
            <v>65</v>
          </cell>
          <cell r="L445">
            <v>65</v>
          </cell>
          <cell r="M445">
            <v>65</v>
          </cell>
          <cell r="N445">
            <v>65</v>
          </cell>
          <cell r="O445">
            <v>65</v>
          </cell>
          <cell r="P445">
            <v>65</v>
          </cell>
          <cell r="Q445">
            <v>65</v>
          </cell>
          <cell r="R445">
            <v>65</v>
          </cell>
          <cell r="S445">
            <v>65</v>
          </cell>
        </row>
        <row r="446">
          <cell r="C446" t="str">
            <v>8808</v>
          </cell>
          <cell r="D446" t="str">
            <v>Forceps (Curve)</v>
          </cell>
          <cell r="E446" t="str">
            <v>Unit</v>
          </cell>
          <cell r="F446" t="str">
            <v>Equipment</v>
          </cell>
          <cell r="G446">
            <v>0</v>
          </cell>
          <cell r="H446">
            <v>0</v>
          </cell>
          <cell r="I446">
            <v>65</v>
          </cell>
          <cell r="J446">
            <v>200</v>
          </cell>
          <cell r="K446">
            <v>65</v>
          </cell>
          <cell r="L446">
            <v>65</v>
          </cell>
          <cell r="M446">
            <v>65</v>
          </cell>
          <cell r="N446">
            <v>65</v>
          </cell>
          <cell r="O446">
            <v>200</v>
          </cell>
          <cell r="P446">
            <v>65</v>
          </cell>
          <cell r="Q446">
            <v>65</v>
          </cell>
          <cell r="R446">
            <v>65</v>
          </cell>
          <cell r="S446">
            <v>65</v>
          </cell>
        </row>
        <row r="447">
          <cell r="C447" t="str">
            <v>8809</v>
          </cell>
          <cell r="D447" t="str">
            <v>Forceps (Straight)</v>
          </cell>
          <cell r="E447" t="str">
            <v>Unit</v>
          </cell>
          <cell r="F447" t="str">
            <v>Equipment</v>
          </cell>
          <cell r="G447">
            <v>0</v>
          </cell>
          <cell r="H447">
            <v>0</v>
          </cell>
          <cell r="I447">
            <v>65</v>
          </cell>
          <cell r="J447">
            <v>315</v>
          </cell>
          <cell r="K447">
            <v>65</v>
          </cell>
          <cell r="L447">
            <v>65</v>
          </cell>
          <cell r="M447">
            <v>200</v>
          </cell>
          <cell r="N447">
            <v>65</v>
          </cell>
          <cell r="O447">
            <v>315</v>
          </cell>
          <cell r="P447">
            <v>65</v>
          </cell>
          <cell r="Q447">
            <v>65</v>
          </cell>
          <cell r="R447">
            <v>200</v>
          </cell>
          <cell r="S447">
            <v>65</v>
          </cell>
        </row>
        <row r="448">
          <cell r="C448" t="str">
            <v>8810</v>
          </cell>
          <cell r="D448" t="str">
            <v>Kidney Basin (Stainless)</v>
          </cell>
          <cell r="E448" t="str">
            <v>Unit</v>
          </cell>
          <cell r="F448" t="str">
            <v>Equipment</v>
          </cell>
          <cell r="G448">
            <v>0</v>
          </cell>
          <cell r="H448">
            <v>0</v>
          </cell>
          <cell r="I448">
            <v>200</v>
          </cell>
          <cell r="J448">
            <v>105</v>
          </cell>
          <cell r="K448">
            <v>200</v>
          </cell>
          <cell r="L448">
            <v>200</v>
          </cell>
          <cell r="M448">
            <v>315</v>
          </cell>
          <cell r="N448">
            <v>200</v>
          </cell>
          <cell r="O448">
            <v>105</v>
          </cell>
          <cell r="P448">
            <v>200</v>
          </cell>
          <cell r="Q448">
            <v>200</v>
          </cell>
          <cell r="R448">
            <v>315</v>
          </cell>
          <cell r="S448">
            <v>200</v>
          </cell>
        </row>
        <row r="449">
          <cell r="C449" t="str">
            <v>8811</v>
          </cell>
          <cell r="D449" t="str">
            <v>Bed Pan (Metal)</v>
          </cell>
          <cell r="E449" t="str">
            <v>Unit</v>
          </cell>
          <cell r="F449" t="str">
            <v>Equipment</v>
          </cell>
          <cell r="G449">
            <v>0</v>
          </cell>
          <cell r="H449">
            <v>0</v>
          </cell>
          <cell r="I449">
            <v>315</v>
          </cell>
          <cell r="J449">
            <v>6500</v>
          </cell>
          <cell r="K449">
            <v>315</v>
          </cell>
          <cell r="L449">
            <v>315</v>
          </cell>
          <cell r="M449">
            <v>105</v>
          </cell>
          <cell r="N449">
            <v>315</v>
          </cell>
          <cell r="O449">
            <v>6500</v>
          </cell>
          <cell r="P449">
            <v>315</v>
          </cell>
          <cell r="Q449">
            <v>315</v>
          </cell>
          <cell r="R449">
            <v>105</v>
          </cell>
          <cell r="S449">
            <v>315</v>
          </cell>
        </row>
        <row r="450">
          <cell r="C450" t="str">
            <v>8812</v>
          </cell>
          <cell r="D450" t="str">
            <v>Male Urinal</v>
          </cell>
          <cell r="E450" t="str">
            <v>Unit</v>
          </cell>
          <cell r="F450" t="str">
            <v>Equipment</v>
          </cell>
          <cell r="G450">
            <v>0</v>
          </cell>
          <cell r="H450">
            <v>0</v>
          </cell>
          <cell r="I450">
            <v>105</v>
          </cell>
          <cell r="J450">
            <v>95</v>
          </cell>
          <cell r="K450">
            <v>105</v>
          </cell>
          <cell r="L450">
            <v>105</v>
          </cell>
          <cell r="M450">
            <v>6500</v>
          </cell>
          <cell r="N450">
            <v>105</v>
          </cell>
          <cell r="O450">
            <v>95</v>
          </cell>
          <cell r="P450">
            <v>105</v>
          </cell>
          <cell r="Q450">
            <v>105</v>
          </cell>
          <cell r="R450">
            <v>6500</v>
          </cell>
          <cell r="S450">
            <v>105</v>
          </cell>
        </row>
        <row r="451">
          <cell r="C451" t="str">
            <v>8813</v>
          </cell>
          <cell r="D451" t="str">
            <v>O.B. Bed with Stirrups</v>
          </cell>
          <cell r="E451" t="str">
            <v>Unit</v>
          </cell>
          <cell r="F451" t="str">
            <v>Equipment</v>
          </cell>
          <cell r="G451">
            <v>0</v>
          </cell>
          <cell r="H451">
            <v>0</v>
          </cell>
          <cell r="I451">
            <v>6500</v>
          </cell>
          <cell r="J451">
            <v>3500</v>
          </cell>
          <cell r="K451">
            <v>6500</v>
          </cell>
          <cell r="L451">
            <v>6500</v>
          </cell>
          <cell r="M451">
            <v>95</v>
          </cell>
          <cell r="N451">
            <v>6500</v>
          </cell>
          <cell r="O451">
            <v>3500</v>
          </cell>
          <cell r="P451">
            <v>6500</v>
          </cell>
          <cell r="Q451">
            <v>6500</v>
          </cell>
          <cell r="R451">
            <v>95</v>
          </cell>
          <cell r="S451">
            <v>6500</v>
          </cell>
        </row>
        <row r="452">
          <cell r="C452" t="str">
            <v>8814</v>
          </cell>
          <cell r="D452" t="str">
            <v>Hot Water Bag</v>
          </cell>
          <cell r="E452" t="str">
            <v>Unit</v>
          </cell>
          <cell r="F452" t="str">
            <v>Equipment</v>
          </cell>
          <cell r="G452">
            <v>0</v>
          </cell>
          <cell r="H452">
            <v>0</v>
          </cell>
          <cell r="I452">
            <v>95</v>
          </cell>
          <cell r="J452">
            <v>6000</v>
          </cell>
          <cell r="K452">
            <v>95</v>
          </cell>
          <cell r="L452">
            <v>95</v>
          </cell>
          <cell r="M452">
            <v>3500</v>
          </cell>
          <cell r="N452">
            <v>95</v>
          </cell>
          <cell r="O452">
            <v>6000</v>
          </cell>
          <cell r="P452">
            <v>95</v>
          </cell>
          <cell r="Q452">
            <v>95</v>
          </cell>
          <cell r="R452">
            <v>3500</v>
          </cell>
          <cell r="S452">
            <v>95</v>
          </cell>
        </row>
        <row r="454">
          <cell r="C454" t="str">
            <v>9000</v>
          </cell>
          <cell r="D454" t="str">
            <v>Monoblock Plastic Amrchar</v>
          </cell>
          <cell r="E454" t="str">
            <v>Unit</v>
          </cell>
          <cell r="F454" t="str">
            <v>Material</v>
          </cell>
          <cell r="G454">
            <v>0</v>
          </cell>
          <cell r="H454">
            <v>0</v>
          </cell>
          <cell r="I454">
            <v>680</v>
          </cell>
          <cell r="J454">
            <v>2200</v>
          </cell>
          <cell r="K454">
            <v>680</v>
          </cell>
          <cell r="L454">
            <v>300</v>
          </cell>
          <cell r="M454">
            <v>300</v>
          </cell>
          <cell r="N454">
            <v>680</v>
          </cell>
          <cell r="O454">
            <v>2200</v>
          </cell>
          <cell r="P454">
            <v>680</v>
          </cell>
          <cell r="Q454">
            <v>680</v>
          </cell>
          <cell r="R454">
            <v>300</v>
          </cell>
          <cell r="S454">
            <v>680</v>
          </cell>
        </row>
        <row r="455">
          <cell r="C455" t="str">
            <v>9001</v>
          </cell>
          <cell r="D455" t="str">
            <v>Wooden Chair</v>
          </cell>
          <cell r="E455" t="str">
            <v>Unit</v>
          </cell>
          <cell r="F455" t="str">
            <v>Material</v>
          </cell>
          <cell r="G455">
            <v>0</v>
          </cell>
          <cell r="H455">
            <v>0</v>
          </cell>
          <cell r="I455">
            <v>300</v>
          </cell>
          <cell r="J455">
            <v>800</v>
          </cell>
          <cell r="K455">
            <v>300</v>
          </cell>
          <cell r="L455">
            <v>2200</v>
          </cell>
          <cell r="M455">
            <v>2200</v>
          </cell>
          <cell r="N455">
            <v>300</v>
          </cell>
          <cell r="O455">
            <v>800</v>
          </cell>
          <cell r="P455">
            <v>300</v>
          </cell>
          <cell r="Q455">
            <v>300</v>
          </cell>
          <cell r="R455">
            <v>2200</v>
          </cell>
          <cell r="S455">
            <v>300</v>
          </cell>
        </row>
        <row r="456">
          <cell r="C456" t="str">
            <v>9002</v>
          </cell>
          <cell r="D456" t="str">
            <v>Wooden Table</v>
          </cell>
          <cell r="E456" t="str">
            <v>Unit</v>
          </cell>
          <cell r="F456" t="str">
            <v>Material</v>
          </cell>
          <cell r="G456">
            <v>0</v>
          </cell>
          <cell r="H456">
            <v>0</v>
          </cell>
          <cell r="I456">
            <v>2200</v>
          </cell>
          <cell r="J456">
            <v>21.87</v>
          </cell>
          <cell r="K456">
            <v>2200</v>
          </cell>
          <cell r="L456">
            <v>800</v>
          </cell>
          <cell r="M456">
            <v>800</v>
          </cell>
          <cell r="N456">
            <v>2200</v>
          </cell>
          <cell r="O456">
            <v>21.87</v>
          </cell>
          <cell r="P456">
            <v>2200</v>
          </cell>
          <cell r="Q456">
            <v>2200</v>
          </cell>
          <cell r="R456">
            <v>800</v>
          </cell>
          <cell r="S456">
            <v>2200</v>
          </cell>
        </row>
        <row r="457">
          <cell r="C457" t="str">
            <v>9003</v>
          </cell>
          <cell r="D457" t="str">
            <v>Wallmounted Blackboard</v>
          </cell>
          <cell r="E457" t="str">
            <v>Unit</v>
          </cell>
          <cell r="F457" t="str">
            <v>Material</v>
          </cell>
          <cell r="G457">
            <v>0</v>
          </cell>
          <cell r="H457">
            <v>0</v>
          </cell>
          <cell r="I457">
            <v>800</v>
          </cell>
          <cell r="J457">
            <v>16.899999999999999</v>
          </cell>
          <cell r="K457">
            <v>800</v>
          </cell>
          <cell r="L457">
            <v>18.13</v>
          </cell>
          <cell r="M457">
            <v>21.87</v>
          </cell>
          <cell r="N457">
            <v>800</v>
          </cell>
          <cell r="O457">
            <v>16.88</v>
          </cell>
          <cell r="P457">
            <v>800</v>
          </cell>
          <cell r="Q457">
            <v>800</v>
          </cell>
          <cell r="R457">
            <v>21.87</v>
          </cell>
          <cell r="S457">
            <v>800</v>
          </cell>
        </row>
        <row r="459">
          <cell r="C459" t="str">
            <v>9100</v>
          </cell>
          <cell r="D459" t="str">
            <v>Sewing Machine</v>
          </cell>
          <cell r="E459" t="str">
            <v>Unit</v>
          </cell>
          <cell r="F459" t="str">
            <v>Equipment</v>
          </cell>
          <cell r="G459">
            <v>0</v>
          </cell>
          <cell r="H459">
            <v>0</v>
          </cell>
          <cell r="I459">
            <v>3500</v>
          </cell>
          <cell r="J459">
            <v>1200</v>
          </cell>
          <cell r="K459">
            <v>3500</v>
          </cell>
          <cell r="L459">
            <v>3500</v>
          </cell>
          <cell r="M459">
            <v>6000</v>
          </cell>
          <cell r="N459">
            <v>3500</v>
          </cell>
          <cell r="O459">
            <v>1200</v>
          </cell>
          <cell r="P459">
            <v>3500</v>
          </cell>
          <cell r="Q459">
            <v>3500</v>
          </cell>
          <cell r="R459">
            <v>6000</v>
          </cell>
          <cell r="S459">
            <v>3500</v>
          </cell>
        </row>
        <row r="460">
          <cell r="C460" t="str">
            <v>9101</v>
          </cell>
          <cell r="D460" t="str">
            <v>Tailor's Scissor, 8"</v>
          </cell>
          <cell r="E460" t="str">
            <v>Unit</v>
          </cell>
          <cell r="F460" t="str">
            <v>Equipment</v>
          </cell>
          <cell r="G460">
            <v>0</v>
          </cell>
          <cell r="H460">
            <v>0</v>
          </cell>
          <cell r="I460">
            <v>450</v>
          </cell>
          <cell r="J460">
            <v>450</v>
          </cell>
          <cell r="K460">
            <v>450</v>
          </cell>
          <cell r="L460">
            <v>450</v>
          </cell>
          <cell r="M460">
            <v>450</v>
          </cell>
          <cell r="N460">
            <v>450</v>
          </cell>
          <cell r="O460">
            <v>450</v>
          </cell>
          <cell r="P460">
            <v>450</v>
          </cell>
          <cell r="Q460">
            <v>450</v>
          </cell>
          <cell r="R460">
            <v>450</v>
          </cell>
          <cell r="S460">
            <v>450</v>
          </cell>
        </row>
        <row r="461">
          <cell r="C461" t="str">
            <v>9102</v>
          </cell>
          <cell r="D461" t="str">
            <v>Refrigerator 5 cu.ft.</v>
          </cell>
          <cell r="E461" t="str">
            <v>Unit</v>
          </cell>
          <cell r="F461" t="str">
            <v>Equipment</v>
          </cell>
          <cell r="G461">
            <v>0</v>
          </cell>
          <cell r="H461">
            <v>0</v>
          </cell>
          <cell r="I461">
            <v>6000</v>
          </cell>
          <cell r="J461">
            <v>1300</v>
          </cell>
          <cell r="K461">
            <v>6000</v>
          </cell>
          <cell r="L461">
            <v>6000</v>
          </cell>
          <cell r="M461">
            <v>1200</v>
          </cell>
          <cell r="N461">
            <v>6000</v>
          </cell>
          <cell r="O461">
            <v>1300</v>
          </cell>
          <cell r="P461">
            <v>6000</v>
          </cell>
          <cell r="Q461">
            <v>6000</v>
          </cell>
          <cell r="R461">
            <v>1200</v>
          </cell>
          <cell r="S461">
            <v>6000</v>
          </cell>
        </row>
        <row r="462">
          <cell r="C462" t="str">
            <v>9103</v>
          </cell>
          <cell r="D462" t="str">
            <v>2-Burner Gas Stove</v>
          </cell>
          <cell r="E462" t="str">
            <v>Unit</v>
          </cell>
          <cell r="F462" t="str">
            <v>Equipment</v>
          </cell>
          <cell r="G462">
            <v>0</v>
          </cell>
          <cell r="H462">
            <v>0</v>
          </cell>
          <cell r="I462">
            <v>1200</v>
          </cell>
          <cell r="J462">
            <v>1200</v>
          </cell>
          <cell r="K462">
            <v>1200</v>
          </cell>
          <cell r="L462">
            <v>1200</v>
          </cell>
          <cell r="M462">
            <v>1200</v>
          </cell>
          <cell r="N462">
            <v>1200</v>
          </cell>
          <cell r="O462">
            <v>1200</v>
          </cell>
          <cell r="P462">
            <v>1200</v>
          </cell>
          <cell r="Q462">
            <v>1200</v>
          </cell>
          <cell r="R462">
            <v>1200</v>
          </cell>
          <cell r="S462">
            <v>1200</v>
          </cell>
        </row>
        <row r="463">
          <cell r="C463" t="str">
            <v>9104</v>
          </cell>
          <cell r="D463" t="str">
            <v>25 Kg LPG Tank</v>
          </cell>
          <cell r="E463" t="str">
            <v>Unit</v>
          </cell>
          <cell r="F463" t="str">
            <v>Equipment</v>
          </cell>
          <cell r="G463">
            <v>0</v>
          </cell>
          <cell r="H463">
            <v>0</v>
          </cell>
          <cell r="I463">
            <v>1300</v>
          </cell>
          <cell r="J463">
            <v>1300</v>
          </cell>
          <cell r="K463">
            <v>1300</v>
          </cell>
          <cell r="L463">
            <v>1300</v>
          </cell>
          <cell r="M463">
            <v>1300</v>
          </cell>
          <cell r="N463">
            <v>1300</v>
          </cell>
          <cell r="O463">
            <v>1300</v>
          </cell>
          <cell r="P463">
            <v>1300</v>
          </cell>
          <cell r="Q463">
            <v>1300</v>
          </cell>
          <cell r="R463">
            <v>1300</v>
          </cell>
          <cell r="S463">
            <v>1300</v>
          </cell>
        </row>
        <row r="464">
          <cell r="C464" t="str">
            <v>9105</v>
          </cell>
          <cell r="D464" t="str">
            <v>LPG hose and regulator</v>
          </cell>
          <cell r="E464" t="str">
            <v>Unit</v>
          </cell>
          <cell r="F464" t="str">
            <v>Equipment</v>
          </cell>
          <cell r="G464">
            <v>0</v>
          </cell>
          <cell r="H464">
            <v>0</v>
          </cell>
          <cell r="I464">
            <v>300</v>
          </cell>
          <cell r="J464">
            <v>300</v>
          </cell>
          <cell r="K464">
            <v>300</v>
          </cell>
          <cell r="L464">
            <v>300</v>
          </cell>
          <cell r="M464">
            <v>300</v>
          </cell>
          <cell r="N464">
            <v>300</v>
          </cell>
          <cell r="O464">
            <v>300</v>
          </cell>
          <cell r="P464">
            <v>300</v>
          </cell>
          <cell r="Q464">
            <v>300</v>
          </cell>
          <cell r="R464">
            <v>300</v>
          </cell>
          <cell r="S464">
            <v>300</v>
          </cell>
        </row>
        <row r="466">
          <cell r="C466" t="str">
            <v>9200</v>
          </cell>
          <cell r="D466" t="str">
            <v>Used Oil</v>
          </cell>
          <cell r="E466" t="str">
            <v>Gal</v>
          </cell>
          <cell r="F466" t="str">
            <v>Material</v>
          </cell>
          <cell r="G466">
            <v>0</v>
          </cell>
          <cell r="H466">
            <v>7.0000000000000001E-3</v>
          </cell>
          <cell r="I466">
            <v>20</v>
          </cell>
          <cell r="J466">
            <v>60</v>
          </cell>
          <cell r="K466">
            <v>20</v>
          </cell>
          <cell r="L466">
            <v>20</v>
          </cell>
          <cell r="M466">
            <v>500</v>
          </cell>
          <cell r="N466">
            <v>20</v>
          </cell>
          <cell r="O466">
            <v>60</v>
          </cell>
          <cell r="P466">
            <v>20</v>
          </cell>
          <cell r="Q466">
            <v>20</v>
          </cell>
          <cell r="R466">
            <v>500</v>
          </cell>
          <cell r="S466">
            <v>20</v>
          </cell>
        </row>
        <row r="467">
          <cell r="C467" t="str">
            <v>9201</v>
          </cell>
          <cell r="D467" t="str">
            <v>Oil, No. 110</v>
          </cell>
          <cell r="E467" t="str">
            <v>qrtz</v>
          </cell>
          <cell r="F467" t="str">
            <v>Material</v>
          </cell>
          <cell r="G467">
            <v>0.25</v>
          </cell>
          <cell r="H467">
            <v>0</v>
          </cell>
          <cell r="I467">
            <v>60</v>
          </cell>
          <cell r="J467">
            <v>30</v>
          </cell>
          <cell r="K467">
            <v>60</v>
          </cell>
          <cell r="L467">
            <v>60</v>
          </cell>
          <cell r="M467">
            <v>100</v>
          </cell>
          <cell r="N467">
            <v>60</v>
          </cell>
          <cell r="O467">
            <v>30</v>
          </cell>
          <cell r="P467">
            <v>60</v>
          </cell>
          <cell r="Q467">
            <v>60</v>
          </cell>
          <cell r="R467">
            <v>100</v>
          </cell>
          <cell r="S467">
            <v>60</v>
          </cell>
        </row>
        <row r="469">
          <cell r="C469" t="str">
            <v>9250</v>
          </cell>
          <cell r="D469" t="str">
            <v>Tension Rod</v>
          </cell>
          <cell r="E469" t="str">
            <v>Kg</v>
          </cell>
          <cell r="F469" t="str">
            <v>Material</v>
          </cell>
          <cell r="G469">
            <v>1</v>
          </cell>
          <cell r="H469">
            <v>0</v>
          </cell>
          <cell r="I469">
            <v>20</v>
          </cell>
          <cell r="J469">
            <v>20</v>
          </cell>
          <cell r="K469">
            <v>20</v>
          </cell>
          <cell r="L469">
            <v>20</v>
          </cell>
          <cell r="M469">
            <v>20</v>
          </cell>
          <cell r="N469">
            <v>20</v>
          </cell>
          <cell r="O469">
            <v>30</v>
          </cell>
          <cell r="P469">
            <v>20</v>
          </cell>
          <cell r="Q469">
            <v>20</v>
          </cell>
          <cell r="R469">
            <v>20</v>
          </cell>
          <cell r="S469">
            <v>20</v>
          </cell>
        </row>
        <row r="470">
          <cell r="C470" t="str">
            <v>9251</v>
          </cell>
          <cell r="D470" t="str">
            <v>Steel Plate Cover 0.65 X 0.65 m</v>
          </cell>
          <cell r="E470" t="str">
            <v>pc</v>
          </cell>
          <cell r="F470" t="str">
            <v>Material</v>
          </cell>
          <cell r="G470">
            <v>2</v>
          </cell>
          <cell r="H470">
            <v>0</v>
          </cell>
          <cell r="I470">
            <v>300</v>
          </cell>
          <cell r="J470">
            <v>300</v>
          </cell>
          <cell r="K470">
            <v>300</v>
          </cell>
          <cell r="L470">
            <v>300</v>
          </cell>
          <cell r="M470">
            <v>300</v>
          </cell>
          <cell r="N470">
            <v>300</v>
          </cell>
          <cell r="O470">
            <v>300</v>
          </cell>
          <cell r="P470">
            <v>300</v>
          </cell>
          <cell r="Q470">
            <v>300</v>
          </cell>
          <cell r="R470">
            <v>300</v>
          </cell>
          <cell r="S470">
            <v>300</v>
          </cell>
        </row>
        <row r="471">
          <cell r="C471" t="str">
            <v>9252</v>
          </cell>
          <cell r="D471" t="str">
            <v>Window Grill, Steel</v>
          </cell>
          <cell r="E471" t="str">
            <v>sq.m.</v>
          </cell>
          <cell r="F471" t="str">
            <v>Material</v>
          </cell>
          <cell r="G471">
            <v>2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C472" t="str">
            <v>9253</v>
          </cell>
          <cell r="D472" t="str">
            <v xml:space="preserve">Shop-made Door Lock, 5/8" Plain Bar </v>
          </cell>
          <cell r="E472" t="str">
            <v>pc</v>
          </cell>
          <cell r="F472" t="str">
            <v>Material</v>
          </cell>
          <cell r="G472">
            <v>1</v>
          </cell>
          <cell r="H472">
            <v>0</v>
          </cell>
          <cell r="I472">
            <v>600</v>
          </cell>
          <cell r="J472">
            <v>600</v>
          </cell>
          <cell r="K472">
            <v>600</v>
          </cell>
          <cell r="L472">
            <v>600</v>
          </cell>
          <cell r="M472">
            <v>600</v>
          </cell>
          <cell r="N472">
            <v>600</v>
          </cell>
          <cell r="O472">
            <v>600</v>
          </cell>
          <cell r="P472">
            <v>600</v>
          </cell>
          <cell r="Q472">
            <v>600</v>
          </cell>
          <cell r="R472">
            <v>600</v>
          </cell>
          <cell r="S472">
            <v>600</v>
          </cell>
        </row>
        <row r="473">
          <cell r="C473" t="str">
            <v>9254</v>
          </cell>
          <cell r="D473" t="str">
            <v>Fabricated Clamp, 5mm thk x 3"</v>
          </cell>
          <cell r="E473" t="str">
            <v>pc</v>
          </cell>
          <cell r="F473" t="str">
            <v>Material</v>
          </cell>
          <cell r="G473">
            <v>0.5</v>
          </cell>
          <cell r="H473">
            <v>0</v>
          </cell>
          <cell r="I473">
            <v>100</v>
          </cell>
          <cell r="J473">
            <v>100</v>
          </cell>
          <cell r="K473">
            <v>100</v>
          </cell>
          <cell r="L473">
            <v>100</v>
          </cell>
          <cell r="M473">
            <v>100</v>
          </cell>
          <cell r="N473">
            <v>100</v>
          </cell>
          <cell r="O473">
            <v>100</v>
          </cell>
          <cell r="P473">
            <v>100</v>
          </cell>
          <cell r="Q473">
            <v>100</v>
          </cell>
          <cell r="R473">
            <v>100</v>
          </cell>
          <cell r="S473">
            <v>100</v>
          </cell>
        </row>
        <row r="474">
          <cell r="C474" t="str">
            <v>9255</v>
          </cell>
          <cell r="D474" t="str">
            <v>Used Tires</v>
          </cell>
          <cell r="E474" t="str">
            <v>pc</v>
          </cell>
          <cell r="F474" t="str">
            <v>Material</v>
          </cell>
          <cell r="G474">
            <v>0</v>
          </cell>
          <cell r="H474">
            <v>2.8000000000000001E-2</v>
          </cell>
          <cell r="I474">
            <v>500</v>
          </cell>
          <cell r="J474">
            <v>100</v>
          </cell>
          <cell r="K474">
            <v>500</v>
          </cell>
          <cell r="L474">
            <v>500</v>
          </cell>
          <cell r="M474">
            <v>60</v>
          </cell>
          <cell r="N474">
            <v>500</v>
          </cell>
          <cell r="O474">
            <v>100</v>
          </cell>
          <cell r="P474">
            <v>500</v>
          </cell>
          <cell r="Q474">
            <v>500</v>
          </cell>
          <cell r="R474">
            <v>60</v>
          </cell>
          <cell r="S474">
            <v>500</v>
          </cell>
        </row>
        <row r="476">
          <cell r="C476" t="str">
            <v>9500</v>
          </cell>
          <cell r="D476" t="str">
            <v>Oxygen</v>
          </cell>
          <cell r="E476" t="str">
            <v>Tank</v>
          </cell>
          <cell r="F476" t="str">
            <v>Material</v>
          </cell>
          <cell r="G476">
            <v>25</v>
          </cell>
          <cell r="H476">
            <v>0</v>
          </cell>
          <cell r="I476">
            <v>300</v>
          </cell>
          <cell r="J476">
            <v>300</v>
          </cell>
          <cell r="K476">
            <v>300</v>
          </cell>
          <cell r="L476">
            <v>300</v>
          </cell>
          <cell r="M476">
            <v>300</v>
          </cell>
          <cell r="N476">
            <v>300</v>
          </cell>
          <cell r="O476">
            <v>300</v>
          </cell>
          <cell r="P476">
            <v>300</v>
          </cell>
          <cell r="Q476">
            <v>300</v>
          </cell>
          <cell r="R476">
            <v>300</v>
          </cell>
          <cell r="S476">
            <v>300</v>
          </cell>
        </row>
        <row r="477">
          <cell r="C477" t="str">
            <v>9501</v>
          </cell>
          <cell r="D477" t="str">
            <v>Acetylene</v>
          </cell>
          <cell r="E477" t="str">
            <v>Tank</v>
          </cell>
          <cell r="F477" t="str">
            <v>Material</v>
          </cell>
          <cell r="G477">
            <v>25</v>
          </cell>
          <cell r="H477">
            <v>0</v>
          </cell>
          <cell r="I477">
            <v>700</v>
          </cell>
          <cell r="J477">
            <v>700</v>
          </cell>
          <cell r="K477">
            <v>700</v>
          </cell>
          <cell r="L477">
            <v>700</v>
          </cell>
          <cell r="M477">
            <v>700</v>
          </cell>
          <cell r="N477">
            <v>700</v>
          </cell>
          <cell r="O477">
            <v>700</v>
          </cell>
          <cell r="P477">
            <v>700</v>
          </cell>
          <cell r="Q477">
            <v>700</v>
          </cell>
          <cell r="R477">
            <v>700</v>
          </cell>
          <cell r="S477">
            <v>700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C2">
            <v>0</v>
          </cell>
        </row>
      </sheetData>
      <sheetData sheetId="16">
        <row r="2">
          <cell r="C2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Center"/>
      <sheetName val="Project List"/>
      <sheetName val="Extracted Information"/>
      <sheetName val="Data"/>
      <sheetName val="Numbers"/>
      <sheetName val="Materials"/>
      <sheetName val="Manpower"/>
      <sheetName val="Transport"/>
      <sheetName val="Equipment"/>
      <sheetName val="Aggregates"/>
      <sheetName val="Scope of Works"/>
      <sheetName val="Others"/>
      <sheetName val="Sheet1"/>
      <sheetName val="Compo Bill"/>
      <sheetName val="Detailed"/>
      <sheetName val="VBA_UsageExample"/>
      <sheetName val="VBA_Wrapper"/>
      <sheetName val="VBA_32bit"/>
      <sheetName val="VBA_16bit"/>
      <sheetName val="Update"/>
      <sheetName val="Transport Result"/>
      <sheetName val="Rod"/>
      <sheetName val="Andrew"/>
      <sheetName val="Bebot"/>
      <sheetName val="Anna"/>
      <sheetName val="Elmer"/>
      <sheetName val="Ruben"/>
      <sheetName val="Rod (7)"/>
      <sheetName val="Rod (8)"/>
    </sheetNames>
    <sheetDataSet>
      <sheetData sheetId="0" refreshError="1"/>
      <sheetData sheetId="1" refreshError="1"/>
      <sheetData sheetId="2" refreshError="1"/>
      <sheetData sheetId="3" refreshError="1">
        <row r="10">
          <cell r="B10" t="str">
            <v>1.0 )</v>
          </cell>
        </row>
        <row r="11">
          <cell r="B11" t="str">
            <v>1.1 )</v>
          </cell>
        </row>
        <row r="12">
          <cell r="B12" t="str">
            <v>1.2 )</v>
          </cell>
        </row>
        <row r="13">
          <cell r="B13" t="str">
            <v>1.3 )</v>
          </cell>
        </row>
        <row r="14">
          <cell r="B14" t="str">
            <v>1.4 )</v>
          </cell>
        </row>
        <row r="15">
          <cell r="B15" t="str">
            <v>1.5 )</v>
          </cell>
        </row>
        <row r="16">
          <cell r="B16" t="str">
            <v>1.6 )</v>
          </cell>
        </row>
        <row r="17">
          <cell r="B17" t="str">
            <v>1.7 )</v>
          </cell>
        </row>
        <row r="18">
          <cell r="B18" t="str">
            <v>1.8 )</v>
          </cell>
        </row>
        <row r="19">
          <cell r="B19" t="str">
            <v>1.9 )</v>
          </cell>
        </row>
        <row r="20">
          <cell r="B20" t="str">
            <v>1.10 )</v>
          </cell>
        </row>
        <row r="21">
          <cell r="B21" t="str">
            <v>1.11 )</v>
          </cell>
        </row>
        <row r="22">
          <cell r="B22" t="str">
            <v>1.12 )</v>
          </cell>
        </row>
        <row r="23">
          <cell r="B23" t="str">
            <v>1.13 )</v>
          </cell>
        </row>
        <row r="24">
          <cell r="B24" t="str">
            <v>1.14 )</v>
          </cell>
        </row>
        <row r="25">
          <cell r="B25" t="str">
            <v>1.15 )</v>
          </cell>
        </row>
        <row r="26">
          <cell r="B26" t="str">
            <v>1.16 )</v>
          </cell>
        </row>
        <row r="27">
          <cell r="B27" t="str">
            <v>1.17 )</v>
          </cell>
        </row>
        <row r="28">
          <cell r="B28" t="str">
            <v>1.18 )</v>
          </cell>
        </row>
        <row r="29">
          <cell r="B29" t="str">
            <v>1.19 )</v>
          </cell>
        </row>
        <row r="30">
          <cell r="B30" t="str">
            <v>1.20 )</v>
          </cell>
        </row>
        <row r="31">
          <cell r="B31" t="str">
            <v>2.0 )</v>
          </cell>
        </row>
        <row r="32">
          <cell r="B32" t="str">
            <v>2.1 )</v>
          </cell>
        </row>
        <row r="33">
          <cell r="B33" t="str">
            <v>2.2 )</v>
          </cell>
        </row>
        <row r="34">
          <cell r="B34" t="str">
            <v>2.3 )</v>
          </cell>
        </row>
        <row r="35">
          <cell r="B35" t="str">
            <v>2.4 )</v>
          </cell>
        </row>
        <row r="36">
          <cell r="B36" t="str">
            <v>2.5 )</v>
          </cell>
        </row>
        <row r="37">
          <cell r="B37" t="str">
            <v>2.6 )</v>
          </cell>
        </row>
        <row r="38">
          <cell r="B38" t="str">
            <v>2.7 )</v>
          </cell>
        </row>
        <row r="39">
          <cell r="B39" t="str">
            <v>2.8 )</v>
          </cell>
        </row>
        <row r="40">
          <cell r="B40" t="str">
            <v>2.9  )</v>
          </cell>
        </row>
        <row r="41">
          <cell r="B41" t="str">
            <v>2.10 )</v>
          </cell>
        </row>
        <row r="42">
          <cell r="B42" t="str">
            <v>2.11 )</v>
          </cell>
        </row>
        <row r="43">
          <cell r="B43" t="str">
            <v>2.12 )</v>
          </cell>
        </row>
        <row r="44">
          <cell r="B44" t="str">
            <v>2.13 )</v>
          </cell>
        </row>
        <row r="45">
          <cell r="B45" t="str">
            <v>2.14 )</v>
          </cell>
        </row>
        <row r="46">
          <cell r="B46" t="str">
            <v>2.15 )</v>
          </cell>
        </row>
        <row r="47">
          <cell r="B47" t="str">
            <v>2.16 )</v>
          </cell>
        </row>
        <row r="48">
          <cell r="B48" t="str">
            <v>2.17 )</v>
          </cell>
        </row>
        <row r="49">
          <cell r="B49" t="str">
            <v>2.18 )</v>
          </cell>
        </row>
        <row r="50">
          <cell r="B50" t="str">
            <v>2.19 )</v>
          </cell>
        </row>
        <row r="51">
          <cell r="B51" t="str">
            <v>2.20 )</v>
          </cell>
        </row>
        <row r="52">
          <cell r="B52" t="str">
            <v>3.0 )</v>
          </cell>
        </row>
        <row r="53">
          <cell r="B53" t="str">
            <v>3.1 )</v>
          </cell>
        </row>
        <row r="54">
          <cell r="B54" t="str">
            <v>3.2 )</v>
          </cell>
        </row>
        <row r="55">
          <cell r="B55" t="str">
            <v>3.3 )</v>
          </cell>
        </row>
        <row r="56">
          <cell r="B56" t="str">
            <v>3.4 )</v>
          </cell>
        </row>
        <row r="57">
          <cell r="B57" t="str">
            <v>3.5 )</v>
          </cell>
        </row>
        <row r="58">
          <cell r="B58" t="str">
            <v>3.6 )</v>
          </cell>
        </row>
        <row r="59">
          <cell r="B59" t="str">
            <v>3.7 )</v>
          </cell>
        </row>
        <row r="60">
          <cell r="B60" t="str">
            <v>3.8 )</v>
          </cell>
        </row>
        <row r="61">
          <cell r="B61" t="str">
            <v>3.9 )</v>
          </cell>
        </row>
        <row r="62">
          <cell r="B62" t="str">
            <v>3.10 )</v>
          </cell>
        </row>
        <row r="63">
          <cell r="B63" t="str">
            <v>3.11 )</v>
          </cell>
        </row>
        <row r="64">
          <cell r="B64" t="str">
            <v>3.12 )</v>
          </cell>
        </row>
        <row r="65">
          <cell r="B65" t="str">
            <v>3.13 )</v>
          </cell>
        </row>
        <row r="66">
          <cell r="B66" t="str">
            <v>3.14 )</v>
          </cell>
        </row>
        <row r="67">
          <cell r="B67" t="str">
            <v>3.15 )</v>
          </cell>
        </row>
        <row r="68">
          <cell r="B68" t="str">
            <v>3.16 )</v>
          </cell>
        </row>
        <row r="69">
          <cell r="B69" t="str">
            <v>3.17 )</v>
          </cell>
        </row>
        <row r="70">
          <cell r="B70" t="str">
            <v>3.18 )</v>
          </cell>
        </row>
        <row r="71">
          <cell r="B71" t="str">
            <v>3.19 )</v>
          </cell>
        </row>
        <row r="72">
          <cell r="B72" t="str">
            <v>3.20 )</v>
          </cell>
        </row>
        <row r="73">
          <cell r="B73" t="str">
            <v>4.0 )</v>
          </cell>
        </row>
        <row r="74">
          <cell r="B74" t="str">
            <v>4.1 )</v>
          </cell>
        </row>
        <row r="75">
          <cell r="B75" t="str">
            <v>4.2 )</v>
          </cell>
        </row>
        <row r="76">
          <cell r="B76" t="str">
            <v>4.3 )</v>
          </cell>
        </row>
        <row r="77">
          <cell r="B77" t="str">
            <v>4.4 )</v>
          </cell>
        </row>
        <row r="78">
          <cell r="B78" t="str">
            <v>4.5 )</v>
          </cell>
        </row>
        <row r="79">
          <cell r="B79" t="str">
            <v>4.6 )</v>
          </cell>
        </row>
        <row r="80">
          <cell r="B80" t="str">
            <v>4.7 )</v>
          </cell>
        </row>
        <row r="81">
          <cell r="B81" t="str">
            <v>4.8 )</v>
          </cell>
        </row>
        <row r="82">
          <cell r="B82" t="str">
            <v>4.9 )</v>
          </cell>
        </row>
        <row r="83">
          <cell r="B83" t="str">
            <v>4.10 )</v>
          </cell>
        </row>
        <row r="84">
          <cell r="B84" t="str">
            <v>4.11 )</v>
          </cell>
        </row>
        <row r="85">
          <cell r="B85" t="str">
            <v>4.12 )</v>
          </cell>
        </row>
        <row r="86">
          <cell r="B86" t="str">
            <v>4.13 )</v>
          </cell>
        </row>
        <row r="87">
          <cell r="B87" t="str">
            <v>4.14 )</v>
          </cell>
        </row>
        <row r="88">
          <cell r="B88" t="str">
            <v>4.15 )</v>
          </cell>
        </row>
        <row r="89">
          <cell r="B89" t="str">
            <v>4.16 )</v>
          </cell>
        </row>
        <row r="90">
          <cell r="B90" t="str">
            <v>4.17 )</v>
          </cell>
        </row>
        <row r="91">
          <cell r="B91" t="str">
            <v>4.18 )</v>
          </cell>
        </row>
        <row r="92">
          <cell r="B92" t="str">
            <v>4.19 )</v>
          </cell>
        </row>
        <row r="93">
          <cell r="B93" t="str">
            <v>4.20 )</v>
          </cell>
        </row>
        <row r="94">
          <cell r="B94" t="str">
            <v>5.0 )</v>
          </cell>
        </row>
        <row r="95">
          <cell r="B95" t="str">
            <v>5.1 )</v>
          </cell>
        </row>
        <row r="96">
          <cell r="B96" t="str">
            <v>5.2 )</v>
          </cell>
        </row>
        <row r="97">
          <cell r="B97" t="str">
            <v>5.3 )</v>
          </cell>
        </row>
        <row r="98">
          <cell r="B98" t="str">
            <v>5.4 )</v>
          </cell>
        </row>
        <row r="99">
          <cell r="B99" t="str">
            <v>5.5 )</v>
          </cell>
        </row>
        <row r="100">
          <cell r="B100" t="str">
            <v>5.6 )</v>
          </cell>
        </row>
        <row r="101">
          <cell r="B101" t="str">
            <v>5.7 )</v>
          </cell>
        </row>
        <row r="102">
          <cell r="B102" t="str">
            <v>5.8 )</v>
          </cell>
        </row>
        <row r="103">
          <cell r="B103" t="str">
            <v>5.9 )</v>
          </cell>
        </row>
        <row r="104">
          <cell r="B104" t="str">
            <v>5.10 )</v>
          </cell>
        </row>
        <row r="105">
          <cell r="B105" t="str">
            <v>5.11 )</v>
          </cell>
        </row>
        <row r="106">
          <cell r="B106" t="str">
            <v>5.12 )</v>
          </cell>
        </row>
        <row r="107">
          <cell r="B107" t="str">
            <v>5.13 )</v>
          </cell>
        </row>
        <row r="108">
          <cell r="B108" t="str">
            <v>5.14 )</v>
          </cell>
        </row>
        <row r="109">
          <cell r="B109" t="str">
            <v>5.15 )</v>
          </cell>
        </row>
        <row r="110">
          <cell r="B110" t="str">
            <v>5.16 )</v>
          </cell>
        </row>
        <row r="111">
          <cell r="B111" t="str">
            <v>5.17 )</v>
          </cell>
        </row>
        <row r="112">
          <cell r="B112" t="str">
            <v>5.18 )</v>
          </cell>
        </row>
        <row r="113">
          <cell r="B113" t="str">
            <v>5.19 )</v>
          </cell>
        </row>
        <row r="114">
          <cell r="B114" t="str">
            <v>5.20 )</v>
          </cell>
        </row>
        <row r="115">
          <cell r="B115" t="str">
            <v>6.0 )</v>
          </cell>
        </row>
        <row r="116">
          <cell r="B116" t="str">
            <v>6.1 )</v>
          </cell>
        </row>
        <row r="117">
          <cell r="B117" t="str">
            <v>6.2 )</v>
          </cell>
        </row>
        <row r="118">
          <cell r="B118" t="str">
            <v>6.3 )</v>
          </cell>
        </row>
        <row r="119">
          <cell r="B119" t="str">
            <v>6.4 )</v>
          </cell>
        </row>
        <row r="120">
          <cell r="B120" t="str">
            <v>6.5 )</v>
          </cell>
        </row>
        <row r="121">
          <cell r="B121" t="str">
            <v>6.6 )</v>
          </cell>
        </row>
        <row r="122">
          <cell r="B122" t="str">
            <v>6.7 )</v>
          </cell>
        </row>
        <row r="123">
          <cell r="B123" t="str">
            <v>6.8 )</v>
          </cell>
        </row>
        <row r="124">
          <cell r="B124" t="str">
            <v>6.9 )</v>
          </cell>
        </row>
        <row r="125">
          <cell r="B125" t="str">
            <v>6.10 )</v>
          </cell>
        </row>
        <row r="126">
          <cell r="B126" t="str">
            <v>6.11 )</v>
          </cell>
        </row>
        <row r="127">
          <cell r="B127" t="str">
            <v>6.12 )</v>
          </cell>
        </row>
        <row r="128">
          <cell r="B128" t="str">
            <v>6.13 )</v>
          </cell>
        </row>
        <row r="129">
          <cell r="B129" t="str">
            <v>6.14 )</v>
          </cell>
        </row>
        <row r="130">
          <cell r="B130" t="str">
            <v>6.15 )</v>
          </cell>
        </row>
        <row r="131">
          <cell r="B131" t="str">
            <v>6.16 )</v>
          </cell>
        </row>
        <row r="132">
          <cell r="B132" t="str">
            <v>6.17 )</v>
          </cell>
        </row>
        <row r="133">
          <cell r="B133" t="str">
            <v>6.18 )</v>
          </cell>
        </row>
        <row r="134">
          <cell r="B134" t="str">
            <v>6.19 )</v>
          </cell>
        </row>
        <row r="135">
          <cell r="B135" t="str">
            <v>6.20 )</v>
          </cell>
        </row>
        <row r="136">
          <cell r="B136" t="str">
            <v>7.0 )</v>
          </cell>
        </row>
        <row r="137">
          <cell r="B137" t="str">
            <v>7.1 )</v>
          </cell>
        </row>
        <row r="138">
          <cell r="B138" t="str">
            <v>7.2 )</v>
          </cell>
        </row>
        <row r="139">
          <cell r="B139" t="str">
            <v>7.3 )</v>
          </cell>
        </row>
        <row r="140">
          <cell r="B140" t="str">
            <v>7.4 )</v>
          </cell>
        </row>
        <row r="141">
          <cell r="B141" t="str">
            <v>7.5 )</v>
          </cell>
        </row>
        <row r="142">
          <cell r="B142" t="str">
            <v>7.6 )</v>
          </cell>
        </row>
        <row r="143">
          <cell r="B143" t="str">
            <v>7.7 )</v>
          </cell>
        </row>
        <row r="144">
          <cell r="B144" t="str">
            <v>7.8 )</v>
          </cell>
        </row>
        <row r="145">
          <cell r="B145" t="str">
            <v>7.9 )</v>
          </cell>
        </row>
        <row r="146">
          <cell r="B146" t="str">
            <v>7.10 )</v>
          </cell>
        </row>
        <row r="147">
          <cell r="B147" t="str">
            <v>7.11 )</v>
          </cell>
        </row>
        <row r="148">
          <cell r="B148" t="str">
            <v>7.12 )</v>
          </cell>
        </row>
        <row r="149">
          <cell r="B149" t="str">
            <v>7.13 )</v>
          </cell>
        </row>
        <row r="150">
          <cell r="B150" t="str">
            <v>7.14 )</v>
          </cell>
        </row>
        <row r="151">
          <cell r="B151" t="str">
            <v>7.15 )</v>
          </cell>
        </row>
        <row r="152">
          <cell r="B152" t="str">
            <v>7.16 )</v>
          </cell>
        </row>
        <row r="153">
          <cell r="B153" t="str">
            <v>7.17 )</v>
          </cell>
        </row>
        <row r="154">
          <cell r="B154" t="str">
            <v>7.18 )</v>
          </cell>
        </row>
        <row r="155">
          <cell r="B155" t="str">
            <v>7.19 )</v>
          </cell>
        </row>
        <row r="156">
          <cell r="B156" t="str">
            <v>7.20 )</v>
          </cell>
        </row>
        <row r="157">
          <cell r="B157" t="str">
            <v>8.0 )</v>
          </cell>
        </row>
        <row r="158">
          <cell r="B158" t="str">
            <v>8.1 )</v>
          </cell>
        </row>
        <row r="159">
          <cell r="B159" t="str">
            <v>8.2 )</v>
          </cell>
        </row>
        <row r="160">
          <cell r="B160" t="str">
            <v>8.3 )</v>
          </cell>
        </row>
        <row r="161">
          <cell r="B161" t="str">
            <v>8.4 )</v>
          </cell>
        </row>
        <row r="162">
          <cell r="B162" t="str">
            <v>8.5 )</v>
          </cell>
        </row>
        <row r="163">
          <cell r="B163" t="str">
            <v>8.6 )</v>
          </cell>
        </row>
        <row r="164">
          <cell r="B164" t="str">
            <v>8.7 )</v>
          </cell>
        </row>
        <row r="165">
          <cell r="B165" t="str">
            <v>8.8 )</v>
          </cell>
        </row>
        <row r="166">
          <cell r="B166" t="str">
            <v>8.9 )</v>
          </cell>
        </row>
        <row r="167">
          <cell r="B167" t="str">
            <v>8.10 )</v>
          </cell>
        </row>
        <row r="168">
          <cell r="B168" t="str">
            <v>8.11 )</v>
          </cell>
        </row>
        <row r="169">
          <cell r="B169" t="str">
            <v>8.12 )</v>
          </cell>
        </row>
        <row r="170">
          <cell r="B170" t="str">
            <v>8.13 )</v>
          </cell>
        </row>
        <row r="171">
          <cell r="B171" t="str">
            <v>8.14 )</v>
          </cell>
        </row>
        <row r="172">
          <cell r="B172" t="str">
            <v>8.15 )</v>
          </cell>
        </row>
        <row r="173">
          <cell r="B173" t="str">
            <v>8.16 )</v>
          </cell>
        </row>
        <row r="174">
          <cell r="B174" t="str">
            <v>8.17 )</v>
          </cell>
        </row>
        <row r="175">
          <cell r="B175" t="str">
            <v>8.18 )</v>
          </cell>
        </row>
        <row r="176">
          <cell r="B176" t="str">
            <v>8.19 )</v>
          </cell>
        </row>
        <row r="177">
          <cell r="B177" t="str">
            <v>8.20 )</v>
          </cell>
        </row>
        <row r="178">
          <cell r="B178" t="str">
            <v>9.0 )</v>
          </cell>
        </row>
        <row r="179">
          <cell r="B179" t="str">
            <v>9.1 )</v>
          </cell>
        </row>
        <row r="180">
          <cell r="B180" t="str">
            <v>9.2 )</v>
          </cell>
        </row>
        <row r="181">
          <cell r="B181" t="str">
            <v>9.3 )</v>
          </cell>
        </row>
        <row r="182">
          <cell r="B182" t="str">
            <v>9.4 )</v>
          </cell>
        </row>
        <row r="183">
          <cell r="B183" t="str">
            <v>9.5 )</v>
          </cell>
        </row>
        <row r="184">
          <cell r="B184" t="str">
            <v>9.6 )</v>
          </cell>
        </row>
        <row r="185">
          <cell r="B185" t="str">
            <v>9.7 )</v>
          </cell>
        </row>
        <row r="186">
          <cell r="B186" t="str">
            <v>9.8 )</v>
          </cell>
        </row>
        <row r="187">
          <cell r="B187" t="str">
            <v>9.9 )</v>
          </cell>
        </row>
        <row r="188">
          <cell r="B188" t="str">
            <v>9.10 )</v>
          </cell>
        </row>
        <row r="189">
          <cell r="B189" t="str">
            <v>9.11 )</v>
          </cell>
        </row>
        <row r="190">
          <cell r="B190" t="str">
            <v>9.12 )</v>
          </cell>
        </row>
        <row r="191">
          <cell r="B191" t="str">
            <v>9.13 )</v>
          </cell>
        </row>
        <row r="192">
          <cell r="B192" t="str">
            <v>9.14 )</v>
          </cell>
        </row>
        <row r="193">
          <cell r="B193" t="str">
            <v>9.15 )</v>
          </cell>
        </row>
        <row r="194">
          <cell r="B194" t="str">
            <v>9.16 )</v>
          </cell>
        </row>
        <row r="195">
          <cell r="B195" t="str">
            <v>9.17 )</v>
          </cell>
        </row>
        <row r="196">
          <cell r="B196" t="str">
            <v>9.18 )</v>
          </cell>
        </row>
        <row r="197">
          <cell r="B197" t="str">
            <v>9.19 )</v>
          </cell>
        </row>
        <row r="198">
          <cell r="B198" t="str">
            <v>9.20 )</v>
          </cell>
        </row>
        <row r="199">
          <cell r="B199" t="str">
            <v>10.0 )</v>
          </cell>
        </row>
        <row r="200">
          <cell r="B200" t="str">
            <v>10.1 )</v>
          </cell>
        </row>
        <row r="201">
          <cell r="B201" t="str">
            <v>10.2 )</v>
          </cell>
        </row>
        <row r="202">
          <cell r="B202" t="str">
            <v>10.3 )</v>
          </cell>
        </row>
        <row r="203">
          <cell r="B203" t="str">
            <v>10.4 )</v>
          </cell>
        </row>
        <row r="204">
          <cell r="B204" t="str">
            <v>10.5 )</v>
          </cell>
        </row>
        <row r="205">
          <cell r="B205" t="str">
            <v>10.6 )</v>
          </cell>
        </row>
        <row r="206">
          <cell r="B206" t="str">
            <v>10.7 )</v>
          </cell>
        </row>
        <row r="207">
          <cell r="B207" t="str">
            <v>10.8 )</v>
          </cell>
        </row>
        <row r="208">
          <cell r="B208" t="str">
            <v>10.9 )</v>
          </cell>
        </row>
        <row r="209">
          <cell r="B209" t="str">
            <v>10.10 )</v>
          </cell>
        </row>
        <row r="210">
          <cell r="B210" t="str">
            <v>10.11 )</v>
          </cell>
        </row>
        <row r="211">
          <cell r="B211" t="str">
            <v>10.12 )</v>
          </cell>
        </row>
        <row r="212">
          <cell r="B212" t="str">
            <v>10.13 )</v>
          </cell>
        </row>
        <row r="213">
          <cell r="B213" t="str">
            <v>10.14 )</v>
          </cell>
        </row>
        <row r="214">
          <cell r="B214" t="str">
            <v>10.15 )</v>
          </cell>
        </row>
        <row r="215">
          <cell r="B215" t="str">
            <v>10.16 )</v>
          </cell>
        </row>
        <row r="216">
          <cell r="B216" t="str">
            <v>10.17 )</v>
          </cell>
        </row>
        <row r="217">
          <cell r="B217" t="str">
            <v>10.18 )</v>
          </cell>
        </row>
        <row r="218">
          <cell r="B218" t="str">
            <v>10.19 )</v>
          </cell>
        </row>
        <row r="219">
          <cell r="B219" t="str">
            <v>10.20 )</v>
          </cell>
        </row>
        <row r="220">
          <cell r="B220" t="str">
            <v>11.0 )</v>
          </cell>
        </row>
        <row r="221">
          <cell r="B221" t="str">
            <v>11.1 )</v>
          </cell>
        </row>
        <row r="222">
          <cell r="B222" t="str">
            <v>11.2 )</v>
          </cell>
        </row>
        <row r="223">
          <cell r="B223" t="str">
            <v>11.3 )</v>
          </cell>
        </row>
        <row r="224">
          <cell r="B224" t="str">
            <v>11.4 )</v>
          </cell>
        </row>
        <row r="225">
          <cell r="B225" t="str">
            <v>11.5 )</v>
          </cell>
        </row>
        <row r="226">
          <cell r="B226" t="str">
            <v>11.6 )</v>
          </cell>
        </row>
        <row r="227">
          <cell r="B227" t="str">
            <v>11.7 )</v>
          </cell>
        </row>
        <row r="228">
          <cell r="B228" t="str">
            <v>11.8 )</v>
          </cell>
        </row>
        <row r="229">
          <cell r="B229" t="str">
            <v>11.9 )</v>
          </cell>
        </row>
        <row r="230">
          <cell r="B230" t="str">
            <v>11.10 )</v>
          </cell>
        </row>
        <row r="231">
          <cell r="B231" t="str">
            <v>11.11 )</v>
          </cell>
        </row>
        <row r="232">
          <cell r="B232" t="str">
            <v>11.12 )</v>
          </cell>
        </row>
        <row r="233">
          <cell r="B233" t="str">
            <v>11.13 )</v>
          </cell>
        </row>
        <row r="234">
          <cell r="B234" t="str">
            <v>11.14 )</v>
          </cell>
        </row>
        <row r="235">
          <cell r="B235" t="str">
            <v>11.15 )</v>
          </cell>
        </row>
        <row r="236">
          <cell r="B236" t="str">
            <v>11.16 )</v>
          </cell>
        </row>
        <row r="237">
          <cell r="B237" t="str">
            <v>11.17 )</v>
          </cell>
        </row>
        <row r="238">
          <cell r="B238" t="str">
            <v>11.18 )</v>
          </cell>
        </row>
        <row r="239">
          <cell r="B239" t="str">
            <v>11.19 )</v>
          </cell>
        </row>
        <row r="240">
          <cell r="B240" t="str">
            <v>11.20 )</v>
          </cell>
        </row>
        <row r="241">
          <cell r="B241" t="str">
            <v>12.0 )</v>
          </cell>
        </row>
        <row r="242">
          <cell r="B242" t="str">
            <v>12.1 )</v>
          </cell>
        </row>
        <row r="243">
          <cell r="B243" t="str">
            <v>12.2 )</v>
          </cell>
        </row>
        <row r="244">
          <cell r="B244" t="str">
            <v>12.3 )</v>
          </cell>
        </row>
        <row r="245">
          <cell r="B245" t="str">
            <v>12.4 )</v>
          </cell>
        </row>
        <row r="246">
          <cell r="B246" t="str">
            <v>12.5 )</v>
          </cell>
        </row>
        <row r="247">
          <cell r="B247" t="str">
            <v>12.6 )</v>
          </cell>
        </row>
        <row r="248">
          <cell r="B248" t="str">
            <v>12.7 )</v>
          </cell>
        </row>
        <row r="249">
          <cell r="B249" t="str">
            <v>12.8 )</v>
          </cell>
        </row>
        <row r="250">
          <cell r="B250" t="str">
            <v>12.9 )</v>
          </cell>
        </row>
        <row r="251">
          <cell r="B251" t="str">
            <v>12.10 )</v>
          </cell>
        </row>
        <row r="252">
          <cell r="B252" t="str">
            <v>12.11 )</v>
          </cell>
        </row>
        <row r="253">
          <cell r="B253" t="str">
            <v>12.12 )</v>
          </cell>
        </row>
        <row r="254">
          <cell r="B254" t="str">
            <v>12.13 )</v>
          </cell>
        </row>
        <row r="255">
          <cell r="B255" t="str">
            <v>12.14 )</v>
          </cell>
        </row>
        <row r="256">
          <cell r="B256" t="str">
            <v>12.15 )</v>
          </cell>
        </row>
        <row r="257">
          <cell r="B257" t="str">
            <v>12.16 )</v>
          </cell>
        </row>
        <row r="258">
          <cell r="B258" t="str">
            <v>12.17 )</v>
          </cell>
        </row>
        <row r="259">
          <cell r="B259" t="str">
            <v>12.18 )</v>
          </cell>
        </row>
        <row r="260">
          <cell r="B260" t="str">
            <v>12.19 )</v>
          </cell>
        </row>
        <row r="261">
          <cell r="B261" t="str">
            <v>12.20 )</v>
          </cell>
        </row>
        <row r="262">
          <cell r="B262" t="str">
            <v>13.0 )</v>
          </cell>
        </row>
        <row r="263">
          <cell r="B263" t="str">
            <v>13.1 )</v>
          </cell>
        </row>
        <row r="264">
          <cell r="B264" t="str">
            <v>13.2 )</v>
          </cell>
        </row>
        <row r="265">
          <cell r="B265" t="str">
            <v>13.3 )</v>
          </cell>
        </row>
        <row r="266">
          <cell r="B266" t="str">
            <v>13.4 )</v>
          </cell>
        </row>
        <row r="267">
          <cell r="B267" t="str">
            <v>13.5 )</v>
          </cell>
        </row>
        <row r="268">
          <cell r="B268" t="str">
            <v>13.6 )</v>
          </cell>
        </row>
        <row r="269">
          <cell r="B269" t="str">
            <v>13.7 )</v>
          </cell>
        </row>
        <row r="270">
          <cell r="B270" t="str">
            <v>13.8 )</v>
          </cell>
        </row>
        <row r="271">
          <cell r="B271" t="str">
            <v>13.9 )</v>
          </cell>
        </row>
        <row r="272">
          <cell r="B272" t="str">
            <v>13.10 )</v>
          </cell>
        </row>
        <row r="273">
          <cell r="B273" t="str">
            <v>13.11 )</v>
          </cell>
        </row>
        <row r="274">
          <cell r="B274" t="str">
            <v>13.12 )</v>
          </cell>
        </row>
        <row r="275">
          <cell r="B275" t="str">
            <v>13.13 )</v>
          </cell>
        </row>
        <row r="276">
          <cell r="B276" t="str">
            <v>13.14 )</v>
          </cell>
        </row>
        <row r="277">
          <cell r="B277" t="str">
            <v>13.15 )</v>
          </cell>
        </row>
        <row r="278">
          <cell r="B278" t="str">
            <v>13.16 )</v>
          </cell>
        </row>
        <row r="279">
          <cell r="B279" t="str">
            <v>13.17 )</v>
          </cell>
        </row>
        <row r="280">
          <cell r="B280" t="str">
            <v>13.18 )</v>
          </cell>
        </row>
        <row r="281">
          <cell r="B281" t="str">
            <v>13.19 )</v>
          </cell>
        </row>
        <row r="282">
          <cell r="B282" t="str">
            <v>13.20 )</v>
          </cell>
        </row>
        <row r="283">
          <cell r="B283" t="str">
            <v>14.0 )</v>
          </cell>
        </row>
        <row r="284">
          <cell r="B284" t="str">
            <v>14.1 )</v>
          </cell>
        </row>
        <row r="285">
          <cell r="B285" t="str">
            <v>14.2 )</v>
          </cell>
        </row>
        <row r="286">
          <cell r="B286" t="str">
            <v>14.3 )</v>
          </cell>
        </row>
        <row r="287">
          <cell r="B287" t="str">
            <v>14.4 )</v>
          </cell>
        </row>
        <row r="288">
          <cell r="B288" t="str">
            <v>14.5 )</v>
          </cell>
        </row>
        <row r="289">
          <cell r="B289" t="str">
            <v>14.6 )</v>
          </cell>
        </row>
        <row r="290">
          <cell r="B290" t="str">
            <v>14.7 )</v>
          </cell>
        </row>
        <row r="291">
          <cell r="B291" t="str">
            <v>14.8 )</v>
          </cell>
        </row>
        <row r="292">
          <cell r="B292" t="str">
            <v>14.9 )</v>
          </cell>
        </row>
        <row r="293">
          <cell r="B293" t="str">
            <v>14.10 )</v>
          </cell>
        </row>
        <row r="294">
          <cell r="B294" t="str">
            <v>14.11 )</v>
          </cell>
        </row>
        <row r="295">
          <cell r="B295" t="str">
            <v>14.12 )</v>
          </cell>
        </row>
        <row r="296">
          <cell r="B296" t="str">
            <v>14.13 )</v>
          </cell>
        </row>
        <row r="297">
          <cell r="B297" t="str">
            <v>14.14 )</v>
          </cell>
        </row>
        <row r="298">
          <cell r="B298" t="str">
            <v>14.15 )</v>
          </cell>
        </row>
        <row r="299">
          <cell r="B299" t="str">
            <v>14.16 )</v>
          </cell>
        </row>
        <row r="300">
          <cell r="B300" t="str">
            <v>14.17 )</v>
          </cell>
        </row>
        <row r="301">
          <cell r="B301" t="str">
            <v>14.18 )</v>
          </cell>
        </row>
        <row r="302">
          <cell r="B302" t="str">
            <v>14.19 )</v>
          </cell>
        </row>
        <row r="303">
          <cell r="B303" t="str">
            <v>14.20 )</v>
          </cell>
        </row>
        <row r="304">
          <cell r="B304" t="str">
            <v>15.0 )</v>
          </cell>
        </row>
        <row r="305">
          <cell r="B305" t="str">
            <v>15.1 )</v>
          </cell>
        </row>
        <row r="306">
          <cell r="B306" t="str">
            <v>15.2 )</v>
          </cell>
        </row>
        <row r="307">
          <cell r="B307" t="str">
            <v>15.3 )</v>
          </cell>
        </row>
        <row r="308">
          <cell r="B308" t="str">
            <v>15.4 )</v>
          </cell>
        </row>
        <row r="309">
          <cell r="B309" t="str">
            <v>15.5 )</v>
          </cell>
        </row>
        <row r="310">
          <cell r="B310" t="str">
            <v>15.6 )</v>
          </cell>
        </row>
        <row r="311">
          <cell r="B311" t="str">
            <v>15.7 )</v>
          </cell>
        </row>
        <row r="312">
          <cell r="B312" t="str">
            <v>15.8 )</v>
          </cell>
        </row>
        <row r="313">
          <cell r="B313" t="str">
            <v>15.9 )</v>
          </cell>
        </row>
        <row r="314">
          <cell r="B314" t="str">
            <v>15.10 )</v>
          </cell>
        </row>
        <row r="315">
          <cell r="B315" t="str">
            <v>15.11 )</v>
          </cell>
        </row>
        <row r="316">
          <cell r="B316" t="str">
            <v>15.12 )</v>
          </cell>
        </row>
        <row r="317">
          <cell r="B317" t="str">
            <v>15.13 )</v>
          </cell>
        </row>
        <row r="318">
          <cell r="B318" t="str">
            <v>15.14 )</v>
          </cell>
        </row>
        <row r="319">
          <cell r="B319" t="str">
            <v>15.15 )</v>
          </cell>
        </row>
        <row r="320">
          <cell r="B320" t="str">
            <v>15.16 )</v>
          </cell>
        </row>
        <row r="321">
          <cell r="B321" t="str">
            <v>15.17 )</v>
          </cell>
        </row>
        <row r="322">
          <cell r="B322" t="str">
            <v>15.18 )</v>
          </cell>
        </row>
        <row r="323">
          <cell r="B323" t="str">
            <v>15.19 )</v>
          </cell>
        </row>
        <row r="324">
          <cell r="B324" t="str">
            <v>15.20 )</v>
          </cell>
        </row>
        <row r="325">
          <cell r="B325" t="str">
            <v>16.0 )</v>
          </cell>
        </row>
        <row r="326">
          <cell r="B326" t="str">
            <v>16.1 )</v>
          </cell>
        </row>
        <row r="327">
          <cell r="B327" t="str">
            <v>16.2 )</v>
          </cell>
        </row>
        <row r="328">
          <cell r="B328" t="str">
            <v>16.3 )</v>
          </cell>
        </row>
        <row r="329">
          <cell r="B329" t="str">
            <v>16.4 )</v>
          </cell>
        </row>
        <row r="330">
          <cell r="B330" t="str">
            <v>16.5 )</v>
          </cell>
        </row>
        <row r="331">
          <cell r="B331" t="str">
            <v>16.6 )</v>
          </cell>
        </row>
        <row r="332">
          <cell r="B332" t="str">
            <v>16.7 )</v>
          </cell>
        </row>
        <row r="333">
          <cell r="B333" t="str">
            <v>16.8 )</v>
          </cell>
        </row>
        <row r="334">
          <cell r="B334" t="str">
            <v>16.9 )</v>
          </cell>
        </row>
        <row r="335">
          <cell r="B335" t="str">
            <v>16.10 )</v>
          </cell>
        </row>
        <row r="336">
          <cell r="B336" t="str">
            <v>16.11 )</v>
          </cell>
        </row>
        <row r="337">
          <cell r="B337" t="str">
            <v>16.12 )</v>
          </cell>
        </row>
        <row r="338">
          <cell r="B338" t="str">
            <v>16.13 )</v>
          </cell>
        </row>
        <row r="339">
          <cell r="B339" t="str">
            <v>16.14 )</v>
          </cell>
        </row>
        <row r="340">
          <cell r="B340" t="str">
            <v>16.15 )</v>
          </cell>
        </row>
        <row r="341">
          <cell r="B341" t="str">
            <v>16.16 )</v>
          </cell>
        </row>
        <row r="342">
          <cell r="B342" t="str">
            <v>16.17 )</v>
          </cell>
        </row>
        <row r="343">
          <cell r="B343" t="str">
            <v>16.18 )</v>
          </cell>
        </row>
        <row r="344">
          <cell r="B344" t="str">
            <v>16.19 )</v>
          </cell>
        </row>
        <row r="345">
          <cell r="B345" t="str">
            <v>16.20 )</v>
          </cell>
        </row>
        <row r="346">
          <cell r="B346" t="str">
            <v>17.0 )</v>
          </cell>
        </row>
        <row r="347">
          <cell r="B347" t="str">
            <v>17.1 )</v>
          </cell>
        </row>
        <row r="348">
          <cell r="B348" t="str">
            <v>17.2 )</v>
          </cell>
        </row>
        <row r="349">
          <cell r="B349" t="str">
            <v>17.3 )</v>
          </cell>
        </row>
        <row r="350">
          <cell r="B350" t="str">
            <v>17.4 )</v>
          </cell>
        </row>
        <row r="351">
          <cell r="B351" t="str">
            <v>17.5 )</v>
          </cell>
        </row>
        <row r="352">
          <cell r="B352" t="str">
            <v>17.6 )</v>
          </cell>
        </row>
        <row r="353">
          <cell r="B353" t="str">
            <v>17.7 )</v>
          </cell>
        </row>
        <row r="354">
          <cell r="B354" t="str">
            <v>17.8 )</v>
          </cell>
        </row>
        <row r="355">
          <cell r="B355" t="str">
            <v>17.9 )</v>
          </cell>
        </row>
        <row r="356">
          <cell r="B356" t="str">
            <v>17.10 )</v>
          </cell>
        </row>
        <row r="357">
          <cell r="B357" t="str">
            <v>17.11 )</v>
          </cell>
        </row>
        <row r="358">
          <cell r="B358" t="str">
            <v>17.12 )</v>
          </cell>
        </row>
        <row r="359">
          <cell r="B359" t="str">
            <v>17.13 )</v>
          </cell>
        </row>
        <row r="360">
          <cell r="B360" t="str">
            <v>17.14 )</v>
          </cell>
        </row>
        <row r="361">
          <cell r="B361" t="str">
            <v>17.15 )</v>
          </cell>
        </row>
        <row r="362">
          <cell r="B362" t="str">
            <v>17.16 )</v>
          </cell>
        </row>
        <row r="363">
          <cell r="B363" t="str">
            <v>17.17 )</v>
          </cell>
        </row>
        <row r="364">
          <cell r="B364" t="str">
            <v>17.18 )</v>
          </cell>
        </row>
        <row r="365">
          <cell r="B365" t="str">
            <v>17.19 )</v>
          </cell>
        </row>
        <row r="366">
          <cell r="B366" t="str">
            <v>17.20 )</v>
          </cell>
        </row>
        <row r="367">
          <cell r="B367" t="str">
            <v>18.0 )</v>
          </cell>
        </row>
        <row r="368">
          <cell r="B368" t="str">
            <v>18.1 )</v>
          </cell>
        </row>
        <row r="369">
          <cell r="B369" t="str">
            <v>18.2 )</v>
          </cell>
        </row>
        <row r="370">
          <cell r="B370" t="str">
            <v>18.3 )</v>
          </cell>
        </row>
        <row r="371">
          <cell r="B371" t="str">
            <v>18.4 )</v>
          </cell>
        </row>
        <row r="372">
          <cell r="B372" t="str">
            <v>18.5 )</v>
          </cell>
        </row>
        <row r="373">
          <cell r="B373" t="str">
            <v>18.6 )</v>
          </cell>
        </row>
        <row r="374">
          <cell r="B374" t="str">
            <v>18.7 )</v>
          </cell>
        </row>
        <row r="375">
          <cell r="B375" t="str">
            <v>18.8 )</v>
          </cell>
        </row>
        <row r="376">
          <cell r="B376" t="str">
            <v>18.9 )</v>
          </cell>
        </row>
        <row r="377">
          <cell r="B377" t="str">
            <v>18.10 )</v>
          </cell>
        </row>
        <row r="378">
          <cell r="B378" t="str">
            <v>18.11 )</v>
          </cell>
        </row>
        <row r="379">
          <cell r="B379" t="str">
            <v>18.12 )</v>
          </cell>
        </row>
        <row r="380">
          <cell r="B380" t="str">
            <v>18.13 )</v>
          </cell>
        </row>
        <row r="381">
          <cell r="B381" t="str">
            <v>18.14 )</v>
          </cell>
        </row>
        <row r="382">
          <cell r="B382" t="str">
            <v>18.15 )</v>
          </cell>
        </row>
        <row r="383">
          <cell r="B383" t="str">
            <v>18.16 )</v>
          </cell>
        </row>
        <row r="384">
          <cell r="B384" t="str">
            <v>18.17 )</v>
          </cell>
        </row>
        <row r="385">
          <cell r="B385" t="str">
            <v>18.18 )</v>
          </cell>
        </row>
        <row r="386">
          <cell r="B386" t="str">
            <v>18.19 )</v>
          </cell>
        </row>
        <row r="387">
          <cell r="B387" t="str">
            <v>18.20 )</v>
          </cell>
        </row>
        <row r="388">
          <cell r="B388" t="str">
            <v>19.0 )</v>
          </cell>
        </row>
        <row r="389">
          <cell r="B389" t="str">
            <v>19.1 )</v>
          </cell>
        </row>
        <row r="390">
          <cell r="B390" t="str">
            <v>19.2 )</v>
          </cell>
        </row>
        <row r="391">
          <cell r="B391" t="str">
            <v>19.3 )</v>
          </cell>
        </row>
        <row r="392">
          <cell r="B392" t="str">
            <v>19.4 )</v>
          </cell>
        </row>
        <row r="393">
          <cell r="B393" t="str">
            <v>19.5 )</v>
          </cell>
        </row>
        <row r="394">
          <cell r="B394" t="str">
            <v>19.6 )</v>
          </cell>
        </row>
        <row r="395">
          <cell r="B395" t="str">
            <v>19.7 )</v>
          </cell>
        </row>
        <row r="396">
          <cell r="B396" t="str">
            <v>19.8 )</v>
          </cell>
        </row>
        <row r="397">
          <cell r="B397" t="str">
            <v>19.9 )</v>
          </cell>
        </row>
        <row r="398">
          <cell r="B398" t="str">
            <v>19.10 )</v>
          </cell>
        </row>
        <row r="399">
          <cell r="B399" t="str">
            <v>19.11 )</v>
          </cell>
        </row>
        <row r="400">
          <cell r="B400" t="str">
            <v>19.12 )</v>
          </cell>
        </row>
        <row r="401">
          <cell r="B401" t="str">
            <v>19.13 )</v>
          </cell>
        </row>
        <row r="402">
          <cell r="B402" t="str">
            <v>19.14 )</v>
          </cell>
        </row>
        <row r="403">
          <cell r="B403" t="str">
            <v>19.15 )</v>
          </cell>
        </row>
        <row r="404">
          <cell r="B404" t="str">
            <v>19.16 )</v>
          </cell>
        </row>
        <row r="405">
          <cell r="B405" t="str">
            <v>19.17 )</v>
          </cell>
        </row>
        <row r="406">
          <cell r="B406" t="str">
            <v>19.18 )</v>
          </cell>
        </row>
        <row r="407">
          <cell r="B407" t="str">
            <v>19.19 )</v>
          </cell>
        </row>
        <row r="408">
          <cell r="B408" t="str">
            <v>19.20 )</v>
          </cell>
        </row>
        <row r="409">
          <cell r="B409" t="str">
            <v>20.0 )</v>
          </cell>
        </row>
        <row r="410">
          <cell r="B410" t="str">
            <v>20.1 )</v>
          </cell>
        </row>
        <row r="411">
          <cell r="B411" t="str">
            <v>20.2 )</v>
          </cell>
        </row>
        <row r="412">
          <cell r="B412" t="str">
            <v>20.3 )</v>
          </cell>
        </row>
        <row r="413">
          <cell r="B413" t="str">
            <v>20.4 )</v>
          </cell>
        </row>
        <row r="414">
          <cell r="B414" t="str">
            <v>20.5 )</v>
          </cell>
        </row>
        <row r="415">
          <cell r="B415" t="str">
            <v>20.6 )</v>
          </cell>
        </row>
        <row r="416">
          <cell r="B416" t="str">
            <v>20.7 )</v>
          </cell>
        </row>
        <row r="417">
          <cell r="B417" t="str">
            <v>20.8 )</v>
          </cell>
        </row>
        <row r="418">
          <cell r="B418" t="str">
            <v>20.9 )</v>
          </cell>
        </row>
        <row r="419">
          <cell r="B419" t="str">
            <v>20.10 )</v>
          </cell>
        </row>
        <row r="420">
          <cell r="B420" t="str">
            <v>20.11 )</v>
          </cell>
        </row>
        <row r="421">
          <cell r="B421" t="str">
            <v>20.12 )</v>
          </cell>
        </row>
        <row r="422">
          <cell r="B422" t="str">
            <v>20.13 )</v>
          </cell>
        </row>
        <row r="423">
          <cell r="B423" t="str">
            <v>20.14 )</v>
          </cell>
        </row>
        <row r="424">
          <cell r="B424" t="str">
            <v>20.15 )</v>
          </cell>
        </row>
        <row r="425">
          <cell r="B425" t="str">
            <v>20.16 )</v>
          </cell>
        </row>
        <row r="426">
          <cell r="B426" t="str">
            <v>20.17 )</v>
          </cell>
        </row>
        <row r="427">
          <cell r="B427" t="str">
            <v>20.18 )</v>
          </cell>
        </row>
        <row r="428">
          <cell r="B428" t="str">
            <v>20.19 )</v>
          </cell>
        </row>
        <row r="429">
          <cell r="B429" t="str">
            <v>20.20 )</v>
          </cell>
        </row>
        <row r="430">
          <cell r="B430" t="str">
            <v>&gt;=</v>
          </cell>
        </row>
        <row r="431">
          <cell r="B431" t="str">
            <v>&gt;</v>
          </cell>
        </row>
        <row r="432">
          <cell r="B432" t="str">
            <v>ee</v>
          </cell>
        </row>
        <row r="433">
          <cell r="B433" t="str">
            <v>rr</v>
          </cell>
        </row>
        <row r="434">
          <cell r="B434" t="str">
            <v>ss</v>
          </cell>
        </row>
        <row r="435">
          <cell r="B435" t="str">
            <v>&lt;</v>
          </cell>
        </row>
        <row r="436">
          <cell r="B436" t="str">
            <v>aa</v>
          </cell>
        </row>
      </sheetData>
      <sheetData sheetId="4" refreshError="1"/>
      <sheetData sheetId="5" refreshError="1">
        <row r="3">
          <cell r="B3" t="str">
            <v>Numbersnew1</v>
          </cell>
          <cell r="C3" t="str">
            <v>Numbersnew</v>
          </cell>
          <cell r="D3" t="str">
            <v>Numbersnew2</v>
          </cell>
          <cell r="E3" t="str">
            <v>Numbersnew3</v>
          </cell>
          <cell r="F3" t="str">
            <v>Numbersnew4</v>
          </cell>
        </row>
        <row r="4">
          <cell r="B4" t="str">
            <v>1.0 )</v>
          </cell>
          <cell r="C4" t="str">
            <v>1.0 )</v>
          </cell>
          <cell r="D4" t="str">
            <v>1.1.0 )</v>
          </cell>
          <cell r="E4" t="str">
            <v>2.1.0 )</v>
          </cell>
          <cell r="F4" t="str">
            <v>3.1.0 )</v>
          </cell>
        </row>
        <row r="5">
          <cell r="B5" t="str">
            <v>2.0 )</v>
          </cell>
          <cell r="C5" t="str">
            <v>1.1 )</v>
          </cell>
          <cell r="D5" t="str">
            <v>1.1.1 )</v>
          </cell>
          <cell r="E5" t="str">
            <v>2.1.1 )</v>
          </cell>
          <cell r="F5" t="str">
            <v>3.1.1 )</v>
          </cell>
        </row>
        <row r="6">
          <cell r="B6" t="str">
            <v>3.0 )</v>
          </cell>
          <cell r="C6" t="str">
            <v>1.2 )</v>
          </cell>
          <cell r="D6" t="str">
            <v>1.1.2 )</v>
          </cell>
          <cell r="E6" t="str">
            <v>2.1.2 )</v>
          </cell>
          <cell r="F6" t="str">
            <v>3.1.2 )</v>
          </cell>
        </row>
        <row r="7">
          <cell r="B7" t="str">
            <v>4.0 )</v>
          </cell>
          <cell r="C7" t="str">
            <v>1.3 )</v>
          </cell>
          <cell r="D7" t="str">
            <v>1.1.3 )</v>
          </cell>
          <cell r="E7" t="str">
            <v>2.1.3 )</v>
          </cell>
          <cell r="F7" t="str">
            <v>3.1.3 )</v>
          </cell>
        </row>
        <row r="8">
          <cell r="B8" t="str">
            <v>5.0 )</v>
          </cell>
          <cell r="C8" t="str">
            <v>1.4 )</v>
          </cell>
          <cell r="D8" t="str">
            <v>1.1.4 )</v>
          </cell>
          <cell r="E8" t="str">
            <v>2.1.4 )</v>
          </cell>
          <cell r="F8" t="str">
            <v>3.1.4 )</v>
          </cell>
        </row>
        <row r="9">
          <cell r="B9" t="str">
            <v>6.0 )</v>
          </cell>
          <cell r="C9" t="str">
            <v>1.5 )</v>
          </cell>
          <cell r="D9" t="str">
            <v>1.1.5 )</v>
          </cell>
          <cell r="E9" t="str">
            <v>2.1.5 )</v>
          </cell>
          <cell r="F9" t="str">
            <v>3.1.5 )</v>
          </cell>
        </row>
        <row r="10">
          <cell r="B10" t="str">
            <v>7.0 )</v>
          </cell>
          <cell r="C10" t="str">
            <v>1.6 )</v>
          </cell>
          <cell r="D10" t="str">
            <v>1.1.6 )</v>
          </cell>
          <cell r="E10" t="str">
            <v>2.1.6 )</v>
          </cell>
          <cell r="F10" t="str">
            <v>3.1.6 )</v>
          </cell>
        </row>
        <row r="11">
          <cell r="B11" t="str">
            <v>8.0 )</v>
          </cell>
          <cell r="C11" t="str">
            <v>1.7 )</v>
          </cell>
          <cell r="D11" t="str">
            <v>1.1.7 )</v>
          </cell>
          <cell r="E11" t="str">
            <v>2.1.7 )</v>
          </cell>
          <cell r="F11" t="str">
            <v>3.1.7 )</v>
          </cell>
        </row>
        <row r="12">
          <cell r="B12" t="str">
            <v>9.0 )</v>
          </cell>
          <cell r="C12" t="str">
            <v>1.8 )</v>
          </cell>
          <cell r="D12" t="str">
            <v>1.1.8 )</v>
          </cell>
          <cell r="E12" t="str">
            <v>2.1.8 )</v>
          </cell>
          <cell r="F12" t="str">
            <v>3.1.8 )</v>
          </cell>
        </row>
        <row r="13">
          <cell r="B13" t="str">
            <v>10.0 )</v>
          </cell>
          <cell r="C13" t="str">
            <v>1.9 )</v>
          </cell>
          <cell r="D13" t="str">
            <v>1.1.9 )</v>
          </cell>
          <cell r="E13" t="str">
            <v>2.1.9 )</v>
          </cell>
          <cell r="F13" t="str">
            <v>3.1.9 )</v>
          </cell>
        </row>
        <row r="14">
          <cell r="B14" t="str">
            <v>11.0 )</v>
          </cell>
          <cell r="C14" t="str">
            <v>1.10 )</v>
          </cell>
          <cell r="D14" t="str">
            <v>1.1.10 )</v>
          </cell>
          <cell r="E14" t="str">
            <v>2.1.10 )</v>
          </cell>
          <cell r="F14" t="str">
            <v>3.1.10 )</v>
          </cell>
        </row>
        <row r="15">
          <cell r="B15" t="str">
            <v>12.0 )</v>
          </cell>
          <cell r="C15" t="str">
            <v>1.11 )</v>
          </cell>
          <cell r="D15" t="str">
            <v>1.1.11 )</v>
          </cell>
          <cell r="E15" t="str">
            <v>2.1.11 )</v>
          </cell>
          <cell r="F15" t="str">
            <v>3.1.11 )</v>
          </cell>
        </row>
        <row r="16">
          <cell r="B16" t="str">
            <v>13.0 )</v>
          </cell>
          <cell r="C16" t="str">
            <v>1.12 )</v>
          </cell>
          <cell r="D16" t="str">
            <v>1.1.12 )</v>
          </cell>
          <cell r="E16" t="str">
            <v>2.1.12 )</v>
          </cell>
          <cell r="F16" t="str">
            <v>3.1.12 )</v>
          </cell>
        </row>
        <row r="17">
          <cell r="B17" t="str">
            <v>14.0 )</v>
          </cell>
          <cell r="C17" t="str">
            <v>1.13 )</v>
          </cell>
          <cell r="D17" t="str">
            <v>1.1.13 )</v>
          </cell>
          <cell r="E17" t="str">
            <v>2.1.13 )</v>
          </cell>
          <cell r="F17" t="str">
            <v>3.1.13 )</v>
          </cell>
        </row>
        <row r="18">
          <cell r="B18" t="str">
            <v>15.0 )</v>
          </cell>
          <cell r="C18" t="str">
            <v>1.14 )</v>
          </cell>
          <cell r="D18" t="str">
            <v>1.1.14 )</v>
          </cell>
          <cell r="E18" t="str">
            <v>2.1.14 )</v>
          </cell>
          <cell r="F18" t="str">
            <v>3.1.14 )</v>
          </cell>
        </row>
        <row r="19">
          <cell r="B19" t="str">
            <v>16.0 )</v>
          </cell>
          <cell r="C19" t="str">
            <v>1.15 )</v>
          </cell>
          <cell r="D19" t="str">
            <v>1.1.15 )</v>
          </cell>
          <cell r="E19" t="str">
            <v>2.1.15 )</v>
          </cell>
          <cell r="F19" t="str">
            <v>3.1.15 )</v>
          </cell>
        </row>
        <row r="20">
          <cell r="B20" t="str">
            <v>17.0 )</v>
          </cell>
          <cell r="C20" t="str">
            <v>1.16 )</v>
          </cell>
          <cell r="D20" t="str">
            <v>1.1.16 )</v>
          </cell>
          <cell r="E20" t="str">
            <v>2.1.16 )</v>
          </cell>
          <cell r="F20" t="str">
            <v>3.1.16 )</v>
          </cell>
        </row>
        <row r="21">
          <cell r="B21" t="str">
            <v>18.0 )</v>
          </cell>
          <cell r="C21" t="str">
            <v>1.17 )</v>
          </cell>
          <cell r="D21" t="str">
            <v>1.1.17 )</v>
          </cell>
          <cell r="E21" t="str">
            <v>2.1.17 )</v>
          </cell>
          <cell r="F21" t="str">
            <v>3.1.17 )</v>
          </cell>
        </row>
        <row r="22">
          <cell r="B22" t="str">
            <v>19.0 )</v>
          </cell>
          <cell r="C22" t="str">
            <v>1.18 )</v>
          </cell>
          <cell r="D22" t="str">
            <v>1.1.18 )</v>
          </cell>
          <cell r="E22" t="str">
            <v>2.1.18 )</v>
          </cell>
          <cell r="F22" t="str">
            <v>3.1.18 )</v>
          </cell>
        </row>
        <row r="23">
          <cell r="B23" t="str">
            <v>20.0 )</v>
          </cell>
          <cell r="C23" t="str">
            <v>1.19 )</v>
          </cell>
          <cell r="D23" t="str">
            <v>1.1.19 )</v>
          </cell>
          <cell r="E23" t="str">
            <v>2.1.19 )</v>
          </cell>
          <cell r="F23" t="str">
            <v>3.1.19 )</v>
          </cell>
        </row>
        <row r="24">
          <cell r="B24" t="str">
            <v>21.0 )</v>
          </cell>
          <cell r="C24" t="str">
            <v>1.20 )</v>
          </cell>
          <cell r="D24" t="str">
            <v>1.1.20 )</v>
          </cell>
          <cell r="E24" t="str">
            <v>2.1.20 )</v>
          </cell>
          <cell r="F24" t="str">
            <v>3.1.20 )</v>
          </cell>
        </row>
        <row r="25">
          <cell r="B25" t="str">
            <v>22.0 )</v>
          </cell>
          <cell r="C25" t="str">
            <v>2.0 )</v>
          </cell>
          <cell r="D25" t="str">
            <v>1.2.0 )</v>
          </cell>
          <cell r="E25" t="str">
            <v>2.2.0 )</v>
          </cell>
          <cell r="F25" t="str">
            <v>3.2.0 )</v>
          </cell>
        </row>
        <row r="26">
          <cell r="B26" t="str">
            <v>23.0 )</v>
          </cell>
          <cell r="C26" t="str">
            <v>2.1 )</v>
          </cell>
          <cell r="D26" t="str">
            <v>1.2.1 )</v>
          </cell>
          <cell r="E26" t="str">
            <v>2.2.1 )</v>
          </cell>
          <cell r="F26" t="str">
            <v>3.2.1 )</v>
          </cell>
        </row>
        <row r="27">
          <cell r="B27" t="str">
            <v>24.0 )</v>
          </cell>
          <cell r="C27" t="str">
            <v>2.2 )</v>
          </cell>
          <cell r="D27" t="str">
            <v>1.2.2 )</v>
          </cell>
          <cell r="E27" t="str">
            <v>2.2.2 )</v>
          </cell>
          <cell r="F27" t="str">
            <v>3.2.2 )</v>
          </cell>
        </row>
        <row r="28">
          <cell r="B28" t="str">
            <v>25.0 )</v>
          </cell>
          <cell r="C28" t="str">
            <v>2.3 )</v>
          </cell>
          <cell r="D28" t="str">
            <v>1.2.3 )</v>
          </cell>
          <cell r="E28" t="str">
            <v>2.2.3 )</v>
          </cell>
          <cell r="F28" t="str">
            <v>3.2.3 )</v>
          </cell>
        </row>
        <row r="29">
          <cell r="B29" t="str">
            <v>26.0 )</v>
          </cell>
          <cell r="C29" t="str">
            <v>2.4 )</v>
          </cell>
          <cell r="D29" t="str">
            <v>1.2.4 )</v>
          </cell>
          <cell r="E29" t="str">
            <v>2.2.4 )</v>
          </cell>
          <cell r="F29" t="str">
            <v>3.2.4 )</v>
          </cell>
        </row>
        <row r="30">
          <cell r="B30" t="str">
            <v>27.0 )</v>
          </cell>
          <cell r="C30" t="str">
            <v>2.5 )</v>
          </cell>
          <cell r="D30" t="str">
            <v>1.2.5 )</v>
          </cell>
          <cell r="E30" t="str">
            <v>2.2.5 )</v>
          </cell>
          <cell r="F30" t="str">
            <v>3.2.5 )</v>
          </cell>
        </row>
        <row r="31">
          <cell r="B31" t="str">
            <v>28.0 )</v>
          </cell>
          <cell r="C31" t="str">
            <v>2.6 )</v>
          </cell>
          <cell r="D31" t="str">
            <v>1.2.6 )</v>
          </cell>
          <cell r="E31" t="str">
            <v>2.2.6 )</v>
          </cell>
          <cell r="F31" t="str">
            <v>3.2.6 )</v>
          </cell>
        </row>
        <row r="32">
          <cell r="B32" t="str">
            <v>29.0 )</v>
          </cell>
          <cell r="C32" t="str">
            <v>2.7 )</v>
          </cell>
          <cell r="D32" t="str">
            <v>1.2.7 )</v>
          </cell>
          <cell r="E32" t="str">
            <v>2.2.7 )</v>
          </cell>
          <cell r="F32" t="str">
            <v>3.2.7 )</v>
          </cell>
        </row>
        <row r="33">
          <cell r="B33" t="str">
            <v>30.0 )</v>
          </cell>
          <cell r="C33" t="str">
            <v>2.8 )</v>
          </cell>
          <cell r="D33" t="str">
            <v>1.2.8 )</v>
          </cell>
          <cell r="E33" t="str">
            <v>2.2.8 )</v>
          </cell>
          <cell r="F33" t="str">
            <v>3.2.8 )</v>
          </cell>
        </row>
        <row r="34">
          <cell r="B34" t="str">
            <v>31.0 )</v>
          </cell>
          <cell r="C34" t="str">
            <v>2.9 )</v>
          </cell>
          <cell r="D34" t="str">
            <v>1.2.9 )</v>
          </cell>
          <cell r="E34" t="str">
            <v>2.2.9 )</v>
          </cell>
          <cell r="F34" t="str">
            <v>3.2.9 )</v>
          </cell>
        </row>
        <row r="35">
          <cell r="B35" t="str">
            <v>32.0 )</v>
          </cell>
          <cell r="C35" t="str">
            <v>2.10 )</v>
          </cell>
          <cell r="D35" t="str">
            <v>1.2.10 )</v>
          </cell>
          <cell r="E35" t="str">
            <v>2.2.10 )</v>
          </cell>
          <cell r="F35" t="str">
            <v>3.2.10 )</v>
          </cell>
        </row>
        <row r="36">
          <cell r="B36" t="str">
            <v>33.0 )</v>
          </cell>
          <cell r="C36" t="str">
            <v>2.11 )</v>
          </cell>
          <cell r="D36" t="str">
            <v>1.2.11 )</v>
          </cell>
          <cell r="E36" t="str">
            <v>2.2.11 )</v>
          </cell>
          <cell r="F36" t="str">
            <v>3.2.11 )</v>
          </cell>
        </row>
        <row r="37">
          <cell r="B37" t="str">
            <v>34.0 )</v>
          </cell>
          <cell r="C37" t="str">
            <v>2.12 )</v>
          </cell>
          <cell r="D37" t="str">
            <v>1.2.12 )</v>
          </cell>
          <cell r="E37" t="str">
            <v>2.2.12 )</v>
          </cell>
          <cell r="F37" t="str">
            <v>3.2.12 )</v>
          </cell>
        </row>
        <row r="38">
          <cell r="B38" t="str">
            <v>35.0 )</v>
          </cell>
          <cell r="C38" t="str">
            <v>2.13 )</v>
          </cell>
          <cell r="D38" t="str">
            <v>1.2.13 )</v>
          </cell>
          <cell r="E38" t="str">
            <v>2.2.13 )</v>
          </cell>
          <cell r="F38" t="str">
            <v>3.2.13 )</v>
          </cell>
        </row>
        <row r="39">
          <cell r="B39" t="str">
            <v>36.0 )</v>
          </cell>
          <cell r="C39" t="str">
            <v>2.14 )</v>
          </cell>
          <cell r="D39" t="str">
            <v>1.2.14 )</v>
          </cell>
          <cell r="E39" t="str">
            <v>2.2.14 )</v>
          </cell>
          <cell r="F39" t="str">
            <v>3.2.14 )</v>
          </cell>
        </row>
        <row r="40">
          <cell r="B40" t="str">
            <v>37.0 )</v>
          </cell>
          <cell r="C40" t="str">
            <v>2.15 )</v>
          </cell>
          <cell r="D40" t="str">
            <v>1.2.15 )</v>
          </cell>
          <cell r="E40" t="str">
            <v>2.2.15 )</v>
          </cell>
          <cell r="F40" t="str">
            <v>3.2.15 )</v>
          </cell>
        </row>
        <row r="41">
          <cell r="B41" t="str">
            <v>38.0 )</v>
          </cell>
          <cell r="C41" t="str">
            <v>2.16 )</v>
          </cell>
          <cell r="D41" t="str">
            <v>1.2.16 )</v>
          </cell>
          <cell r="E41" t="str">
            <v>2.2.16 )</v>
          </cell>
          <cell r="F41" t="str">
            <v>3.2.16 )</v>
          </cell>
        </row>
        <row r="42">
          <cell r="B42" t="str">
            <v>39.0 )</v>
          </cell>
          <cell r="C42" t="str">
            <v>2.17 )</v>
          </cell>
          <cell r="D42" t="str">
            <v>1.2.17 )</v>
          </cell>
          <cell r="E42" t="str">
            <v>2.2.17 )</v>
          </cell>
          <cell r="F42" t="str">
            <v>3.2.17 )</v>
          </cell>
        </row>
        <row r="43">
          <cell r="B43" t="str">
            <v>40.0 )</v>
          </cell>
          <cell r="C43" t="str">
            <v>2.18 )</v>
          </cell>
          <cell r="D43" t="str">
            <v>1.2.18 )</v>
          </cell>
          <cell r="E43" t="str">
            <v>2.2.18 )</v>
          </cell>
          <cell r="F43" t="str">
            <v>3.2.18 )</v>
          </cell>
        </row>
        <row r="44">
          <cell r="B44" t="str">
            <v>41.0 )</v>
          </cell>
          <cell r="C44" t="str">
            <v>2.19 )</v>
          </cell>
          <cell r="D44" t="str">
            <v>1.2.19 )</v>
          </cell>
          <cell r="E44" t="str">
            <v>2.2.19 )</v>
          </cell>
          <cell r="F44" t="str">
            <v>3.2.19 )</v>
          </cell>
        </row>
        <row r="45">
          <cell r="B45" t="str">
            <v>42.0 )</v>
          </cell>
          <cell r="C45" t="str">
            <v>2.20 )</v>
          </cell>
          <cell r="D45" t="str">
            <v>1.2.20 )</v>
          </cell>
          <cell r="E45" t="str">
            <v>2.2.20 )</v>
          </cell>
          <cell r="F45" t="str">
            <v>3.2.20 )</v>
          </cell>
        </row>
        <row r="46">
          <cell r="B46" t="str">
            <v>43.0 )</v>
          </cell>
          <cell r="C46" t="str">
            <v>3.0 )</v>
          </cell>
          <cell r="D46" t="str">
            <v>1.3.0 )</v>
          </cell>
          <cell r="E46" t="str">
            <v>2.3.0 )</v>
          </cell>
          <cell r="F46" t="str">
            <v>3.3.0 )</v>
          </cell>
        </row>
        <row r="47">
          <cell r="B47" t="str">
            <v>44.0 )</v>
          </cell>
          <cell r="C47" t="str">
            <v>3.1 )</v>
          </cell>
          <cell r="D47" t="str">
            <v>1.3.1 )</v>
          </cell>
          <cell r="E47" t="str">
            <v>2.3.1 )</v>
          </cell>
          <cell r="F47" t="str">
            <v>3.3.1 )</v>
          </cell>
        </row>
        <row r="48">
          <cell r="B48" t="str">
            <v>45.0 )</v>
          </cell>
          <cell r="C48" t="str">
            <v>3.2 )</v>
          </cell>
          <cell r="D48" t="str">
            <v>1.3.2 )</v>
          </cell>
          <cell r="E48" t="str">
            <v>2.3.2 )</v>
          </cell>
          <cell r="F48" t="str">
            <v>3.3.2 )</v>
          </cell>
        </row>
        <row r="49">
          <cell r="B49" t="str">
            <v>46.0 )</v>
          </cell>
          <cell r="C49" t="str">
            <v>3.3 )</v>
          </cell>
          <cell r="D49" t="str">
            <v>1.3.3 )</v>
          </cell>
          <cell r="E49" t="str">
            <v>2.3.3 )</v>
          </cell>
          <cell r="F49" t="str">
            <v>3.3.3 )</v>
          </cell>
        </row>
        <row r="50">
          <cell r="B50" t="str">
            <v>47.0 )</v>
          </cell>
          <cell r="C50" t="str">
            <v>3.4 )</v>
          </cell>
          <cell r="D50" t="str">
            <v>1.3.4 )</v>
          </cell>
          <cell r="E50" t="str">
            <v>2.3.4 )</v>
          </cell>
          <cell r="F50" t="str">
            <v>3.3.4 )</v>
          </cell>
        </row>
        <row r="51">
          <cell r="B51" t="str">
            <v>48.0 )</v>
          </cell>
          <cell r="C51" t="str">
            <v>3.5 )</v>
          </cell>
          <cell r="D51" t="str">
            <v>1.3.5 )</v>
          </cell>
          <cell r="E51" t="str">
            <v>2.3.5 )</v>
          </cell>
          <cell r="F51" t="str">
            <v>3.3.5 )</v>
          </cell>
        </row>
        <row r="52">
          <cell r="B52" t="str">
            <v>49.0 )</v>
          </cell>
          <cell r="C52" t="str">
            <v>3.6 )</v>
          </cell>
          <cell r="D52" t="str">
            <v>1.3.6 )</v>
          </cell>
          <cell r="E52" t="str">
            <v>2.3.6 )</v>
          </cell>
          <cell r="F52" t="str">
            <v>3.3.6 )</v>
          </cell>
        </row>
        <row r="53">
          <cell r="B53" t="str">
            <v>50.0 )</v>
          </cell>
          <cell r="C53" t="str">
            <v>3.7 )</v>
          </cell>
          <cell r="D53" t="str">
            <v>1.3.7 )</v>
          </cell>
          <cell r="E53" t="str">
            <v>2.3.7 )</v>
          </cell>
          <cell r="F53" t="str">
            <v>3.3.7 )</v>
          </cell>
        </row>
        <row r="54">
          <cell r="B54" t="str">
            <v>51.0 )</v>
          </cell>
          <cell r="C54" t="str">
            <v>3.8 )</v>
          </cell>
          <cell r="D54" t="str">
            <v>1.3.8 )</v>
          </cell>
          <cell r="E54" t="str">
            <v>2.3.8 )</v>
          </cell>
          <cell r="F54" t="str">
            <v>3.3.8 )</v>
          </cell>
        </row>
        <row r="55">
          <cell r="B55" t="str">
            <v>52.0 )</v>
          </cell>
          <cell r="C55" t="str">
            <v>3.9 )</v>
          </cell>
          <cell r="D55" t="str">
            <v>1.3.9 )</v>
          </cell>
          <cell r="E55" t="str">
            <v>2.3.9 )</v>
          </cell>
          <cell r="F55" t="str">
            <v>3.3.9 )</v>
          </cell>
        </row>
        <row r="56">
          <cell r="B56" t="str">
            <v>53.0 )</v>
          </cell>
          <cell r="C56" t="str">
            <v>3.10 )</v>
          </cell>
          <cell r="D56" t="str">
            <v>1.3.10 )</v>
          </cell>
          <cell r="E56" t="str">
            <v>2.3.10 )</v>
          </cell>
          <cell r="F56" t="str">
            <v>3.3.10 )</v>
          </cell>
        </row>
        <row r="57">
          <cell r="B57" t="str">
            <v>54.0 )</v>
          </cell>
          <cell r="C57" t="str">
            <v>3.11 )</v>
          </cell>
          <cell r="D57" t="str">
            <v>1.3.11 )</v>
          </cell>
          <cell r="E57" t="str">
            <v>2.3.11 )</v>
          </cell>
          <cell r="F57" t="str">
            <v>3.3.11 )</v>
          </cell>
        </row>
        <row r="58">
          <cell r="B58" t="str">
            <v>55.0 )</v>
          </cell>
          <cell r="C58" t="str">
            <v>3.12 )</v>
          </cell>
          <cell r="D58" t="str">
            <v>1.3.12 )</v>
          </cell>
          <cell r="E58" t="str">
            <v>2.3.12 )</v>
          </cell>
          <cell r="F58" t="str">
            <v>3.3.12 )</v>
          </cell>
        </row>
        <row r="59">
          <cell r="B59" t="str">
            <v>56.0 )</v>
          </cell>
          <cell r="C59" t="str">
            <v>3.13 )</v>
          </cell>
          <cell r="D59" t="str">
            <v>1.3.13 )</v>
          </cell>
          <cell r="E59" t="str">
            <v>2.3.13 )</v>
          </cell>
          <cell r="F59" t="str">
            <v>3.3.13 )</v>
          </cell>
        </row>
        <row r="60">
          <cell r="B60" t="str">
            <v>57.0 )</v>
          </cell>
          <cell r="C60" t="str">
            <v>3.14 )</v>
          </cell>
          <cell r="D60" t="str">
            <v>1.3.14 )</v>
          </cell>
          <cell r="E60" t="str">
            <v>2.3.14 )</v>
          </cell>
          <cell r="F60" t="str">
            <v>3.3.14 )</v>
          </cell>
        </row>
        <row r="61">
          <cell r="B61" t="str">
            <v>58.0 )</v>
          </cell>
          <cell r="C61" t="str">
            <v>3.15 )</v>
          </cell>
          <cell r="D61" t="str">
            <v>1.3.15 )</v>
          </cell>
          <cell r="E61" t="str">
            <v>2.3.15 )</v>
          </cell>
          <cell r="F61" t="str">
            <v>3.3.15 )</v>
          </cell>
        </row>
        <row r="62">
          <cell r="B62" t="str">
            <v>59.0 )</v>
          </cell>
          <cell r="C62" t="str">
            <v>3.16 )</v>
          </cell>
          <cell r="D62" t="str">
            <v>1.3.16 )</v>
          </cell>
          <cell r="E62" t="str">
            <v>2.3.16 )</v>
          </cell>
          <cell r="F62" t="str">
            <v>3.3.16 )</v>
          </cell>
        </row>
        <row r="63">
          <cell r="B63" t="str">
            <v>60.0 )</v>
          </cell>
          <cell r="C63" t="str">
            <v>3.17 )</v>
          </cell>
          <cell r="D63" t="str">
            <v>1.3.17 )</v>
          </cell>
          <cell r="E63" t="str">
            <v>2.3.17 )</v>
          </cell>
          <cell r="F63" t="str">
            <v>3.3.17 )</v>
          </cell>
        </row>
        <row r="64">
          <cell r="B64" t="str">
            <v>61.0 )</v>
          </cell>
          <cell r="C64" t="str">
            <v>3.18 )</v>
          </cell>
          <cell r="D64" t="str">
            <v>1.3.18 )</v>
          </cell>
          <cell r="E64" t="str">
            <v>2.3.18 )</v>
          </cell>
          <cell r="F64" t="str">
            <v>3.3.18 )</v>
          </cell>
        </row>
        <row r="65">
          <cell r="B65" t="str">
            <v>62.0 )</v>
          </cell>
          <cell r="C65" t="str">
            <v>3.19 )</v>
          </cell>
          <cell r="D65" t="str">
            <v>1.3.19 )</v>
          </cell>
          <cell r="E65" t="str">
            <v>2.3.19 )</v>
          </cell>
          <cell r="F65" t="str">
            <v>3.3.19 )</v>
          </cell>
        </row>
        <row r="66">
          <cell r="B66" t="str">
            <v>63.0 )</v>
          </cell>
          <cell r="C66" t="str">
            <v>3.20 )</v>
          </cell>
          <cell r="D66" t="str">
            <v>1.3.20 )</v>
          </cell>
          <cell r="E66" t="str">
            <v>2.3.20 )</v>
          </cell>
          <cell r="F66" t="str">
            <v>3.3.20 )</v>
          </cell>
        </row>
        <row r="67">
          <cell r="B67" t="str">
            <v>64.0 )</v>
          </cell>
          <cell r="C67" t="str">
            <v>4.0 )</v>
          </cell>
          <cell r="D67" t="str">
            <v>1.4.0 )</v>
          </cell>
          <cell r="E67" t="str">
            <v>2.4.0 )</v>
          </cell>
          <cell r="F67" t="str">
            <v>3.4.0 )</v>
          </cell>
        </row>
        <row r="68">
          <cell r="B68" t="str">
            <v>65.0 )</v>
          </cell>
          <cell r="C68" t="str">
            <v>4.1 )</v>
          </cell>
          <cell r="D68" t="str">
            <v>1.4.1 )</v>
          </cell>
          <cell r="E68" t="str">
            <v>2.4.1 )</v>
          </cell>
          <cell r="F68" t="str">
            <v>3.4.1 )</v>
          </cell>
        </row>
        <row r="69">
          <cell r="B69" t="str">
            <v>66.0 )</v>
          </cell>
          <cell r="C69" t="str">
            <v>4.2 )</v>
          </cell>
          <cell r="D69" t="str">
            <v>1.4.2 )</v>
          </cell>
          <cell r="E69" t="str">
            <v>2.4.2 )</v>
          </cell>
          <cell r="F69" t="str">
            <v>3.4.2 )</v>
          </cell>
        </row>
        <row r="70">
          <cell r="B70" t="str">
            <v>67.0 )</v>
          </cell>
          <cell r="C70" t="str">
            <v>4.3 )</v>
          </cell>
          <cell r="D70" t="str">
            <v>1.4.3 )</v>
          </cell>
          <cell r="E70" t="str">
            <v>2.4.3 )</v>
          </cell>
          <cell r="F70" t="str">
            <v>3.4.3 )</v>
          </cell>
        </row>
        <row r="71">
          <cell r="B71" t="str">
            <v>68.0 )</v>
          </cell>
          <cell r="C71" t="str">
            <v>4.4 )</v>
          </cell>
          <cell r="D71" t="str">
            <v>1.4.4 )</v>
          </cell>
          <cell r="E71" t="str">
            <v>2.4.4 )</v>
          </cell>
          <cell r="F71" t="str">
            <v>3.4.4 )</v>
          </cell>
        </row>
        <row r="72">
          <cell r="B72" t="str">
            <v>69.0 )</v>
          </cell>
          <cell r="C72" t="str">
            <v>4.5 )</v>
          </cell>
          <cell r="D72" t="str">
            <v>1.4.5 )</v>
          </cell>
          <cell r="E72" t="str">
            <v>2.4.5 )</v>
          </cell>
          <cell r="F72" t="str">
            <v>3.4.5 )</v>
          </cell>
        </row>
        <row r="73">
          <cell r="B73" t="str">
            <v>70.0 )</v>
          </cell>
          <cell r="C73" t="str">
            <v>4.6 )</v>
          </cell>
          <cell r="D73" t="str">
            <v>1.4.6 )</v>
          </cell>
          <cell r="E73" t="str">
            <v>2.4.6 )</v>
          </cell>
          <cell r="F73" t="str">
            <v>3.4.6 )</v>
          </cell>
        </row>
        <row r="74">
          <cell r="B74" t="str">
            <v>71.0 )</v>
          </cell>
          <cell r="C74" t="str">
            <v>4.7 )</v>
          </cell>
          <cell r="D74" t="str">
            <v>1.4.7 )</v>
          </cell>
          <cell r="E74" t="str">
            <v>2.4.7 )</v>
          </cell>
          <cell r="F74" t="str">
            <v>3.4.7 )</v>
          </cell>
        </row>
        <row r="75">
          <cell r="B75" t="str">
            <v>72.0 )</v>
          </cell>
          <cell r="C75" t="str">
            <v>4.8 )</v>
          </cell>
          <cell r="D75" t="str">
            <v>1.4.8 )</v>
          </cell>
          <cell r="E75" t="str">
            <v>2.4.8 )</v>
          </cell>
          <cell r="F75" t="str">
            <v>3.4.8 )</v>
          </cell>
        </row>
        <row r="76">
          <cell r="B76" t="str">
            <v>73.0 )</v>
          </cell>
          <cell r="C76" t="str">
            <v>4.9 )</v>
          </cell>
          <cell r="D76" t="str">
            <v>1.4.9 )</v>
          </cell>
          <cell r="E76" t="str">
            <v>2.4.9 )</v>
          </cell>
          <cell r="F76" t="str">
            <v>3.4.9 )</v>
          </cell>
        </row>
        <row r="77">
          <cell r="B77" t="str">
            <v>74.0 )</v>
          </cell>
          <cell r="C77" t="str">
            <v>4.10 )</v>
          </cell>
          <cell r="D77" t="str">
            <v>1.4.10 )</v>
          </cell>
          <cell r="E77" t="str">
            <v>2.4.10 )</v>
          </cell>
          <cell r="F77" t="str">
            <v>3.4.10 )</v>
          </cell>
        </row>
        <row r="78">
          <cell r="B78" t="str">
            <v>75.0 )</v>
          </cell>
          <cell r="C78" t="str">
            <v>4.11 )</v>
          </cell>
          <cell r="D78" t="str">
            <v>1.4.11 )</v>
          </cell>
          <cell r="E78" t="str">
            <v>2.4.11 )</v>
          </cell>
          <cell r="F78" t="str">
            <v>3.4.11 )</v>
          </cell>
        </row>
        <row r="79">
          <cell r="B79" t="str">
            <v>76.0 )</v>
          </cell>
          <cell r="C79" t="str">
            <v>4.12 )</v>
          </cell>
          <cell r="D79" t="str">
            <v>1.4.12 )</v>
          </cell>
          <cell r="E79" t="str">
            <v>2.4.12 )</v>
          </cell>
          <cell r="F79" t="str">
            <v>3.4.12 )</v>
          </cell>
        </row>
        <row r="80">
          <cell r="B80" t="str">
            <v>77.0 )</v>
          </cell>
          <cell r="C80" t="str">
            <v>4.13 )</v>
          </cell>
          <cell r="D80" t="str">
            <v>1.4.13 )</v>
          </cell>
          <cell r="E80" t="str">
            <v>2.4.13 )</v>
          </cell>
          <cell r="F80" t="str">
            <v>3.4.13 )</v>
          </cell>
        </row>
        <row r="81">
          <cell r="B81" t="str">
            <v>78.0 )</v>
          </cell>
          <cell r="C81" t="str">
            <v>4.14 )</v>
          </cell>
          <cell r="D81" t="str">
            <v>1.4.14 )</v>
          </cell>
          <cell r="E81" t="str">
            <v>2.4.14 )</v>
          </cell>
          <cell r="F81" t="str">
            <v>3.4.14 )</v>
          </cell>
        </row>
        <row r="82">
          <cell r="B82" t="str">
            <v>79.0 )</v>
          </cell>
          <cell r="C82" t="str">
            <v>4.15 )</v>
          </cell>
          <cell r="D82" t="str">
            <v>1.4.15 )</v>
          </cell>
          <cell r="E82" t="str">
            <v>2.4.15 )</v>
          </cell>
          <cell r="F82" t="str">
            <v>3.4.15 )</v>
          </cell>
        </row>
        <row r="83">
          <cell r="B83" t="str">
            <v>80.0 )</v>
          </cell>
          <cell r="C83" t="str">
            <v>4.16 )</v>
          </cell>
          <cell r="D83" t="str">
            <v>1.4.16 )</v>
          </cell>
          <cell r="E83" t="str">
            <v>2.4.16 )</v>
          </cell>
          <cell r="F83" t="str">
            <v>3.4.16 )</v>
          </cell>
        </row>
        <row r="84">
          <cell r="B84" t="str">
            <v>81.0 )</v>
          </cell>
          <cell r="C84" t="str">
            <v>4.17 )</v>
          </cell>
          <cell r="D84" t="str">
            <v>1.4.17 )</v>
          </cell>
          <cell r="E84" t="str">
            <v>2.4.17 )</v>
          </cell>
          <cell r="F84" t="str">
            <v>3.4.17 )</v>
          </cell>
        </row>
        <row r="85">
          <cell r="B85" t="str">
            <v>82.0 )</v>
          </cell>
          <cell r="C85" t="str">
            <v>4.18 )</v>
          </cell>
          <cell r="D85" t="str">
            <v>1.4.18 )</v>
          </cell>
          <cell r="E85" t="str">
            <v>2.4.18 )</v>
          </cell>
          <cell r="F85" t="str">
            <v>3.4.18 )</v>
          </cell>
        </row>
        <row r="86">
          <cell r="B86" t="str">
            <v>83.0 )</v>
          </cell>
          <cell r="C86" t="str">
            <v>4.19 )</v>
          </cell>
          <cell r="D86" t="str">
            <v>1.4.19 )</v>
          </cell>
          <cell r="E86" t="str">
            <v>2.4.19 )</v>
          </cell>
          <cell r="F86" t="str">
            <v>3.4.19 )</v>
          </cell>
        </row>
        <row r="87">
          <cell r="B87" t="str">
            <v>84.0 )</v>
          </cell>
          <cell r="C87" t="str">
            <v>4.20 )</v>
          </cell>
          <cell r="D87" t="str">
            <v>1.4.20 )</v>
          </cell>
          <cell r="E87" t="str">
            <v>2.4.20 )</v>
          </cell>
          <cell r="F87" t="str">
            <v>3.4.20 )</v>
          </cell>
        </row>
        <row r="88">
          <cell r="B88" t="str">
            <v>85.0 )</v>
          </cell>
          <cell r="C88" t="str">
            <v>5.0 )</v>
          </cell>
          <cell r="D88" t="str">
            <v>1.5.0 )</v>
          </cell>
          <cell r="E88" t="str">
            <v>2.5.0 )</v>
          </cell>
          <cell r="F88" t="str">
            <v>3.5.0 )</v>
          </cell>
        </row>
        <row r="89">
          <cell r="B89" t="str">
            <v>86.0 )</v>
          </cell>
          <cell r="C89" t="str">
            <v>5.1 )</v>
          </cell>
          <cell r="D89" t="str">
            <v>1.5.1 )</v>
          </cell>
          <cell r="E89" t="str">
            <v>2.5.1 )</v>
          </cell>
          <cell r="F89" t="str">
            <v>3.5.1 )</v>
          </cell>
        </row>
        <row r="90">
          <cell r="B90" t="str">
            <v>87.0 )</v>
          </cell>
          <cell r="C90" t="str">
            <v>5.2 )</v>
          </cell>
          <cell r="D90" t="str">
            <v>1.5.2 )</v>
          </cell>
          <cell r="E90" t="str">
            <v>2.5.2 )</v>
          </cell>
          <cell r="F90" t="str">
            <v>3.5.2 )</v>
          </cell>
        </row>
        <row r="91">
          <cell r="B91" t="str">
            <v>88.0 )</v>
          </cell>
          <cell r="C91" t="str">
            <v>5.3 )</v>
          </cell>
          <cell r="D91" t="str">
            <v>1.5.3 )</v>
          </cell>
          <cell r="E91" t="str">
            <v>2.5.3 )</v>
          </cell>
          <cell r="F91" t="str">
            <v>3.5.3 )</v>
          </cell>
        </row>
        <row r="92">
          <cell r="B92" t="str">
            <v>89.0 )</v>
          </cell>
          <cell r="C92" t="str">
            <v>5.4 )</v>
          </cell>
          <cell r="D92" t="str">
            <v>1.5.4 )</v>
          </cell>
          <cell r="E92" t="str">
            <v>2.5.4 )</v>
          </cell>
          <cell r="F92" t="str">
            <v>3.5.4 )</v>
          </cell>
        </row>
        <row r="93">
          <cell r="B93" t="str">
            <v>90.0 )</v>
          </cell>
          <cell r="C93" t="str">
            <v>5.5 )</v>
          </cell>
          <cell r="D93" t="str">
            <v>1.5.5 )</v>
          </cell>
          <cell r="E93" t="str">
            <v>2.5.5 )</v>
          </cell>
          <cell r="F93" t="str">
            <v>3.5.5 )</v>
          </cell>
        </row>
        <row r="94">
          <cell r="B94" t="str">
            <v>91.0 )</v>
          </cell>
          <cell r="C94" t="str">
            <v>5.6 )</v>
          </cell>
          <cell r="D94" t="str">
            <v>1.5.6 )</v>
          </cell>
          <cell r="E94" t="str">
            <v>2.5.6 )</v>
          </cell>
          <cell r="F94" t="str">
            <v>3.5.6 )</v>
          </cell>
        </row>
        <row r="95">
          <cell r="B95" t="str">
            <v>92.0 )</v>
          </cell>
          <cell r="C95" t="str">
            <v>5.7 )</v>
          </cell>
          <cell r="D95" t="str">
            <v>1.5.7 )</v>
          </cell>
          <cell r="E95" t="str">
            <v>2.5.7 )</v>
          </cell>
          <cell r="F95" t="str">
            <v>3.5.7 )</v>
          </cell>
        </row>
        <row r="96">
          <cell r="B96" t="str">
            <v>93.0 )</v>
          </cell>
          <cell r="C96" t="str">
            <v>5.8 )</v>
          </cell>
          <cell r="D96" t="str">
            <v>1.5.8 )</v>
          </cell>
          <cell r="E96" t="str">
            <v>2.5.8 )</v>
          </cell>
          <cell r="F96" t="str">
            <v>3.5.8 )</v>
          </cell>
        </row>
        <row r="97">
          <cell r="B97" t="str">
            <v>94.0 )</v>
          </cell>
          <cell r="C97" t="str">
            <v>5.9 )</v>
          </cell>
          <cell r="D97" t="str">
            <v>1.5.9 )</v>
          </cell>
          <cell r="E97" t="str">
            <v>2.5.9 )</v>
          </cell>
          <cell r="F97" t="str">
            <v>3.5.9 )</v>
          </cell>
        </row>
        <row r="98">
          <cell r="B98" t="str">
            <v>95.0 )</v>
          </cell>
          <cell r="C98" t="str">
            <v>5.10 )</v>
          </cell>
          <cell r="D98" t="str">
            <v>1.5.10 )</v>
          </cell>
          <cell r="E98" t="str">
            <v>2.5.10 )</v>
          </cell>
          <cell r="F98" t="str">
            <v>3.5.10 )</v>
          </cell>
        </row>
        <row r="99">
          <cell r="B99" t="str">
            <v>96.0 )</v>
          </cell>
          <cell r="C99" t="str">
            <v>5.11 )</v>
          </cell>
          <cell r="D99" t="str">
            <v>1.5.11 )</v>
          </cell>
          <cell r="E99" t="str">
            <v>2.5.11 )</v>
          </cell>
          <cell r="F99" t="str">
            <v>3.5.11 )</v>
          </cell>
        </row>
        <row r="100">
          <cell r="B100" t="str">
            <v>97.0 )</v>
          </cell>
          <cell r="C100" t="str">
            <v>5.12 )</v>
          </cell>
          <cell r="D100" t="str">
            <v>1.5.12 )</v>
          </cell>
          <cell r="E100" t="str">
            <v>2.5.12 )</v>
          </cell>
          <cell r="F100" t="str">
            <v>3.5.12 )</v>
          </cell>
        </row>
        <row r="101">
          <cell r="B101" t="str">
            <v>98.0 )</v>
          </cell>
          <cell r="C101" t="str">
            <v>5.13 )</v>
          </cell>
          <cell r="D101" t="str">
            <v>1.5.13 )</v>
          </cell>
          <cell r="E101" t="str">
            <v>2.5.13 )</v>
          </cell>
          <cell r="F101" t="str">
            <v>3.5.13 )</v>
          </cell>
        </row>
        <row r="102">
          <cell r="B102" t="str">
            <v>99.0 )</v>
          </cell>
          <cell r="C102" t="str">
            <v>5.14 )</v>
          </cell>
          <cell r="D102" t="str">
            <v>1.5.14 )</v>
          </cell>
          <cell r="E102" t="str">
            <v>2.5.14 )</v>
          </cell>
          <cell r="F102" t="str">
            <v>3.5.14 )</v>
          </cell>
        </row>
        <row r="103">
          <cell r="B103" t="str">
            <v>100.0 )</v>
          </cell>
          <cell r="C103" t="str">
            <v>5.15 )</v>
          </cell>
          <cell r="D103" t="str">
            <v>1.5.15 )</v>
          </cell>
          <cell r="E103" t="str">
            <v>2.5.15 )</v>
          </cell>
          <cell r="F103" t="str">
            <v>3.5.15 )</v>
          </cell>
        </row>
        <row r="104">
          <cell r="B104" t="str">
            <v>101.0 )</v>
          </cell>
          <cell r="C104" t="str">
            <v>5.16 )</v>
          </cell>
          <cell r="D104" t="str">
            <v>1.5.16 )</v>
          </cell>
          <cell r="E104" t="str">
            <v>2.5.16 )</v>
          </cell>
          <cell r="F104" t="str">
            <v>3.5.16 )</v>
          </cell>
        </row>
        <row r="105">
          <cell r="B105" t="str">
            <v>102.0 )</v>
          </cell>
          <cell r="C105" t="str">
            <v>5.17 )</v>
          </cell>
          <cell r="D105" t="str">
            <v>1.5.17 )</v>
          </cell>
          <cell r="E105" t="str">
            <v>2.5.17 )</v>
          </cell>
          <cell r="F105" t="str">
            <v>3.5.17 )</v>
          </cell>
        </row>
        <row r="106">
          <cell r="B106" t="str">
            <v>103.0 )</v>
          </cell>
          <cell r="C106" t="str">
            <v>5.18 )</v>
          </cell>
          <cell r="D106" t="str">
            <v>1.5.18 )</v>
          </cell>
          <cell r="E106" t="str">
            <v>2.5.18 )</v>
          </cell>
          <cell r="F106" t="str">
            <v>3.5.18 )</v>
          </cell>
        </row>
        <row r="107">
          <cell r="B107" t="str">
            <v>104.0 )</v>
          </cell>
          <cell r="C107" t="str">
            <v>5.19 )</v>
          </cell>
          <cell r="D107" t="str">
            <v>1.5.19 )</v>
          </cell>
          <cell r="E107" t="str">
            <v>2.5.19 )</v>
          </cell>
          <cell r="F107" t="str">
            <v>3.5.19 )</v>
          </cell>
        </row>
        <row r="108">
          <cell r="B108" t="str">
            <v>105.0 )</v>
          </cell>
          <cell r="C108" t="str">
            <v>5.20 )</v>
          </cell>
          <cell r="D108" t="str">
            <v>1.5.20 )</v>
          </cell>
          <cell r="E108" t="str">
            <v>2.5.20 )</v>
          </cell>
          <cell r="F108" t="str">
            <v>3.5.20 )</v>
          </cell>
        </row>
        <row r="109">
          <cell r="B109" t="str">
            <v>106.0 )</v>
          </cell>
          <cell r="C109" t="str">
            <v>6.0 )</v>
          </cell>
          <cell r="D109" t="str">
            <v>1.6.0 )</v>
          </cell>
          <cell r="E109" t="str">
            <v>2.6.0 )</v>
          </cell>
          <cell r="F109" t="str">
            <v>3.6.0 )</v>
          </cell>
        </row>
        <row r="110">
          <cell r="B110" t="str">
            <v>107.0 )</v>
          </cell>
          <cell r="C110" t="str">
            <v>6.1 )</v>
          </cell>
          <cell r="D110" t="str">
            <v>1.6.1 )</v>
          </cell>
          <cell r="E110" t="str">
            <v>2.6.1 )</v>
          </cell>
          <cell r="F110" t="str">
            <v>3.6.1 )</v>
          </cell>
        </row>
        <row r="111">
          <cell r="B111" t="str">
            <v>108.0 )</v>
          </cell>
          <cell r="C111" t="str">
            <v>6.2 )</v>
          </cell>
          <cell r="D111" t="str">
            <v>1.6.2 )</v>
          </cell>
          <cell r="E111" t="str">
            <v>2.6.2 )</v>
          </cell>
          <cell r="F111" t="str">
            <v>3.6.2 )</v>
          </cell>
        </row>
        <row r="112">
          <cell r="B112" t="str">
            <v>109.0 )</v>
          </cell>
          <cell r="C112" t="str">
            <v>6.3 )</v>
          </cell>
          <cell r="D112" t="str">
            <v>1.6.3 )</v>
          </cell>
          <cell r="E112" t="str">
            <v>2.6.3 )</v>
          </cell>
          <cell r="F112" t="str">
            <v>3.6.3 )</v>
          </cell>
        </row>
        <row r="113">
          <cell r="B113" t="str">
            <v>110.0 )</v>
          </cell>
          <cell r="C113" t="str">
            <v>6.4 )</v>
          </cell>
          <cell r="D113" t="str">
            <v>1.6.4 )</v>
          </cell>
          <cell r="E113" t="str">
            <v>2.6.4 )</v>
          </cell>
          <cell r="F113" t="str">
            <v>3.6.4 )</v>
          </cell>
        </row>
        <row r="114">
          <cell r="B114" t="str">
            <v>111.0 )</v>
          </cell>
          <cell r="C114" t="str">
            <v>6.5 )</v>
          </cell>
          <cell r="D114" t="str">
            <v>1.6.5 )</v>
          </cell>
          <cell r="E114" t="str">
            <v>2.6.5 )</v>
          </cell>
          <cell r="F114" t="str">
            <v>3.6.5 )</v>
          </cell>
        </row>
        <row r="115">
          <cell r="B115" t="str">
            <v>112.0 )</v>
          </cell>
          <cell r="C115" t="str">
            <v>6.6 )</v>
          </cell>
          <cell r="D115" t="str">
            <v>1.6.6 )</v>
          </cell>
          <cell r="E115" t="str">
            <v>2.6.6 )</v>
          </cell>
          <cell r="F115" t="str">
            <v>3.6.6 )</v>
          </cell>
        </row>
        <row r="116">
          <cell r="B116" t="str">
            <v>113.0 )</v>
          </cell>
          <cell r="C116" t="str">
            <v>6.7 )</v>
          </cell>
          <cell r="D116" t="str">
            <v>1.6.7 )</v>
          </cell>
          <cell r="E116" t="str">
            <v>2.6.7 )</v>
          </cell>
          <cell r="F116" t="str">
            <v>3.6.7 )</v>
          </cell>
        </row>
        <row r="117">
          <cell r="B117" t="str">
            <v>114.0 )</v>
          </cell>
          <cell r="C117" t="str">
            <v>6.8 )</v>
          </cell>
          <cell r="D117" t="str">
            <v>1.6.8 )</v>
          </cell>
          <cell r="E117" t="str">
            <v>2.6.8 )</v>
          </cell>
          <cell r="F117" t="str">
            <v>3.6.8 )</v>
          </cell>
        </row>
        <row r="118">
          <cell r="B118" t="str">
            <v>115.0 )</v>
          </cell>
          <cell r="C118" t="str">
            <v>6.9 )</v>
          </cell>
          <cell r="D118" t="str">
            <v>1.6.9 )</v>
          </cell>
          <cell r="E118" t="str">
            <v>2.6.9 )</v>
          </cell>
          <cell r="F118" t="str">
            <v>3.6.9 )</v>
          </cell>
        </row>
        <row r="119">
          <cell r="B119" t="str">
            <v>116.0 )</v>
          </cell>
          <cell r="C119" t="str">
            <v>6.10 )</v>
          </cell>
          <cell r="D119" t="str">
            <v>1.6.10 )</v>
          </cell>
          <cell r="E119" t="str">
            <v>2.6.10 )</v>
          </cell>
          <cell r="F119" t="str">
            <v>3.6.10 )</v>
          </cell>
        </row>
        <row r="120">
          <cell r="B120" t="str">
            <v>117.0 )</v>
          </cell>
          <cell r="C120" t="str">
            <v>6.11 )</v>
          </cell>
          <cell r="D120" t="str">
            <v>1.6.11 )</v>
          </cell>
          <cell r="E120" t="str">
            <v>2.6.11 )</v>
          </cell>
          <cell r="F120" t="str">
            <v>3.6.11 )</v>
          </cell>
        </row>
        <row r="121">
          <cell r="B121" t="str">
            <v>118.0 )</v>
          </cell>
          <cell r="C121" t="str">
            <v>6.12 )</v>
          </cell>
          <cell r="D121" t="str">
            <v>1.6.12 )</v>
          </cell>
          <cell r="E121" t="str">
            <v>2.6.12 )</v>
          </cell>
          <cell r="F121" t="str">
            <v>3.6.12 )</v>
          </cell>
        </row>
        <row r="122">
          <cell r="B122" t="str">
            <v>119.0 )</v>
          </cell>
          <cell r="C122" t="str">
            <v>6.13 )</v>
          </cell>
          <cell r="D122" t="str">
            <v>1.6.13 )</v>
          </cell>
          <cell r="E122" t="str">
            <v>2.6.13 )</v>
          </cell>
          <cell r="F122" t="str">
            <v>3.6.13 )</v>
          </cell>
        </row>
        <row r="123">
          <cell r="B123" t="str">
            <v>120.0 )</v>
          </cell>
          <cell r="C123" t="str">
            <v>6.14 )</v>
          </cell>
          <cell r="D123" t="str">
            <v>1.6.14 )</v>
          </cell>
          <cell r="E123" t="str">
            <v>2.6.14 )</v>
          </cell>
          <cell r="F123" t="str">
            <v>3.6.14 )</v>
          </cell>
        </row>
        <row r="124">
          <cell r="B124" t="str">
            <v>121.0 )</v>
          </cell>
          <cell r="C124" t="str">
            <v>6.15 )</v>
          </cell>
          <cell r="D124" t="str">
            <v>1.6.15 )</v>
          </cell>
          <cell r="E124" t="str">
            <v>2.6.15 )</v>
          </cell>
          <cell r="F124" t="str">
            <v>3.6.15 )</v>
          </cell>
        </row>
        <row r="125">
          <cell r="B125" t="str">
            <v>122.0 )</v>
          </cell>
          <cell r="C125" t="str">
            <v>6.16 )</v>
          </cell>
          <cell r="D125" t="str">
            <v>1.6.16 )</v>
          </cell>
          <cell r="E125" t="str">
            <v>2.6.16 )</v>
          </cell>
          <cell r="F125" t="str">
            <v>3.6.16 )</v>
          </cell>
        </row>
        <row r="126">
          <cell r="B126" t="str">
            <v>123.0 )</v>
          </cell>
          <cell r="C126" t="str">
            <v>6.17 )</v>
          </cell>
          <cell r="D126" t="str">
            <v>1.6.17 )</v>
          </cell>
          <cell r="E126" t="str">
            <v>2.6.17 )</v>
          </cell>
          <cell r="F126" t="str">
            <v>3.6.17 )</v>
          </cell>
        </row>
        <row r="127">
          <cell r="B127" t="str">
            <v>124.0 )</v>
          </cell>
          <cell r="C127" t="str">
            <v>6.18 )</v>
          </cell>
          <cell r="D127" t="str">
            <v>1.6.18 )</v>
          </cell>
          <cell r="E127" t="str">
            <v>2.6.18 )</v>
          </cell>
          <cell r="F127" t="str">
            <v>3.6.18 )</v>
          </cell>
        </row>
        <row r="128">
          <cell r="B128" t="str">
            <v>125.0 )</v>
          </cell>
          <cell r="C128" t="str">
            <v>6.19 )</v>
          </cell>
          <cell r="D128" t="str">
            <v>1.6.19 )</v>
          </cell>
          <cell r="E128" t="str">
            <v>2.6.19 )</v>
          </cell>
          <cell r="F128" t="str">
            <v>3.6.19 )</v>
          </cell>
        </row>
        <row r="129">
          <cell r="B129" t="str">
            <v>126.0 )</v>
          </cell>
          <cell r="C129" t="str">
            <v>6.20 )</v>
          </cell>
          <cell r="D129" t="str">
            <v>1.6.20 )</v>
          </cell>
          <cell r="E129" t="str">
            <v>2.6.20 )</v>
          </cell>
          <cell r="F129" t="str">
            <v>3.6.20 )</v>
          </cell>
        </row>
        <row r="130">
          <cell r="B130" t="str">
            <v>127.0 )</v>
          </cell>
          <cell r="C130" t="str">
            <v>7.0 )</v>
          </cell>
          <cell r="D130" t="str">
            <v>1.7.0 )</v>
          </cell>
          <cell r="E130" t="str">
            <v>2.7.0 )</v>
          </cell>
          <cell r="F130" t="str">
            <v>3.7.0 )</v>
          </cell>
        </row>
        <row r="131">
          <cell r="B131" t="str">
            <v>128.0 )</v>
          </cell>
          <cell r="C131" t="str">
            <v>7.1 )</v>
          </cell>
          <cell r="D131" t="str">
            <v>1.7.1 )</v>
          </cell>
          <cell r="E131" t="str">
            <v>2.7.1 )</v>
          </cell>
          <cell r="F131" t="str">
            <v>3.7.1 )</v>
          </cell>
        </row>
        <row r="132">
          <cell r="B132" t="str">
            <v>129.0 )</v>
          </cell>
          <cell r="C132" t="str">
            <v>7.2 )</v>
          </cell>
          <cell r="D132" t="str">
            <v>1.7.2 )</v>
          </cell>
          <cell r="E132" t="str">
            <v>2.7.2 )</v>
          </cell>
          <cell r="F132" t="str">
            <v>3.7.2 )</v>
          </cell>
        </row>
        <row r="133">
          <cell r="B133" t="str">
            <v>130.0 )</v>
          </cell>
          <cell r="C133" t="str">
            <v>7.3 )</v>
          </cell>
          <cell r="D133" t="str">
            <v>1.7.3 )</v>
          </cell>
          <cell r="E133" t="str">
            <v>2.7.3 )</v>
          </cell>
          <cell r="F133" t="str">
            <v>3.7.3 )</v>
          </cell>
        </row>
        <row r="134">
          <cell r="B134" t="str">
            <v>131.0 )</v>
          </cell>
          <cell r="C134" t="str">
            <v>7.4 )</v>
          </cell>
          <cell r="D134" t="str">
            <v>1.7.4 )</v>
          </cell>
          <cell r="E134" t="str">
            <v>2.7.4 )</v>
          </cell>
          <cell r="F134" t="str">
            <v>3.7.4 )</v>
          </cell>
        </row>
        <row r="135">
          <cell r="B135" t="str">
            <v>132.0 )</v>
          </cell>
          <cell r="C135" t="str">
            <v>7.5 )</v>
          </cell>
          <cell r="D135" t="str">
            <v>1.7.5 )</v>
          </cell>
          <cell r="E135" t="str">
            <v>2.7.5 )</v>
          </cell>
          <cell r="F135" t="str">
            <v>3.7.5 )</v>
          </cell>
        </row>
        <row r="136">
          <cell r="B136" t="str">
            <v>133.0 )</v>
          </cell>
          <cell r="C136" t="str">
            <v>7.6 )</v>
          </cell>
          <cell r="D136" t="str">
            <v>1.7.6 )</v>
          </cell>
          <cell r="E136" t="str">
            <v>2.7.6 )</v>
          </cell>
          <cell r="F136" t="str">
            <v>3.7.6 )</v>
          </cell>
        </row>
        <row r="137">
          <cell r="B137" t="str">
            <v>134.0 )</v>
          </cell>
          <cell r="C137" t="str">
            <v>7.7 )</v>
          </cell>
          <cell r="D137" t="str">
            <v>1.7.7 )</v>
          </cell>
          <cell r="E137" t="str">
            <v>2.7.7 )</v>
          </cell>
          <cell r="F137" t="str">
            <v>3.7.7 )</v>
          </cell>
        </row>
        <row r="138">
          <cell r="B138" t="str">
            <v>135.0 )</v>
          </cell>
          <cell r="C138" t="str">
            <v>7.8 )</v>
          </cell>
          <cell r="D138" t="str">
            <v>1.7.8 )</v>
          </cell>
          <cell r="E138" t="str">
            <v>2.7.8 )</v>
          </cell>
          <cell r="F138" t="str">
            <v>3.7.8 )</v>
          </cell>
        </row>
        <row r="139">
          <cell r="B139" t="str">
            <v>136.0 )</v>
          </cell>
          <cell r="C139" t="str">
            <v>7.9 )</v>
          </cell>
          <cell r="D139" t="str">
            <v>1.7.9 )</v>
          </cell>
          <cell r="E139" t="str">
            <v>2.7.9 )</v>
          </cell>
          <cell r="F139" t="str">
            <v>3.7.9 )</v>
          </cell>
        </row>
        <row r="140">
          <cell r="B140" t="str">
            <v>137.0 )</v>
          </cell>
          <cell r="C140" t="str">
            <v>7.10 )</v>
          </cell>
          <cell r="D140" t="str">
            <v>1.7.10 )</v>
          </cell>
          <cell r="E140" t="str">
            <v>2.7.10 )</v>
          </cell>
          <cell r="F140" t="str">
            <v>3.7.10 )</v>
          </cell>
        </row>
        <row r="141">
          <cell r="B141" t="str">
            <v>138.0 )</v>
          </cell>
          <cell r="C141" t="str">
            <v>7.11 )</v>
          </cell>
          <cell r="D141" t="str">
            <v>1.7.11 )</v>
          </cell>
          <cell r="E141" t="str">
            <v>2.7.11 )</v>
          </cell>
          <cell r="F141" t="str">
            <v>3.7.11 )</v>
          </cell>
        </row>
        <row r="142">
          <cell r="B142" t="str">
            <v>139.0 )</v>
          </cell>
          <cell r="C142" t="str">
            <v>7.12 )</v>
          </cell>
          <cell r="D142" t="str">
            <v>1.7.12 )</v>
          </cell>
          <cell r="E142" t="str">
            <v>2.7.12 )</v>
          </cell>
          <cell r="F142" t="str">
            <v>3.7.12 )</v>
          </cell>
        </row>
        <row r="143">
          <cell r="B143" t="str">
            <v>140.0 )</v>
          </cell>
          <cell r="C143" t="str">
            <v>7.13 )</v>
          </cell>
          <cell r="D143" t="str">
            <v>1.7.13 )</v>
          </cell>
          <cell r="E143" t="str">
            <v>2.7.13 )</v>
          </cell>
          <cell r="F143" t="str">
            <v>3.7.13 )</v>
          </cell>
        </row>
        <row r="144">
          <cell r="B144" t="str">
            <v>141.0 )</v>
          </cell>
          <cell r="C144" t="str">
            <v>7.14 )</v>
          </cell>
          <cell r="D144" t="str">
            <v>1.7.14 )</v>
          </cell>
          <cell r="E144" t="str">
            <v>2.7.14 )</v>
          </cell>
          <cell r="F144" t="str">
            <v>3.7.14 )</v>
          </cell>
        </row>
        <row r="145">
          <cell r="B145" t="str">
            <v>142.0 )</v>
          </cell>
          <cell r="C145" t="str">
            <v>7.15 )</v>
          </cell>
          <cell r="D145" t="str">
            <v>1.7.15 )</v>
          </cell>
          <cell r="E145" t="str">
            <v>2.7.15 )</v>
          </cell>
          <cell r="F145" t="str">
            <v>3.7.15 )</v>
          </cell>
        </row>
        <row r="146">
          <cell r="B146" t="str">
            <v>143.0 )</v>
          </cell>
          <cell r="C146" t="str">
            <v>7.16 )</v>
          </cell>
          <cell r="D146" t="str">
            <v>1.7.16 )</v>
          </cell>
          <cell r="E146" t="str">
            <v>2.7.16 )</v>
          </cell>
          <cell r="F146" t="str">
            <v>3.7.16 )</v>
          </cell>
        </row>
        <row r="147">
          <cell r="B147" t="str">
            <v>144.0 )</v>
          </cell>
          <cell r="C147" t="str">
            <v>7.17 )</v>
          </cell>
          <cell r="D147" t="str">
            <v>1.7.17 )</v>
          </cell>
          <cell r="E147" t="str">
            <v>2.7.17 )</v>
          </cell>
          <cell r="F147" t="str">
            <v>3.7.17 )</v>
          </cell>
        </row>
        <row r="148">
          <cell r="B148" t="str">
            <v>145.0 )</v>
          </cell>
          <cell r="C148" t="str">
            <v>7.18 )</v>
          </cell>
          <cell r="D148" t="str">
            <v>1.7.18 )</v>
          </cell>
          <cell r="E148" t="str">
            <v>2.7.18 )</v>
          </cell>
          <cell r="F148" t="str">
            <v>3.7.18 )</v>
          </cell>
        </row>
        <row r="149">
          <cell r="B149" t="str">
            <v>146.0 )</v>
          </cell>
          <cell r="C149" t="str">
            <v>7.19 )</v>
          </cell>
          <cell r="D149" t="str">
            <v>1.7.19 )</v>
          </cell>
          <cell r="E149" t="str">
            <v>2.7.19 )</v>
          </cell>
          <cell r="F149" t="str">
            <v>3.7.19 )</v>
          </cell>
        </row>
        <row r="150">
          <cell r="B150" t="str">
            <v>147.0 )</v>
          </cell>
          <cell r="C150" t="str">
            <v>7.20 )</v>
          </cell>
          <cell r="D150" t="str">
            <v>1.7.20 )</v>
          </cell>
          <cell r="E150" t="str">
            <v>2.7.20 )</v>
          </cell>
          <cell r="F150" t="str">
            <v>3.7.20 )</v>
          </cell>
        </row>
        <row r="151">
          <cell r="B151" t="str">
            <v>148.0 )</v>
          </cell>
          <cell r="C151" t="str">
            <v>8.0 )</v>
          </cell>
          <cell r="D151" t="str">
            <v>1.8.0 )</v>
          </cell>
          <cell r="E151" t="str">
            <v>2.8.0 )</v>
          </cell>
          <cell r="F151" t="str">
            <v>3.8.0 )</v>
          </cell>
        </row>
        <row r="152">
          <cell r="B152" t="str">
            <v>149.0 )</v>
          </cell>
          <cell r="C152" t="str">
            <v>8.1 )</v>
          </cell>
          <cell r="D152" t="str">
            <v>1.8.1 )</v>
          </cell>
          <cell r="E152" t="str">
            <v>2.8.1 )</v>
          </cell>
          <cell r="F152" t="str">
            <v>3.8.1 )</v>
          </cell>
        </row>
        <row r="153">
          <cell r="B153" t="str">
            <v>150.0 )</v>
          </cell>
          <cell r="C153" t="str">
            <v>8.2 )</v>
          </cell>
          <cell r="D153" t="str">
            <v>1.8.2 )</v>
          </cell>
          <cell r="E153" t="str">
            <v>2.8.2 )</v>
          </cell>
          <cell r="F153" t="str">
            <v>3.8.2 )</v>
          </cell>
        </row>
        <row r="154">
          <cell r="B154" t="str">
            <v>151.0 )</v>
          </cell>
          <cell r="C154" t="str">
            <v>8.3 )</v>
          </cell>
          <cell r="D154" t="str">
            <v>1.8.3 )</v>
          </cell>
          <cell r="E154" t="str">
            <v>2.8.3 )</v>
          </cell>
          <cell r="F154" t="str">
            <v>3.8.3 )</v>
          </cell>
        </row>
        <row r="155">
          <cell r="B155" t="str">
            <v>152.0 )</v>
          </cell>
          <cell r="C155" t="str">
            <v>8.4 )</v>
          </cell>
          <cell r="D155" t="str">
            <v>1.8.4 )</v>
          </cell>
          <cell r="E155" t="str">
            <v>2.8.4 )</v>
          </cell>
          <cell r="F155" t="str">
            <v>3.8.4 )</v>
          </cell>
        </row>
        <row r="156">
          <cell r="B156" t="str">
            <v>153.0 )</v>
          </cell>
          <cell r="C156" t="str">
            <v>8.5 )</v>
          </cell>
          <cell r="D156" t="str">
            <v>1.8.5 )</v>
          </cell>
          <cell r="E156" t="str">
            <v>2.8.5 )</v>
          </cell>
          <cell r="F156" t="str">
            <v>3.8.5 )</v>
          </cell>
        </row>
        <row r="157">
          <cell r="B157" t="str">
            <v>154.0 )</v>
          </cell>
          <cell r="C157" t="str">
            <v>8.6 )</v>
          </cell>
          <cell r="D157" t="str">
            <v>1.8.6 )</v>
          </cell>
          <cell r="E157" t="str">
            <v>2.8.6 )</v>
          </cell>
          <cell r="F157" t="str">
            <v>3.8.6 )</v>
          </cell>
        </row>
        <row r="158">
          <cell r="B158" t="str">
            <v>155.0 )</v>
          </cell>
          <cell r="C158" t="str">
            <v>8.7 )</v>
          </cell>
          <cell r="D158" t="str">
            <v>1.8.7 )</v>
          </cell>
          <cell r="E158" t="str">
            <v>2.8.7 )</v>
          </cell>
          <cell r="F158" t="str">
            <v>3.8.7 )</v>
          </cell>
        </row>
        <row r="159">
          <cell r="B159" t="str">
            <v>156.0 )</v>
          </cell>
          <cell r="C159" t="str">
            <v>8.8 )</v>
          </cell>
          <cell r="D159" t="str">
            <v>1.8.8 )</v>
          </cell>
          <cell r="E159" t="str">
            <v>2.8.8 )</v>
          </cell>
          <cell r="F159" t="str">
            <v>3.8.8 )</v>
          </cell>
        </row>
        <row r="160">
          <cell r="B160" t="str">
            <v>157.0 )</v>
          </cell>
          <cell r="C160" t="str">
            <v>8.9 )</v>
          </cell>
          <cell r="D160" t="str">
            <v>1.8.9 )</v>
          </cell>
          <cell r="E160" t="str">
            <v>2.8.9 )</v>
          </cell>
          <cell r="F160" t="str">
            <v>3.8.9 )</v>
          </cell>
        </row>
        <row r="161">
          <cell r="B161" t="str">
            <v>158.0 )</v>
          </cell>
          <cell r="C161" t="str">
            <v>8.10 )</v>
          </cell>
          <cell r="D161" t="str">
            <v>1.8.10 )</v>
          </cell>
          <cell r="E161" t="str">
            <v>2.8.10 )</v>
          </cell>
          <cell r="F161" t="str">
            <v>3.8.10 )</v>
          </cell>
        </row>
        <row r="162">
          <cell r="B162" t="str">
            <v>159.0 )</v>
          </cell>
          <cell r="C162" t="str">
            <v>8.11 )</v>
          </cell>
          <cell r="D162" t="str">
            <v>1.8.11 )</v>
          </cell>
          <cell r="E162" t="str">
            <v>2.8.11 )</v>
          </cell>
          <cell r="F162" t="str">
            <v>3.8.11 )</v>
          </cell>
        </row>
        <row r="163">
          <cell r="B163" t="str">
            <v>160.0 )</v>
          </cell>
          <cell r="C163" t="str">
            <v>8.12 )</v>
          </cell>
          <cell r="D163" t="str">
            <v>1.8.12 )</v>
          </cell>
          <cell r="E163" t="str">
            <v>2.8.12 )</v>
          </cell>
          <cell r="F163" t="str">
            <v>3.8.12 )</v>
          </cell>
        </row>
        <row r="164">
          <cell r="B164" t="str">
            <v>161.0 )</v>
          </cell>
          <cell r="C164" t="str">
            <v>8.13 )</v>
          </cell>
          <cell r="D164" t="str">
            <v>1.8.13 )</v>
          </cell>
          <cell r="E164" t="str">
            <v>2.8.13 )</v>
          </cell>
          <cell r="F164" t="str">
            <v>3.8.13 )</v>
          </cell>
        </row>
        <row r="165">
          <cell r="B165" t="str">
            <v>162.0 )</v>
          </cell>
          <cell r="C165" t="str">
            <v>8.14 )</v>
          </cell>
          <cell r="D165" t="str">
            <v>1.8.14 )</v>
          </cell>
          <cell r="E165" t="str">
            <v>2.8.14 )</v>
          </cell>
          <cell r="F165" t="str">
            <v>3.8.14 )</v>
          </cell>
        </row>
        <row r="166">
          <cell r="B166" t="str">
            <v>163.0 )</v>
          </cell>
          <cell r="C166" t="str">
            <v>8.15 )</v>
          </cell>
          <cell r="D166" t="str">
            <v>1.8.15 )</v>
          </cell>
          <cell r="E166" t="str">
            <v>2.8.15 )</v>
          </cell>
          <cell r="F166" t="str">
            <v>3.8.15 )</v>
          </cell>
        </row>
        <row r="167">
          <cell r="B167" t="str">
            <v>164.0 )</v>
          </cell>
          <cell r="C167" t="str">
            <v>8.16 )</v>
          </cell>
          <cell r="D167" t="str">
            <v>1.8.16 )</v>
          </cell>
          <cell r="E167" t="str">
            <v>2.8.16 )</v>
          </cell>
          <cell r="F167" t="str">
            <v>3.8.16 )</v>
          </cell>
        </row>
        <row r="168">
          <cell r="B168" t="str">
            <v>165.0 )</v>
          </cell>
          <cell r="C168" t="str">
            <v>8.17 )</v>
          </cell>
          <cell r="D168" t="str">
            <v>1.8.17 )</v>
          </cell>
          <cell r="E168" t="str">
            <v>2.8.17 )</v>
          </cell>
          <cell r="F168" t="str">
            <v>3.8.17 )</v>
          </cell>
        </row>
        <row r="169">
          <cell r="B169" t="str">
            <v>166.0 )</v>
          </cell>
          <cell r="C169" t="str">
            <v>8.18 )</v>
          </cell>
          <cell r="D169" t="str">
            <v>1.8.18 )</v>
          </cell>
          <cell r="E169" t="str">
            <v>2.8.18 )</v>
          </cell>
          <cell r="F169" t="str">
            <v>3.8.18 )</v>
          </cell>
        </row>
        <row r="170">
          <cell r="B170" t="str">
            <v>167.0 )</v>
          </cell>
          <cell r="C170" t="str">
            <v>8.19 )</v>
          </cell>
          <cell r="D170" t="str">
            <v>1.8.19 )</v>
          </cell>
          <cell r="E170" t="str">
            <v>2.8.19 )</v>
          </cell>
          <cell r="F170" t="str">
            <v>3.8.19 )</v>
          </cell>
        </row>
        <row r="171">
          <cell r="B171" t="str">
            <v>168.0 )</v>
          </cell>
          <cell r="C171" t="str">
            <v>8.20 )</v>
          </cell>
          <cell r="D171" t="str">
            <v>1.8.20 )</v>
          </cell>
          <cell r="E171" t="str">
            <v>2.8.20 )</v>
          </cell>
          <cell r="F171" t="str">
            <v>3.8.20 )</v>
          </cell>
        </row>
        <row r="172">
          <cell r="B172" t="str">
            <v>169.0 )</v>
          </cell>
          <cell r="C172" t="str">
            <v>9.0 )</v>
          </cell>
          <cell r="D172" t="str">
            <v>1.9.0 )</v>
          </cell>
          <cell r="E172" t="str">
            <v>2.9.0 )</v>
          </cell>
          <cell r="F172" t="str">
            <v>3.9.0 )</v>
          </cell>
        </row>
        <row r="173">
          <cell r="B173" t="str">
            <v>170.0 )</v>
          </cell>
          <cell r="C173" t="str">
            <v>9.1 )</v>
          </cell>
          <cell r="D173" t="str">
            <v>1.9.1 )</v>
          </cell>
          <cell r="E173" t="str">
            <v>2.9.1 )</v>
          </cell>
          <cell r="F173" t="str">
            <v>3.9.1 )</v>
          </cell>
        </row>
        <row r="174">
          <cell r="B174" t="str">
            <v>171.0 )</v>
          </cell>
          <cell r="C174" t="str">
            <v>9.2 )</v>
          </cell>
          <cell r="D174" t="str">
            <v>1.9.2 )</v>
          </cell>
          <cell r="E174" t="str">
            <v>2.9.2 )</v>
          </cell>
          <cell r="F174" t="str">
            <v>3.9.2 )</v>
          </cell>
        </row>
        <row r="175">
          <cell r="B175" t="str">
            <v>172.0 )</v>
          </cell>
          <cell r="C175" t="str">
            <v>9.3 )</v>
          </cell>
          <cell r="D175" t="str">
            <v>1.9.3 )</v>
          </cell>
          <cell r="E175" t="str">
            <v>2.9.3 )</v>
          </cell>
          <cell r="F175" t="str">
            <v>3.9.3 )</v>
          </cell>
        </row>
        <row r="176">
          <cell r="B176" t="str">
            <v>173.0 )</v>
          </cell>
          <cell r="C176" t="str">
            <v>9.4 )</v>
          </cell>
          <cell r="D176" t="str">
            <v>1.9.4 )</v>
          </cell>
          <cell r="E176" t="str">
            <v>2.9.4 )</v>
          </cell>
          <cell r="F176" t="str">
            <v>3.9.4 )</v>
          </cell>
        </row>
        <row r="177">
          <cell r="B177" t="str">
            <v>174.0 )</v>
          </cell>
          <cell r="C177" t="str">
            <v>9.5 )</v>
          </cell>
          <cell r="D177" t="str">
            <v>1.9.5 )</v>
          </cell>
          <cell r="E177" t="str">
            <v>2.9.5 )</v>
          </cell>
          <cell r="F177" t="str">
            <v>3.9.5 )</v>
          </cell>
        </row>
        <row r="178">
          <cell r="B178" t="str">
            <v>175.0 )</v>
          </cell>
          <cell r="C178" t="str">
            <v>9.6 )</v>
          </cell>
          <cell r="D178" t="str">
            <v>1.9.6 )</v>
          </cell>
          <cell r="E178" t="str">
            <v>2.9.6 )</v>
          </cell>
          <cell r="F178" t="str">
            <v>3.9.6 )</v>
          </cell>
        </row>
        <row r="179">
          <cell r="B179" t="str">
            <v>176.0 )</v>
          </cell>
          <cell r="C179" t="str">
            <v>9.7 )</v>
          </cell>
          <cell r="D179" t="str">
            <v>1.9.7 )</v>
          </cell>
          <cell r="E179" t="str">
            <v>2.9.7 )</v>
          </cell>
          <cell r="F179" t="str">
            <v>3.9.7 )</v>
          </cell>
        </row>
        <row r="180">
          <cell r="B180" t="str">
            <v>177.0 )</v>
          </cell>
          <cell r="C180" t="str">
            <v>9.8 )</v>
          </cell>
          <cell r="D180" t="str">
            <v>1.9.8 )</v>
          </cell>
          <cell r="E180" t="str">
            <v>2.9.8 )</v>
          </cell>
          <cell r="F180" t="str">
            <v>3.9.8 )</v>
          </cell>
        </row>
        <row r="181">
          <cell r="B181" t="str">
            <v>178.0 )</v>
          </cell>
          <cell r="C181" t="str">
            <v>9.9 )</v>
          </cell>
          <cell r="D181" t="str">
            <v>1.9.9 )</v>
          </cell>
          <cell r="E181" t="str">
            <v>2.9.9 )</v>
          </cell>
          <cell r="F181" t="str">
            <v>3.9.9 )</v>
          </cell>
        </row>
        <row r="182">
          <cell r="B182" t="str">
            <v>179.0 )</v>
          </cell>
          <cell r="C182" t="str">
            <v>9.10 )</v>
          </cell>
          <cell r="D182" t="str">
            <v>1.9.10 )</v>
          </cell>
          <cell r="E182" t="str">
            <v>2.9.10 )</v>
          </cell>
          <cell r="F182" t="str">
            <v>3.9.10 )</v>
          </cell>
        </row>
        <row r="183">
          <cell r="B183" t="str">
            <v>180.0 )</v>
          </cell>
          <cell r="C183" t="str">
            <v>9.11 )</v>
          </cell>
          <cell r="D183" t="str">
            <v>1.9.11 )</v>
          </cell>
          <cell r="E183" t="str">
            <v>2.9.11 )</v>
          </cell>
          <cell r="F183" t="str">
            <v>3.9.11 )</v>
          </cell>
        </row>
        <row r="184">
          <cell r="B184" t="str">
            <v>181.0 )</v>
          </cell>
          <cell r="C184" t="str">
            <v>9.12 )</v>
          </cell>
          <cell r="D184" t="str">
            <v>1.9.12 )</v>
          </cell>
          <cell r="E184" t="str">
            <v>2.9.12 )</v>
          </cell>
          <cell r="F184" t="str">
            <v>3.9.12 )</v>
          </cell>
        </row>
        <row r="185">
          <cell r="B185" t="str">
            <v>182.0 )</v>
          </cell>
          <cell r="C185" t="str">
            <v>9.13 )</v>
          </cell>
          <cell r="D185" t="str">
            <v>1.9.13 )</v>
          </cell>
          <cell r="E185" t="str">
            <v>2.9.13 )</v>
          </cell>
          <cell r="F185" t="str">
            <v>3.9.13 )</v>
          </cell>
        </row>
        <row r="186">
          <cell r="B186" t="str">
            <v>183.0 )</v>
          </cell>
          <cell r="C186" t="str">
            <v>9.14 )</v>
          </cell>
          <cell r="D186" t="str">
            <v>1.9.14 )</v>
          </cell>
          <cell r="E186" t="str">
            <v>2.9.14 )</v>
          </cell>
          <cell r="F186" t="str">
            <v>3.9.14 )</v>
          </cell>
        </row>
        <row r="187">
          <cell r="B187" t="str">
            <v>184.0 )</v>
          </cell>
          <cell r="C187" t="str">
            <v>9.15 )</v>
          </cell>
          <cell r="D187" t="str">
            <v>1.9.15 )</v>
          </cell>
          <cell r="E187" t="str">
            <v>2.9.15 )</v>
          </cell>
          <cell r="F187" t="str">
            <v>3.9.15 )</v>
          </cell>
        </row>
        <row r="188">
          <cell r="B188" t="str">
            <v>185.0 )</v>
          </cell>
          <cell r="C188" t="str">
            <v>9.16 )</v>
          </cell>
          <cell r="D188" t="str">
            <v>1.9.16 )</v>
          </cell>
          <cell r="E188" t="str">
            <v>2.9.16 )</v>
          </cell>
          <cell r="F188" t="str">
            <v>3.9.16 )</v>
          </cell>
        </row>
        <row r="189">
          <cell r="B189" t="str">
            <v>186.0 )</v>
          </cell>
          <cell r="C189" t="str">
            <v>9.17 )</v>
          </cell>
          <cell r="D189" t="str">
            <v>1.9.17 )</v>
          </cell>
          <cell r="E189" t="str">
            <v>2.9.17 )</v>
          </cell>
          <cell r="F189" t="str">
            <v>3.9.17 )</v>
          </cell>
        </row>
        <row r="190">
          <cell r="B190" t="str">
            <v>187.0 )</v>
          </cell>
          <cell r="C190" t="str">
            <v>9.18 )</v>
          </cell>
          <cell r="D190" t="str">
            <v>1.9.18 )</v>
          </cell>
          <cell r="E190" t="str">
            <v>2.9.18 )</v>
          </cell>
          <cell r="F190" t="str">
            <v>3.9.18 )</v>
          </cell>
        </row>
        <row r="191">
          <cell r="B191" t="str">
            <v>188.0 )</v>
          </cell>
          <cell r="C191" t="str">
            <v>9.19 )</v>
          </cell>
          <cell r="D191" t="str">
            <v>1.9.19 )</v>
          </cell>
          <cell r="E191" t="str">
            <v>2.9.19 )</v>
          </cell>
          <cell r="F191" t="str">
            <v>3.9.19 )</v>
          </cell>
        </row>
        <row r="192">
          <cell r="B192" t="str">
            <v>189.0 )</v>
          </cell>
          <cell r="C192" t="str">
            <v>9.20 )</v>
          </cell>
          <cell r="D192" t="str">
            <v>1.9.20 )</v>
          </cell>
          <cell r="E192" t="str">
            <v>2.9.20 )</v>
          </cell>
          <cell r="F192" t="str">
            <v>3.9.20 )</v>
          </cell>
        </row>
        <row r="193">
          <cell r="B193" t="str">
            <v>190.0 )</v>
          </cell>
          <cell r="C193" t="str">
            <v>10.0 )</v>
          </cell>
          <cell r="D193" t="str">
            <v>1.10.0 )</v>
          </cell>
          <cell r="E193" t="str">
            <v>2.10.0 )</v>
          </cell>
          <cell r="F193" t="str">
            <v>3.10.0 )</v>
          </cell>
        </row>
        <row r="194">
          <cell r="B194" t="str">
            <v>191.0 )</v>
          </cell>
          <cell r="C194" t="str">
            <v>10.1 )</v>
          </cell>
          <cell r="D194" t="str">
            <v>1.10.1 )</v>
          </cell>
          <cell r="E194" t="str">
            <v>2.10.1 )</v>
          </cell>
          <cell r="F194" t="str">
            <v>3.10.1 )</v>
          </cell>
        </row>
        <row r="195">
          <cell r="B195" t="str">
            <v>192.0 )</v>
          </cell>
          <cell r="C195" t="str">
            <v>10.2 )</v>
          </cell>
          <cell r="D195" t="str">
            <v>1.10.2 )</v>
          </cell>
          <cell r="E195" t="str">
            <v>2.10.2 )</v>
          </cell>
          <cell r="F195" t="str">
            <v>3.10.2 )</v>
          </cell>
        </row>
        <row r="196">
          <cell r="B196" t="str">
            <v>193.0 )</v>
          </cell>
          <cell r="C196" t="str">
            <v>10.3 )</v>
          </cell>
          <cell r="D196" t="str">
            <v>1.10.3 )</v>
          </cell>
          <cell r="E196" t="str">
            <v>2.10.3 )</v>
          </cell>
          <cell r="F196" t="str">
            <v>3.10.3 )</v>
          </cell>
        </row>
        <row r="197">
          <cell r="B197" t="str">
            <v>194.0 )</v>
          </cell>
          <cell r="C197" t="str">
            <v>10.4 )</v>
          </cell>
          <cell r="D197" t="str">
            <v>1.10.4 )</v>
          </cell>
          <cell r="E197" t="str">
            <v>2.10.4 )</v>
          </cell>
          <cell r="F197" t="str">
            <v>3.10.4 )</v>
          </cell>
        </row>
        <row r="198">
          <cell r="B198" t="str">
            <v>195.0 )</v>
          </cell>
          <cell r="C198" t="str">
            <v>10.5 )</v>
          </cell>
          <cell r="D198" t="str">
            <v>1.10.5 )</v>
          </cell>
          <cell r="E198" t="str">
            <v>2.10.5 )</v>
          </cell>
          <cell r="F198" t="str">
            <v>3.10.5 )</v>
          </cell>
        </row>
        <row r="199">
          <cell r="B199" t="str">
            <v>196.0 )</v>
          </cell>
          <cell r="C199" t="str">
            <v>10.6 )</v>
          </cell>
          <cell r="D199" t="str">
            <v>1.10.6 )</v>
          </cell>
          <cell r="E199" t="str">
            <v>2.10.6 )</v>
          </cell>
          <cell r="F199" t="str">
            <v>3.10.6 )</v>
          </cell>
        </row>
        <row r="200">
          <cell r="B200" t="str">
            <v>197.0 )</v>
          </cell>
          <cell r="C200" t="str">
            <v>10.7 )</v>
          </cell>
          <cell r="D200" t="str">
            <v>1.10.7 )</v>
          </cell>
          <cell r="E200" t="str">
            <v>2.10.7 )</v>
          </cell>
          <cell r="F200" t="str">
            <v>3.10.7 )</v>
          </cell>
        </row>
        <row r="201">
          <cell r="B201" t="str">
            <v>198.0 )</v>
          </cell>
          <cell r="C201" t="str">
            <v>10.8 )</v>
          </cell>
          <cell r="D201" t="str">
            <v>1.10.8 )</v>
          </cell>
          <cell r="E201" t="str">
            <v>2.10.8 )</v>
          </cell>
          <cell r="F201" t="str">
            <v>3.10.8 )</v>
          </cell>
        </row>
        <row r="202">
          <cell r="B202" t="str">
            <v>199.0 )</v>
          </cell>
          <cell r="C202" t="str">
            <v>10.9 )</v>
          </cell>
          <cell r="D202" t="str">
            <v>1.10.9 )</v>
          </cell>
          <cell r="E202" t="str">
            <v>2.10.9 )</v>
          </cell>
          <cell r="F202" t="str">
            <v>3.10.9 )</v>
          </cell>
        </row>
        <row r="203">
          <cell r="B203" t="str">
            <v>200.0 )</v>
          </cell>
          <cell r="C203" t="str">
            <v>10.10 )</v>
          </cell>
          <cell r="D203" t="str">
            <v>1.10.10 )</v>
          </cell>
          <cell r="E203" t="str">
            <v>2.10.10 )</v>
          </cell>
          <cell r="F203" t="str">
            <v>3.10.10 )</v>
          </cell>
        </row>
        <row r="204">
          <cell r="B204" t="str">
            <v>201.0 )</v>
          </cell>
          <cell r="C204" t="str">
            <v>10.11 )</v>
          </cell>
          <cell r="D204" t="str">
            <v>1.10.11 )</v>
          </cell>
          <cell r="E204" t="str">
            <v>2.10.11 )</v>
          </cell>
          <cell r="F204" t="str">
            <v>3.10.11 )</v>
          </cell>
        </row>
        <row r="205">
          <cell r="B205" t="str">
            <v>202.0 )</v>
          </cell>
          <cell r="C205" t="str">
            <v>10.12 )</v>
          </cell>
          <cell r="D205" t="str">
            <v>1.10.12 )</v>
          </cell>
          <cell r="E205" t="str">
            <v>2.10.12 )</v>
          </cell>
          <cell r="F205" t="str">
            <v>3.10.12 )</v>
          </cell>
        </row>
        <row r="206">
          <cell r="B206" t="str">
            <v>203.0 )</v>
          </cell>
          <cell r="C206" t="str">
            <v>10.13 )</v>
          </cell>
          <cell r="D206" t="str">
            <v>1.10.13 )</v>
          </cell>
          <cell r="E206" t="str">
            <v>2.10.13 )</v>
          </cell>
          <cell r="F206" t="str">
            <v>3.10.13 )</v>
          </cell>
        </row>
        <row r="207">
          <cell r="B207" t="str">
            <v>204.0 )</v>
          </cell>
          <cell r="C207" t="str">
            <v>10.14 )</v>
          </cell>
          <cell r="D207" t="str">
            <v>1.10.14 )</v>
          </cell>
          <cell r="E207" t="str">
            <v>2.10.14 )</v>
          </cell>
          <cell r="F207" t="str">
            <v>3.10.14 )</v>
          </cell>
        </row>
        <row r="208">
          <cell r="B208" t="str">
            <v>205.0 )</v>
          </cell>
          <cell r="C208" t="str">
            <v>10.15 )</v>
          </cell>
          <cell r="D208" t="str">
            <v>1.10.15 )</v>
          </cell>
          <cell r="E208" t="str">
            <v>2.10.15 )</v>
          </cell>
          <cell r="F208" t="str">
            <v>3.10.15 )</v>
          </cell>
        </row>
        <row r="209">
          <cell r="B209" t="str">
            <v>206.0 )</v>
          </cell>
          <cell r="C209" t="str">
            <v>10.16 )</v>
          </cell>
          <cell r="D209" t="str">
            <v>1.10.16 )</v>
          </cell>
          <cell r="E209" t="str">
            <v>2.10.16 )</v>
          </cell>
          <cell r="F209" t="str">
            <v>3.10.16 )</v>
          </cell>
        </row>
        <row r="210">
          <cell r="B210" t="str">
            <v>207.0 )</v>
          </cell>
          <cell r="C210" t="str">
            <v>10.17 )</v>
          </cell>
          <cell r="D210" t="str">
            <v>1.10.17 )</v>
          </cell>
          <cell r="E210" t="str">
            <v>2.10.17 )</v>
          </cell>
          <cell r="F210" t="str">
            <v>3.10.17 )</v>
          </cell>
        </row>
        <row r="211">
          <cell r="B211" t="str">
            <v>208.0 )</v>
          </cell>
          <cell r="C211" t="str">
            <v>10.18 )</v>
          </cell>
          <cell r="D211" t="str">
            <v>1.10.18 )</v>
          </cell>
          <cell r="E211" t="str">
            <v>2.10.18 )</v>
          </cell>
          <cell r="F211" t="str">
            <v>3.10.18 )</v>
          </cell>
        </row>
        <row r="212">
          <cell r="B212" t="str">
            <v>209.0 )</v>
          </cell>
          <cell r="C212" t="str">
            <v>10.19 )</v>
          </cell>
          <cell r="D212" t="str">
            <v>1.10.19 )</v>
          </cell>
          <cell r="E212" t="str">
            <v>2.10.19 )</v>
          </cell>
          <cell r="F212" t="str">
            <v>3.10.19 )</v>
          </cell>
        </row>
        <row r="213">
          <cell r="B213" t="str">
            <v>210.0 )</v>
          </cell>
          <cell r="C213" t="str">
            <v>10.20 )</v>
          </cell>
          <cell r="D213" t="str">
            <v>1.10.20 )</v>
          </cell>
          <cell r="E213" t="str">
            <v>2.10.20 )</v>
          </cell>
          <cell r="F213" t="str">
            <v>3.10.20 )</v>
          </cell>
        </row>
        <row r="214">
          <cell r="B214" t="str">
            <v>211.0 )</v>
          </cell>
          <cell r="C214" t="str">
            <v>11.0 )</v>
          </cell>
          <cell r="D214" t="str">
            <v>1.11.0 )</v>
          </cell>
          <cell r="E214" t="str">
            <v>2.11.0 )</v>
          </cell>
          <cell r="F214" t="str">
            <v>3.11.0 )</v>
          </cell>
        </row>
        <row r="215">
          <cell r="B215" t="str">
            <v>212.0 )</v>
          </cell>
          <cell r="C215" t="str">
            <v>11.1 )</v>
          </cell>
          <cell r="D215" t="str">
            <v>1.11.1 )</v>
          </cell>
          <cell r="E215" t="str">
            <v>2.11.1 )</v>
          </cell>
          <cell r="F215" t="str">
            <v>3.11.1 )</v>
          </cell>
        </row>
        <row r="216">
          <cell r="B216" t="str">
            <v>213.0 )</v>
          </cell>
          <cell r="C216" t="str">
            <v>11.2 )</v>
          </cell>
          <cell r="D216" t="str">
            <v>1.11.2 )</v>
          </cell>
          <cell r="E216" t="str">
            <v>2.11.2 )</v>
          </cell>
          <cell r="F216" t="str">
            <v>3.11.2 )</v>
          </cell>
        </row>
        <row r="217">
          <cell r="B217" t="str">
            <v>214.0 )</v>
          </cell>
          <cell r="C217" t="str">
            <v>11.3 )</v>
          </cell>
          <cell r="D217" t="str">
            <v>1.11.3 )</v>
          </cell>
          <cell r="E217" t="str">
            <v>2.11.3 )</v>
          </cell>
          <cell r="F217" t="str">
            <v>3.11.3 )</v>
          </cell>
        </row>
        <row r="218">
          <cell r="B218" t="str">
            <v>215.0 )</v>
          </cell>
          <cell r="C218" t="str">
            <v>11.4 )</v>
          </cell>
          <cell r="D218" t="str">
            <v>1.11.4 )</v>
          </cell>
          <cell r="E218" t="str">
            <v>2.11.4 )</v>
          </cell>
          <cell r="F218" t="str">
            <v>3.11.4 )</v>
          </cell>
        </row>
        <row r="219">
          <cell r="B219" t="str">
            <v>216.0 )</v>
          </cell>
          <cell r="C219" t="str">
            <v>11.5 )</v>
          </cell>
          <cell r="D219" t="str">
            <v>1.11.5 )</v>
          </cell>
          <cell r="E219" t="str">
            <v>2.11.5 )</v>
          </cell>
          <cell r="F219" t="str">
            <v>3.11.5 )</v>
          </cell>
        </row>
        <row r="220">
          <cell r="B220" t="str">
            <v>217.0 )</v>
          </cell>
          <cell r="C220" t="str">
            <v>11.6 )</v>
          </cell>
          <cell r="D220" t="str">
            <v>1.11.6 )</v>
          </cell>
          <cell r="E220" t="str">
            <v>2.11.6 )</v>
          </cell>
          <cell r="F220" t="str">
            <v>3.11.6 )</v>
          </cell>
        </row>
        <row r="221">
          <cell r="B221" t="str">
            <v>218.0 )</v>
          </cell>
          <cell r="C221" t="str">
            <v>11.7 )</v>
          </cell>
          <cell r="D221" t="str">
            <v>1.11.7 )</v>
          </cell>
          <cell r="E221" t="str">
            <v>2.11.7 )</v>
          </cell>
          <cell r="F221" t="str">
            <v>3.11.7 )</v>
          </cell>
        </row>
        <row r="222">
          <cell r="B222" t="str">
            <v>219.0 )</v>
          </cell>
          <cell r="C222" t="str">
            <v>11.8 )</v>
          </cell>
          <cell r="D222" t="str">
            <v>1.11.8 )</v>
          </cell>
          <cell r="E222" t="str">
            <v>2.11.8 )</v>
          </cell>
          <cell r="F222" t="str">
            <v>3.11.8 )</v>
          </cell>
        </row>
        <row r="223">
          <cell r="B223" t="str">
            <v>220.0 )</v>
          </cell>
          <cell r="C223" t="str">
            <v>11.9 )</v>
          </cell>
          <cell r="D223" t="str">
            <v>1.11.9 )</v>
          </cell>
          <cell r="E223" t="str">
            <v>2.11.9 )</v>
          </cell>
          <cell r="F223" t="str">
            <v>3.11.9 )</v>
          </cell>
        </row>
        <row r="224">
          <cell r="B224" t="str">
            <v>221.0 )</v>
          </cell>
          <cell r="C224" t="str">
            <v>11.10 )</v>
          </cell>
          <cell r="D224" t="str">
            <v>1.11.10 )</v>
          </cell>
          <cell r="E224" t="str">
            <v>2.11.10 )</v>
          </cell>
          <cell r="F224" t="str">
            <v>3.11.10 )</v>
          </cell>
        </row>
        <row r="225">
          <cell r="B225" t="str">
            <v>222.0 )</v>
          </cell>
          <cell r="C225" t="str">
            <v>11.11 )</v>
          </cell>
          <cell r="D225" t="str">
            <v>1.11.11 )</v>
          </cell>
          <cell r="E225" t="str">
            <v>2.11.11 )</v>
          </cell>
          <cell r="F225" t="str">
            <v>3.11.11 )</v>
          </cell>
        </row>
        <row r="226">
          <cell r="B226" t="str">
            <v>223.0 )</v>
          </cell>
          <cell r="C226" t="str">
            <v>11.12 )</v>
          </cell>
          <cell r="D226" t="str">
            <v>1.11.12 )</v>
          </cell>
          <cell r="E226" t="str">
            <v>2.11.12 )</v>
          </cell>
          <cell r="F226" t="str">
            <v>3.11.12 )</v>
          </cell>
        </row>
        <row r="227">
          <cell r="B227" t="str">
            <v>224.0 )</v>
          </cell>
          <cell r="C227" t="str">
            <v>11.13 )</v>
          </cell>
          <cell r="D227" t="str">
            <v>1.11.13 )</v>
          </cell>
          <cell r="E227" t="str">
            <v>2.11.13 )</v>
          </cell>
          <cell r="F227" t="str">
            <v>3.11.13 )</v>
          </cell>
        </row>
        <row r="228">
          <cell r="B228" t="str">
            <v>225.0 )</v>
          </cell>
          <cell r="C228" t="str">
            <v>11.14 )</v>
          </cell>
          <cell r="D228" t="str">
            <v>1.11.14 )</v>
          </cell>
          <cell r="E228" t="str">
            <v>2.11.14 )</v>
          </cell>
          <cell r="F228" t="str">
            <v>3.11.14 )</v>
          </cell>
        </row>
        <row r="229">
          <cell r="B229" t="str">
            <v>226.0 )</v>
          </cell>
          <cell r="C229" t="str">
            <v>11.15 )</v>
          </cell>
          <cell r="D229" t="str">
            <v>1.11.15 )</v>
          </cell>
          <cell r="E229" t="str">
            <v>2.11.15 )</v>
          </cell>
          <cell r="F229" t="str">
            <v>3.11.15 )</v>
          </cell>
        </row>
        <row r="230">
          <cell r="B230" t="str">
            <v>227.0 )</v>
          </cell>
          <cell r="C230" t="str">
            <v>11.16 )</v>
          </cell>
          <cell r="D230" t="str">
            <v>1.11.16 )</v>
          </cell>
          <cell r="E230" t="str">
            <v>2.11.16 )</v>
          </cell>
          <cell r="F230" t="str">
            <v>3.11.16 )</v>
          </cell>
        </row>
        <row r="231">
          <cell r="B231" t="str">
            <v>228.0 )</v>
          </cell>
          <cell r="C231" t="str">
            <v>11.17 )</v>
          </cell>
          <cell r="D231" t="str">
            <v>1.11.17 )</v>
          </cell>
          <cell r="E231" t="str">
            <v>2.11.17 )</v>
          </cell>
          <cell r="F231" t="str">
            <v>3.11.17 )</v>
          </cell>
        </row>
        <row r="232">
          <cell r="B232" t="str">
            <v>229.0 )</v>
          </cell>
          <cell r="C232" t="str">
            <v>11.18 )</v>
          </cell>
          <cell r="D232" t="str">
            <v>1.11.18 )</v>
          </cell>
          <cell r="E232" t="str">
            <v>2.11.18 )</v>
          </cell>
          <cell r="F232" t="str">
            <v>3.11.18 )</v>
          </cell>
        </row>
        <row r="233">
          <cell r="B233" t="str">
            <v>230.0 )</v>
          </cell>
          <cell r="C233" t="str">
            <v>11.19 )</v>
          </cell>
          <cell r="D233" t="str">
            <v>1.11.19 )</v>
          </cell>
          <cell r="E233" t="str">
            <v>2.11.19 )</v>
          </cell>
          <cell r="F233" t="str">
            <v>3.11.19 )</v>
          </cell>
        </row>
        <row r="234">
          <cell r="B234" t="str">
            <v>231.0 )</v>
          </cell>
          <cell r="C234" t="str">
            <v>11.20 )</v>
          </cell>
          <cell r="D234" t="str">
            <v>1.11.20 )</v>
          </cell>
          <cell r="E234" t="str">
            <v>2.11.20 )</v>
          </cell>
          <cell r="F234" t="str">
            <v>3.11.20 )</v>
          </cell>
        </row>
        <row r="235">
          <cell r="B235" t="str">
            <v>232.0 )</v>
          </cell>
          <cell r="C235" t="str">
            <v>12.0 )</v>
          </cell>
          <cell r="D235" t="str">
            <v>1.12.0 )</v>
          </cell>
          <cell r="E235" t="str">
            <v>2.12.0 )</v>
          </cell>
          <cell r="F235" t="str">
            <v>3.12.0 )</v>
          </cell>
        </row>
        <row r="236">
          <cell r="B236" t="str">
            <v>233.0 )</v>
          </cell>
          <cell r="C236" t="str">
            <v>12.1 )</v>
          </cell>
          <cell r="D236" t="str">
            <v>1.12.1 )</v>
          </cell>
          <cell r="E236" t="str">
            <v>2.12.1 )</v>
          </cell>
          <cell r="F236" t="str">
            <v>3.12.1 )</v>
          </cell>
        </row>
        <row r="237">
          <cell r="B237" t="str">
            <v>234.0 )</v>
          </cell>
          <cell r="C237" t="str">
            <v>12.2 )</v>
          </cell>
          <cell r="D237" t="str">
            <v>1.12.2 )</v>
          </cell>
          <cell r="E237" t="str">
            <v>2.12.2 )</v>
          </cell>
          <cell r="F237" t="str">
            <v>3.12.2 )</v>
          </cell>
        </row>
        <row r="238">
          <cell r="B238" t="str">
            <v>235.0 )</v>
          </cell>
          <cell r="C238" t="str">
            <v>12.3 )</v>
          </cell>
          <cell r="D238" t="str">
            <v>1.12.3 )</v>
          </cell>
          <cell r="E238" t="str">
            <v>2.12.3 )</v>
          </cell>
          <cell r="F238" t="str">
            <v>3.12.3 )</v>
          </cell>
        </row>
        <row r="239">
          <cell r="B239" t="str">
            <v>236.0 )</v>
          </cell>
          <cell r="C239" t="str">
            <v>12.4 )</v>
          </cell>
          <cell r="D239" t="str">
            <v>1.12.4 )</v>
          </cell>
          <cell r="E239" t="str">
            <v>2.12.4 )</v>
          </cell>
          <cell r="F239" t="str">
            <v>3.12.4 )</v>
          </cell>
        </row>
        <row r="240">
          <cell r="B240" t="str">
            <v>237.0 )</v>
          </cell>
          <cell r="C240" t="str">
            <v>12.5 )</v>
          </cell>
          <cell r="D240" t="str">
            <v>1.12.5 )</v>
          </cell>
          <cell r="E240" t="str">
            <v>2.12.5 )</v>
          </cell>
          <cell r="F240" t="str">
            <v>3.12.5 )</v>
          </cell>
        </row>
        <row r="241">
          <cell r="B241" t="str">
            <v>238.0 )</v>
          </cell>
          <cell r="C241" t="str">
            <v>12.6 )</v>
          </cell>
          <cell r="D241" t="str">
            <v>1.12.6 )</v>
          </cell>
          <cell r="E241" t="str">
            <v>2.12.6 )</v>
          </cell>
          <cell r="F241" t="str">
            <v>3.12.6 )</v>
          </cell>
        </row>
        <row r="242">
          <cell r="B242" t="str">
            <v>239.0 )</v>
          </cell>
          <cell r="C242" t="str">
            <v>12.7 )</v>
          </cell>
          <cell r="D242" t="str">
            <v>1.12.7 )</v>
          </cell>
          <cell r="E242" t="str">
            <v>2.12.7 )</v>
          </cell>
          <cell r="F242" t="str">
            <v>3.12.7 )</v>
          </cell>
        </row>
        <row r="243">
          <cell r="B243" t="str">
            <v>240.0 )</v>
          </cell>
          <cell r="C243" t="str">
            <v>12.8 )</v>
          </cell>
          <cell r="D243" t="str">
            <v>1.12.8 )</v>
          </cell>
          <cell r="E243" t="str">
            <v>2.12.8 )</v>
          </cell>
          <cell r="F243" t="str">
            <v>3.12.8 )</v>
          </cell>
        </row>
        <row r="244">
          <cell r="B244" t="str">
            <v>241.0 )</v>
          </cell>
          <cell r="C244" t="str">
            <v>12.9 )</v>
          </cell>
          <cell r="D244" t="str">
            <v>1.12.9 )</v>
          </cell>
          <cell r="E244" t="str">
            <v>2.12.9 )</v>
          </cell>
          <cell r="F244" t="str">
            <v>3.12.9 )</v>
          </cell>
        </row>
        <row r="245">
          <cell r="B245" t="str">
            <v>242.0 )</v>
          </cell>
          <cell r="C245" t="str">
            <v>12.10 )</v>
          </cell>
          <cell r="D245" t="str">
            <v>1.12.10 )</v>
          </cell>
          <cell r="E245" t="str">
            <v>2.12.10 )</v>
          </cell>
          <cell r="F245" t="str">
            <v>3.12.10 )</v>
          </cell>
        </row>
        <row r="246">
          <cell r="B246" t="str">
            <v>243.0 )</v>
          </cell>
          <cell r="C246" t="str">
            <v>12.11 )</v>
          </cell>
          <cell r="D246" t="str">
            <v>1.12.11 )</v>
          </cell>
          <cell r="E246" t="str">
            <v>2.12.11 )</v>
          </cell>
          <cell r="F246" t="str">
            <v>3.12.11 )</v>
          </cell>
        </row>
        <row r="247">
          <cell r="B247" t="str">
            <v>244.0 )</v>
          </cell>
          <cell r="C247" t="str">
            <v>12.12 )</v>
          </cell>
          <cell r="D247" t="str">
            <v>1.12.12 )</v>
          </cell>
          <cell r="E247" t="str">
            <v>2.12.12 )</v>
          </cell>
          <cell r="F247" t="str">
            <v>3.12.12 )</v>
          </cell>
        </row>
        <row r="248">
          <cell r="B248" t="str">
            <v>245.0 )</v>
          </cell>
          <cell r="C248" t="str">
            <v>12.13 )</v>
          </cell>
          <cell r="D248" t="str">
            <v>1.12.13 )</v>
          </cell>
          <cell r="E248" t="str">
            <v>2.12.13 )</v>
          </cell>
          <cell r="F248" t="str">
            <v>3.12.13 )</v>
          </cell>
        </row>
        <row r="249">
          <cell r="B249" t="str">
            <v>246.0 )</v>
          </cell>
          <cell r="C249" t="str">
            <v>12.14 )</v>
          </cell>
          <cell r="D249" t="str">
            <v>1.12.14 )</v>
          </cell>
          <cell r="E249" t="str">
            <v>2.12.14 )</v>
          </cell>
          <cell r="F249" t="str">
            <v>3.12.14 )</v>
          </cell>
        </row>
        <row r="250">
          <cell r="B250" t="str">
            <v>247.0 )</v>
          </cell>
          <cell r="C250" t="str">
            <v>12.15 )</v>
          </cell>
          <cell r="D250" t="str">
            <v>1.12.15 )</v>
          </cell>
          <cell r="E250" t="str">
            <v>2.12.15 )</v>
          </cell>
          <cell r="F250" t="str">
            <v>3.12.15 )</v>
          </cell>
        </row>
        <row r="251">
          <cell r="B251" t="str">
            <v>248.0 )</v>
          </cell>
          <cell r="C251" t="str">
            <v>12.16 )</v>
          </cell>
          <cell r="D251" t="str">
            <v>1.12.16 )</v>
          </cell>
          <cell r="E251" t="str">
            <v>2.12.16 )</v>
          </cell>
          <cell r="F251" t="str">
            <v>3.12.16 )</v>
          </cell>
        </row>
        <row r="252">
          <cell r="B252" t="str">
            <v>249.0 )</v>
          </cell>
          <cell r="C252" t="str">
            <v>12.17 )</v>
          </cell>
          <cell r="D252" t="str">
            <v>1.12.17 )</v>
          </cell>
          <cell r="E252" t="str">
            <v>2.12.17 )</v>
          </cell>
          <cell r="F252" t="str">
            <v>3.12.17 )</v>
          </cell>
        </row>
        <row r="253">
          <cell r="B253" t="str">
            <v>250.0 )</v>
          </cell>
          <cell r="C253" t="str">
            <v>12.18 )</v>
          </cell>
          <cell r="D253" t="str">
            <v>1.12.18 )</v>
          </cell>
          <cell r="E253" t="str">
            <v>2.12.18 )</v>
          </cell>
          <cell r="F253" t="str">
            <v>3.12.18 )</v>
          </cell>
        </row>
        <row r="254">
          <cell r="B254" t="str">
            <v>251.0 )</v>
          </cell>
          <cell r="C254" t="str">
            <v>12.19 )</v>
          </cell>
          <cell r="D254" t="str">
            <v>1.12.19 )</v>
          </cell>
          <cell r="E254" t="str">
            <v>2.12.19 )</v>
          </cell>
          <cell r="F254" t="str">
            <v>3.12.19 )</v>
          </cell>
        </row>
        <row r="255">
          <cell r="B255" t="str">
            <v>252.0 )</v>
          </cell>
          <cell r="C255" t="str">
            <v>12.20 )</v>
          </cell>
          <cell r="D255" t="str">
            <v>1.12.20 )</v>
          </cell>
          <cell r="E255" t="str">
            <v>2.12.20 )</v>
          </cell>
          <cell r="F255" t="str">
            <v>3.12.20 )</v>
          </cell>
        </row>
        <row r="256">
          <cell r="B256" t="str">
            <v>253.0 )</v>
          </cell>
          <cell r="C256" t="str">
            <v>13.0 )</v>
          </cell>
          <cell r="D256" t="str">
            <v>1.13.0 )</v>
          </cell>
          <cell r="E256" t="str">
            <v>2.13.0 )</v>
          </cell>
          <cell r="F256" t="str">
            <v>3.13.0 )</v>
          </cell>
        </row>
        <row r="257">
          <cell r="B257" t="str">
            <v>254.0 )</v>
          </cell>
          <cell r="C257" t="str">
            <v>13.1 )</v>
          </cell>
          <cell r="D257" t="str">
            <v>1.13.1 )</v>
          </cell>
          <cell r="E257" t="str">
            <v>2.13.1 )</v>
          </cell>
          <cell r="F257" t="str">
            <v>3.13.1 )</v>
          </cell>
        </row>
        <row r="258">
          <cell r="B258" t="str">
            <v>255.0 )</v>
          </cell>
          <cell r="C258" t="str">
            <v>13.2 )</v>
          </cell>
          <cell r="D258" t="str">
            <v>1.13.2 )</v>
          </cell>
          <cell r="E258" t="str">
            <v>2.13.2 )</v>
          </cell>
          <cell r="F258" t="str">
            <v>3.13.2 )</v>
          </cell>
        </row>
        <row r="259">
          <cell r="B259" t="str">
            <v>256.0 )</v>
          </cell>
          <cell r="C259" t="str">
            <v>13.3 )</v>
          </cell>
          <cell r="D259" t="str">
            <v>1.13.3 )</v>
          </cell>
          <cell r="E259" t="str">
            <v>2.13.3 )</v>
          </cell>
          <cell r="F259" t="str">
            <v>3.13.3 )</v>
          </cell>
        </row>
        <row r="260">
          <cell r="B260" t="str">
            <v>257.0 )</v>
          </cell>
          <cell r="C260" t="str">
            <v>13.4 )</v>
          </cell>
          <cell r="D260" t="str">
            <v>1.13.4 )</v>
          </cell>
          <cell r="E260" t="str">
            <v>2.13.4 )</v>
          </cell>
          <cell r="F260" t="str">
            <v>3.13.4 )</v>
          </cell>
        </row>
        <row r="261">
          <cell r="B261" t="str">
            <v>258.0 )</v>
          </cell>
          <cell r="C261" t="str">
            <v>13.5 )</v>
          </cell>
          <cell r="D261" t="str">
            <v>1.13.5 )</v>
          </cell>
          <cell r="E261" t="str">
            <v>2.13.5 )</v>
          </cell>
          <cell r="F261" t="str">
            <v>3.13.5 )</v>
          </cell>
        </row>
        <row r="262">
          <cell r="B262" t="str">
            <v>259.0 )</v>
          </cell>
          <cell r="C262" t="str">
            <v>13.6 )</v>
          </cell>
          <cell r="D262" t="str">
            <v>1.13.6 )</v>
          </cell>
          <cell r="E262" t="str">
            <v>2.13.6 )</v>
          </cell>
          <cell r="F262" t="str">
            <v>3.13.6 )</v>
          </cell>
        </row>
        <row r="263">
          <cell r="B263" t="str">
            <v>260.0 )</v>
          </cell>
          <cell r="C263" t="str">
            <v>13.7 )</v>
          </cell>
          <cell r="D263" t="str">
            <v>1.13.7 )</v>
          </cell>
          <cell r="E263" t="str">
            <v>2.13.7 )</v>
          </cell>
          <cell r="F263" t="str">
            <v>3.13.7 )</v>
          </cell>
        </row>
        <row r="264">
          <cell r="B264" t="str">
            <v>261.0 )</v>
          </cell>
          <cell r="C264" t="str">
            <v>13.8 )</v>
          </cell>
          <cell r="D264" t="str">
            <v>1.13.8 )</v>
          </cell>
          <cell r="E264" t="str">
            <v>2.13.8 )</v>
          </cell>
          <cell r="F264" t="str">
            <v>3.13.8 )</v>
          </cell>
        </row>
        <row r="265">
          <cell r="B265" t="str">
            <v>262.0 )</v>
          </cell>
          <cell r="C265" t="str">
            <v>13.9 )</v>
          </cell>
          <cell r="D265" t="str">
            <v>1.13.9 )</v>
          </cell>
          <cell r="E265" t="str">
            <v>2.13.9 )</v>
          </cell>
          <cell r="F265" t="str">
            <v>3.13.9 )</v>
          </cell>
        </row>
        <row r="266">
          <cell r="B266" t="str">
            <v>263.0 )</v>
          </cell>
          <cell r="C266" t="str">
            <v>13.10 )</v>
          </cell>
          <cell r="D266" t="str">
            <v>1.13.10 )</v>
          </cell>
          <cell r="E266" t="str">
            <v>2.13.10 )</v>
          </cell>
          <cell r="F266" t="str">
            <v>3.13.10 )</v>
          </cell>
        </row>
        <row r="267">
          <cell r="B267" t="str">
            <v>264.0 )</v>
          </cell>
          <cell r="C267" t="str">
            <v>13.11 )</v>
          </cell>
          <cell r="D267" t="str">
            <v>1.13.11 )</v>
          </cell>
          <cell r="E267" t="str">
            <v>2.13.11 )</v>
          </cell>
          <cell r="F267" t="str">
            <v>3.13.11 )</v>
          </cell>
        </row>
        <row r="268">
          <cell r="B268" t="str">
            <v>265.0 )</v>
          </cell>
          <cell r="C268" t="str">
            <v>13.12 )</v>
          </cell>
          <cell r="D268" t="str">
            <v>1.13.12 )</v>
          </cell>
          <cell r="E268" t="str">
            <v>2.13.12 )</v>
          </cell>
          <cell r="F268" t="str">
            <v>3.13.12 )</v>
          </cell>
        </row>
        <row r="269">
          <cell r="B269" t="str">
            <v>266.0 )</v>
          </cell>
          <cell r="C269" t="str">
            <v>13.13 )</v>
          </cell>
          <cell r="D269" t="str">
            <v>1.13.13 )</v>
          </cell>
          <cell r="E269" t="str">
            <v>2.13.13 )</v>
          </cell>
          <cell r="F269" t="str">
            <v>3.13.13 )</v>
          </cell>
        </row>
        <row r="270">
          <cell r="B270" t="str">
            <v>267.0 )</v>
          </cell>
          <cell r="C270" t="str">
            <v>13.14 )</v>
          </cell>
          <cell r="D270" t="str">
            <v>1.13.14 )</v>
          </cell>
          <cell r="E270" t="str">
            <v>2.13.14 )</v>
          </cell>
          <cell r="F270" t="str">
            <v>3.13.14 )</v>
          </cell>
        </row>
        <row r="271">
          <cell r="B271" t="str">
            <v>268.0 )</v>
          </cell>
          <cell r="C271" t="str">
            <v>13.15 )</v>
          </cell>
          <cell r="D271" t="str">
            <v>1.13.15 )</v>
          </cell>
          <cell r="E271" t="str">
            <v>2.13.15 )</v>
          </cell>
          <cell r="F271" t="str">
            <v>3.13.15 )</v>
          </cell>
        </row>
        <row r="272">
          <cell r="B272" t="str">
            <v>269.0 )</v>
          </cell>
          <cell r="C272" t="str">
            <v>13.16 )</v>
          </cell>
          <cell r="D272" t="str">
            <v>1.13.16 )</v>
          </cell>
          <cell r="E272" t="str">
            <v>2.13.16 )</v>
          </cell>
          <cell r="F272" t="str">
            <v>3.13.16 )</v>
          </cell>
        </row>
        <row r="273">
          <cell r="B273" t="str">
            <v>270.0 )</v>
          </cell>
          <cell r="C273" t="str">
            <v>13.17 )</v>
          </cell>
          <cell r="D273" t="str">
            <v>1.13.17 )</v>
          </cell>
          <cell r="E273" t="str">
            <v>2.13.17 )</v>
          </cell>
          <cell r="F273" t="str">
            <v>3.13.17 )</v>
          </cell>
        </row>
        <row r="274">
          <cell r="B274" t="str">
            <v>271.0 )</v>
          </cell>
          <cell r="C274" t="str">
            <v>13.18 )</v>
          </cell>
          <cell r="D274" t="str">
            <v>1.13.18 )</v>
          </cell>
          <cell r="E274" t="str">
            <v>2.13.18 )</v>
          </cell>
          <cell r="F274" t="str">
            <v>3.13.18 )</v>
          </cell>
        </row>
        <row r="275">
          <cell r="B275" t="str">
            <v>272.0 )</v>
          </cell>
          <cell r="C275" t="str">
            <v>13.19 )</v>
          </cell>
          <cell r="D275" t="str">
            <v>1.13.19 )</v>
          </cell>
          <cell r="E275" t="str">
            <v>2.13.19 )</v>
          </cell>
          <cell r="F275" t="str">
            <v>3.13.19 )</v>
          </cell>
        </row>
        <row r="276">
          <cell r="B276" t="str">
            <v>273.0 )</v>
          </cell>
          <cell r="C276" t="str">
            <v>13.20 )</v>
          </cell>
          <cell r="D276" t="str">
            <v>1.13.20 )</v>
          </cell>
          <cell r="E276" t="str">
            <v>2.13.20 )</v>
          </cell>
          <cell r="F276" t="str">
            <v>3.13.20 )</v>
          </cell>
        </row>
        <row r="277">
          <cell r="B277" t="str">
            <v>274.0 )</v>
          </cell>
          <cell r="C277" t="str">
            <v>14.0 )</v>
          </cell>
          <cell r="D277" t="str">
            <v>1.14.0 )</v>
          </cell>
          <cell r="E277" t="str">
            <v>2.14.0 )</v>
          </cell>
          <cell r="F277" t="str">
            <v>3.14.0 )</v>
          </cell>
        </row>
        <row r="278">
          <cell r="B278" t="str">
            <v>275.0 )</v>
          </cell>
          <cell r="C278" t="str">
            <v>14.1 )</v>
          </cell>
          <cell r="D278" t="str">
            <v>1.14.1 )</v>
          </cell>
          <cell r="E278" t="str">
            <v>2.14.1 )</v>
          </cell>
          <cell r="F278" t="str">
            <v>3.14.1 )</v>
          </cell>
        </row>
        <row r="279">
          <cell r="B279" t="str">
            <v>276.0 )</v>
          </cell>
          <cell r="C279" t="str">
            <v>14.2 )</v>
          </cell>
          <cell r="D279" t="str">
            <v>1.14.2 )</v>
          </cell>
          <cell r="E279" t="str">
            <v>2.14.2 )</v>
          </cell>
          <cell r="F279" t="str">
            <v>3.14.2 )</v>
          </cell>
        </row>
        <row r="280">
          <cell r="B280" t="str">
            <v>277.0 )</v>
          </cell>
          <cell r="C280" t="str">
            <v>14.3 )</v>
          </cell>
          <cell r="D280" t="str">
            <v>1.14.3 )</v>
          </cell>
          <cell r="E280" t="str">
            <v>2.14.3 )</v>
          </cell>
          <cell r="F280" t="str">
            <v>3.14.3 )</v>
          </cell>
        </row>
        <row r="281">
          <cell r="B281" t="str">
            <v>278.0 )</v>
          </cell>
          <cell r="C281" t="str">
            <v>14.4 )</v>
          </cell>
          <cell r="D281" t="str">
            <v>1.14.4 )</v>
          </cell>
          <cell r="E281" t="str">
            <v>2.14.4 )</v>
          </cell>
          <cell r="F281" t="str">
            <v>3.14.4 )</v>
          </cell>
        </row>
        <row r="282">
          <cell r="B282" t="str">
            <v>279.0 )</v>
          </cell>
          <cell r="C282" t="str">
            <v>14.5 )</v>
          </cell>
          <cell r="D282" t="str">
            <v>1.14.5 )</v>
          </cell>
          <cell r="E282" t="str">
            <v>2.14.5 )</v>
          </cell>
          <cell r="F282" t="str">
            <v>3.14.5 )</v>
          </cell>
        </row>
        <row r="283">
          <cell r="B283" t="str">
            <v>280.0 )</v>
          </cell>
          <cell r="C283" t="str">
            <v>14.6 )</v>
          </cell>
          <cell r="D283" t="str">
            <v>1.14.6 )</v>
          </cell>
          <cell r="E283" t="str">
            <v>2.14.6 )</v>
          </cell>
          <cell r="F283" t="str">
            <v>3.14.6 )</v>
          </cell>
        </row>
        <row r="284">
          <cell r="B284" t="str">
            <v>281.0 )</v>
          </cell>
          <cell r="C284" t="str">
            <v>14.7 )</v>
          </cell>
          <cell r="D284" t="str">
            <v>1.14.7 )</v>
          </cell>
          <cell r="E284" t="str">
            <v>2.14.7 )</v>
          </cell>
          <cell r="F284" t="str">
            <v>3.14.7 )</v>
          </cell>
        </row>
        <row r="285">
          <cell r="B285" t="str">
            <v>282.0 )</v>
          </cell>
          <cell r="C285" t="str">
            <v>14.8 )</v>
          </cell>
          <cell r="D285" t="str">
            <v>1.14.8 )</v>
          </cell>
          <cell r="E285" t="str">
            <v>2.14.8 )</v>
          </cell>
          <cell r="F285" t="str">
            <v>3.14.8 )</v>
          </cell>
        </row>
        <row r="286">
          <cell r="B286" t="str">
            <v>283.0 )</v>
          </cell>
          <cell r="C286" t="str">
            <v>14.9 )</v>
          </cell>
          <cell r="D286" t="str">
            <v>1.14.9 )</v>
          </cell>
          <cell r="E286" t="str">
            <v>2.14.9 )</v>
          </cell>
          <cell r="F286" t="str">
            <v>3.14.9 )</v>
          </cell>
        </row>
        <row r="287">
          <cell r="B287" t="str">
            <v>284.0 )</v>
          </cell>
          <cell r="C287" t="str">
            <v>14.10 )</v>
          </cell>
          <cell r="D287" t="str">
            <v>1.14.10 )</v>
          </cell>
          <cell r="E287" t="str">
            <v>2.14.10 )</v>
          </cell>
          <cell r="F287" t="str">
            <v>3.14.10 )</v>
          </cell>
        </row>
        <row r="288">
          <cell r="B288" t="str">
            <v>285.0 )</v>
          </cell>
          <cell r="C288" t="str">
            <v>14.11 )</v>
          </cell>
          <cell r="D288" t="str">
            <v>1.14.11 )</v>
          </cell>
          <cell r="E288" t="str">
            <v>2.14.11 )</v>
          </cell>
          <cell r="F288" t="str">
            <v>3.14.11 )</v>
          </cell>
        </row>
        <row r="289">
          <cell r="B289" t="str">
            <v>286.0 )</v>
          </cell>
          <cell r="C289" t="str">
            <v>14.12 )</v>
          </cell>
          <cell r="D289" t="str">
            <v>1.14.12 )</v>
          </cell>
          <cell r="E289" t="str">
            <v>2.14.12 )</v>
          </cell>
          <cell r="F289" t="str">
            <v>3.14.12 )</v>
          </cell>
        </row>
        <row r="290">
          <cell r="B290" t="str">
            <v>287.0 )</v>
          </cell>
          <cell r="C290" t="str">
            <v>14.13 )</v>
          </cell>
          <cell r="D290" t="str">
            <v>1.14.13 )</v>
          </cell>
          <cell r="E290" t="str">
            <v>2.14.13 )</v>
          </cell>
          <cell r="F290" t="str">
            <v>3.14.13 )</v>
          </cell>
        </row>
        <row r="291">
          <cell r="B291" t="str">
            <v>288.0 )</v>
          </cell>
          <cell r="C291" t="str">
            <v>14.14 )</v>
          </cell>
          <cell r="D291" t="str">
            <v>1.14.14 )</v>
          </cell>
          <cell r="E291" t="str">
            <v>2.14.14 )</v>
          </cell>
          <cell r="F291" t="str">
            <v>3.14.14 )</v>
          </cell>
        </row>
        <row r="292">
          <cell r="B292" t="str">
            <v>289.0 )</v>
          </cell>
          <cell r="C292" t="str">
            <v>14.15 )</v>
          </cell>
          <cell r="D292" t="str">
            <v>1.14.15 )</v>
          </cell>
          <cell r="E292" t="str">
            <v>2.14.15 )</v>
          </cell>
          <cell r="F292" t="str">
            <v>3.14.15 )</v>
          </cell>
        </row>
        <row r="293">
          <cell r="B293" t="str">
            <v>290.0 )</v>
          </cell>
          <cell r="C293" t="str">
            <v>14.16 )</v>
          </cell>
          <cell r="D293" t="str">
            <v>1.14.16 )</v>
          </cell>
          <cell r="E293" t="str">
            <v>2.14.16 )</v>
          </cell>
          <cell r="F293" t="str">
            <v>3.14.16 )</v>
          </cell>
        </row>
        <row r="294">
          <cell r="B294" t="str">
            <v>291.0 )</v>
          </cell>
          <cell r="C294" t="str">
            <v>14.17 )</v>
          </cell>
          <cell r="D294" t="str">
            <v>1.14.17 )</v>
          </cell>
          <cell r="E294" t="str">
            <v>2.14.17 )</v>
          </cell>
          <cell r="F294" t="str">
            <v>3.14.17 )</v>
          </cell>
        </row>
        <row r="295">
          <cell r="B295" t="str">
            <v>292.0 )</v>
          </cell>
          <cell r="C295" t="str">
            <v>14.18 )</v>
          </cell>
          <cell r="D295" t="str">
            <v>1.14.18 )</v>
          </cell>
          <cell r="E295" t="str">
            <v>2.14.18 )</v>
          </cell>
          <cell r="F295" t="str">
            <v>3.14.18 )</v>
          </cell>
        </row>
        <row r="296">
          <cell r="B296" t="str">
            <v>293.0 )</v>
          </cell>
          <cell r="C296" t="str">
            <v>14.19 )</v>
          </cell>
          <cell r="D296" t="str">
            <v>1.14.19 )</v>
          </cell>
          <cell r="E296" t="str">
            <v>2.14.19 )</v>
          </cell>
          <cell r="F296" t="str">
            <v>3.14.19 )</v>
          </cell>
        </row>
        <row r="297">
          <cell r="B297" t="str">
            <v>294.0 )</v>
          </cell>
          <cell r="C297" t="str">
            <v>14.20 )</v>
          </cell>
          <cell r="D297" t="str">
            <v>1.14.20 )</v>
          </cell>
          <cell r="E297" t="str">
            <v>2.14.20 )</v>
          </cell>
          <cell r="F297" t="str">
            <v>3.14.20 )</v>
          </cell>
        </row>
        <row r="298">
          <cell r="B298" t="str">
            <v>295.0 )</v>
          </cell>
          <cell r="C298" t="str">
            <v>15.0 )</v>
          </cell>
          <cell r="D298" t="str">
            <v>1.15.0 )</v>
          </cell>
          <cell r="E298" t="str">
            <v>2.15.0 )</v>
          </cell>
          <cell r="F298" t="str">
            <v>3.15.0 )</v>
          </cell>
        </row>
        <row r="299">
          <cell r="B299" t="str">
            <v>296.0 )</v>
          </cell>
          <cell r="C299" t="str">
            <v>15.1 )</v>
          </cell>
          <cell r="D299" t="str">
            <v>1.15.1 )</v>
          </cell>
          <cell r="E299" t="str">
            <v>2.15.1 )</v>
          </cell>
          <cell r="F299" t="str">
            <v>3.15.1 )</v>
          </cell>
        </row>
        <row r="300">
          <cell r="B300" t="str">
            <v>297.0 )</v>
          </cell>
          <cell r="C300" t="str">
            <v>15.2 )</v>
          </cell>
          <cell r="D300" t="str">
            <v>1.15.2 )</v>
          </cell>
          <cell r="E300" t="str">
            <v>2.15.2 )</v>
          </cell>
          <cell r="F300" t="str">
            <v>3.15.2 )</v>
          </cell>
        </row>
        <row r="301">
          <cell r="B301" t="str">
            <v>298.0 )</v>
          </cell>
          <cell r="C301" t="str">
            <v>15.3 )</v>
          </cell>
          <cell r="D301" t="str">
            <v>1.15.3 )</v>
          </cell>
          <cell r="E301" t="str">
            <v>2.15.3 )</v>
          </cell>
          <cell r="F301" t="str">
            <v>3.15.3 )</v>
          </cell>
        </row>
        <row r="302">
          <cell r="B302" t="str">
            <v>299.0 )</v>
          </cell>
          <cell r="C302" t="str">
            <v>15.4 )</v>
          </cell>
          <cell r="D302" t="str">
            <v>1.15.4 )</v>
          </cell>
          <cell r="E302" t="str">
            <v>2.15.4 )</v>
          </cell>
          <cell r="F302" t="str">
            <v>3.15.4 )</v>
          </cell>
        </row>
        <row r="303">
          <cell r="B303" t="str">
            <v>300.0 )</v>
          </cell>
          <cell r="C303" t="str">
            <v>15.5 )</v>
          </cell>
          <cell r="D303" t="str">
            <v>1.15.5 )</v>
          </cell>
          <cell r="E303" t="str">
            <v>2.15.5 )</v>
          </cell>
          <cell r="F303" t="str">
            <v>3.15.5 )</v>
          </cell>
        </row>
        <row r="304">
          <cell r="B304" t="str">
            <v>301.0 )</v>
          </cell>
          <cell r="C304" t="str">
            <v>15.6 )</v>
          </cell>
          <cell r="D304" t="str">
            <v>1.15.6 )</v>
          </cell>
          <cell r="E304" t="str">
            <v>2.15.6 )</v>
          </cell>
          <cell r="F304" t="str">
            <v>3.15.6 )</v>
          </cell>
        </row>
        <row r="305">
          <cell r="B305" t="str">
            <v>302.0 )</v>
          </cell>
          <cell r="C305" t="str">
            <v>15.7 )</v>
          </cell>
          <cell r="D305" t="str">
            <v>1.15.7 )</v>
          </cell>
          <cell r="E305" t="str">
            <v>2.15.7 )</v>
          </cell>
          <cell r="F305" t="str">
            <v>3.15.7 )</v>
          </cell>
        </row>
        <row r="306">
          <cell r="B306" t="str">
            <v>303.0 )</v>
          </cell>
          <cell r="C306" t="str">
            <v>15.8 )</v>
          </cell>
          <cell r="D306" t="str">
            <v>1.15.8 )</v>
          </cell>
          <cell r="E306" t="str">
            <v>2.15.8 )</v>
          </cell>
          <cell r="F306" t="str">
            <v>3.15.8 )</v>
          </cell>
        </row>
        <row r="307">
          <cell r="B307" t="str">
            <v>304.0 )</v>
          </cell>
          <cell r="C307" t="str">
            <v>15.9 )</v>
          </cell>
          <cell r="D307" t="str">
            <v>1.15.9 )</v>
          </cell>
          <cell r="E307" t="str">
            <v>2.15.9 )</v>
          </cell>
          <cell r="F307" t="str">
            <v>3.15.9 )</v>
          </cell>
        </row>
        <row r="308">
          <cell r="B308" t="str">
            <v>305.0 )</v>
          </cell>
          <cell r="C308" t="str">
            <v>15.10 )</v>
          </cell>
          <cell r="D308" t="str">
            <v>1.15.10 )</v>
          </cell>
          <cell r="E308" t="str">
            <v>2.15.10 )</v>
          </cell>
          <cell r="F308" t="str">
            <v>3.15.10 )</v>
          </cell>
        </row>
        <row r="309">
          <cell r="B309" t="str">
            <v>306.0 )</v>
          </cell>
          <cell r="C309" t="str">
            <v>15.11 )</v>
          </cell>
          <cell r="D309" t="str">
            <v>1.15.11 )</v>
          </cell>
          <cell r="E309" t="str">
            <v>2.15.11 )</v>
          </cell>
          <cell r="F309" t="str">
            <v>3.15.11 )</v>
          </cell>
        </row>
        <row r="310">
          <cell r="B310" t="str">
            <v>307.0 )</v>
          </cell>
          <cell r="C310" t="str">
            <v>15.12 )</v>
          </cell>
          <cell r="D310" t="str">
            <v>1.15.12 )</v>
          </cell>
          <cell r="E310" t="str">
            <v>2.15.12 )</v>
          </cell>
          <cell r="F310" t="str">
            <v>3.15.12 )</v>
          </cell>
        </row>
        <row r="311">
          <cell r="B311" t="str">
            <v>308.0 )</v>
          </cell>
          <cell r="C311" t="str">
            <v>15.13 )</v>
          </cell>
          <cell r="D311" t="str">
            <v>1.15.13 )</v>
          </cell>
          <cell r="E311" t="str">
            <v>2.15.13 )</v>
          </cell>
          <cell r="F311" t="str">
            <v>3.15.13 )</v>
          </cell>
        </row>
        <row r="312">
          <cell r="B312" t="str">
            <v>309.0 )</v>
          </cell>
          <cell r="C312" t="str">
            <v>15.14 )</v>
          </cell>
          <cell r="D312" t="str">
            <v>1.15.14 )</v>
          </cell>
          <cell r="E312" t="str">
            <v>2.15.14 )</v>
          </cell>
          <cell r="F312" t="str">
            <v>3.15.14 )</v>
          </cell>
        </row>
        <row r="313">
          <cell r="B313" t="str">
            <v>310.0 )</v>
          </cell>
          <cell r="C313" t="str">
            <v>15.15 )</v>
          </cell>
          <cell r="D313" t="str">
            <v>1.15.15 )</v>
          </cell>
          <cell r="E313" t="str">
            <v>2.15.15 )</v>
          </cell>
          <cell r="F313" t="str">
            <v>3.15.15 )</v>
          </cell>
        </row>
        <row r="314">
          <cell r="B314" t="str">
            <v>311.0 )</v>
          </cell>
          <cell r="C314" t="str">
            <v>15.16 )</v>
          </cell>
          <cell r="D314" t="str">
            <v>1.15.16 )</v>
          </cell>
          <cell r="E314" t="str">
            <v>2.15.16 )</v>
          </cell>
          <cell r="F314" t="str">
            <v>3.15.16 )</v>
          </cell>
        </row>
        <row r="315">
          <cell r="B315" t="str">
            <v>312.0 )</v>
          </cell>
          <cell r="C315" t="str">
            <v>15.17 )</v>
          </cell>
          <cell r="D315" t="str">
            <v>1.15.17 )</v>
          </cell>
          <cell r="E315" t="str">
            <v>2.15.17 )</v>
          </cell>
          <cell r="F315" t="str">
            <v>3.15.17 )</v>
          </cell>
        </row>
        <row r="316">
          <cell r="B316" t="str">
            <v>313.0 )</v>
          </cell>
          <cell r="C316" t="str">
            <v>15.18 )</v>
          </cell>
          <cell r="D316" t="str">
            <v>1.15.18 )</v>
          </cell>
          <cell r="E316" t="str">
            <v>2.15.18 )</v>
          </cell>
          <cell r="F316" t="str">
            <v>3.15.18 )</v>
          </cell>
        </row>
        <row r="317">
          <cell r="B317" t="str">
            <v>314.0 )</v>
          </cell>
          <cell r="C317" t="str">
            <v>15.19 )</v>
          </cell>
          <cell r="D317" t="str">
            <v>1.15.19 )</v>
          </cell>
          <cell r="E317" t="str">
            <v>2.15.19 )</v>
          </cell>
          <cell r="F317" t="str">
            <v>3.15.19 )</v>
          </cell>
        </row>
        <row r="318">
          <cell r="B318" t="str">
            <v>315.0 )</v>
          </cell>
          <cell r="C318" t="str">
            <v>15.20 )</v>
          </cell>
          <cell r="D318" t="str">
            <v>1.15.20 )</v>
          </cell>
          <cell r="E318" t="str">
            <v>2.15.20 )</v>
          </cell>
          <cell r="F318" t="str">
            <v>3.15.20 )</v>
          </cell>
        </row>
        <row r="319">
          <cell r="B319" t="str">
            <v>316.0 )</v>
          </cell>
          <cell r="C319" t="str">
            <v>16.0 )</v>
          </cell>
          <cell r="D319" t="str">
            <v>1.16.0 )</v>
          </cell>
          <cell r="E319" t="str">
            <v>2.16.0 )</v>
          </cell>
          <cell r="F319" t="str">
            <v>3.16.0 )</v>
          </cell>
        </row>
        <row r="320">
          <cell r="B320" t="str">
            <v>317.0 )</v>
          </cell>
          <cell r="C320" t="str">
            <v>16.1 )</v>
          </cell>
          <cell r="D320" t="str">
            <v>1.16.1 )</v>
          </cell>
          <cell r="E320" t="str">
            <v>2.16.1 )</v>
          </cell>
          <cell r="F320" t="str">
            <v>3.16.1 )</v>
          </cell>
        </row>
        <row r="321">
          <cell r="B321" t="str">
            <v>318.0 )</v>
          </cell>
          <cell r="C321" t="str">
            <v>16.2 )</v>
          </cell>
          <cell r="D321" t="str">
            <v>1.16.2 )</v>
          </cell>
          <cell r="E321" t="str">
            <v>2.16.2 )</v>
          </cell>
          <cell r="F321" t="str">
            <v>3.16.2 )</v>
          </cell>
        </row>
        <row r="322">
          <cell r="B322" t="str">
            <v>319.0 )</v>
          </cell>
          <cell r="C322" t="str">
            <v>16.3 )</v>
          </cell>
          <cell r="D322" t="str">
            <v>1.16.3 )</v>
          </cell>
          <cell r="E322" t="str">
            <v>2.16.3 )</v>
          </cell>
          <cell r="F322" t="str">
            <v>3.16.3 )</v>
          </cell>
        </row>
        <row r="323">
          <cell r="B323" t="str">
            <v>320.0 )</v>
          </cell>
          <cell r="C323" t="str">
            <v>16.4 )</v>
          </cell>
          <cell r="D323" t="str">
            <v>1.16.4 )</v>
          </cell>
          <cell r="E323" t="str">
            <v>2.16.4 )</v>
          </cell>
          <cell r="F323" t="str">
            <v>3.16.4 )</v>
          </cell>
        </row>
        <row r="324">
          <cell r="B324" t="str">
            <v>321.0 )</v>
          </cell>
          <cell r="C324" t="str">
            <v>16.5 )</v>
          </cell>
          <cell r="D324" t="str">
            <v>1.16.5 )</v>
          </cell>
          <cell r="E324" t="str">
            <v>2.16.5 )</v>
          </cell>
          <cell r="F324" t="str">
            <v>3.16.5 )</v>
          </cell>
        </row>
        <row r="325">
          <cell r="B325" t="str">
            <v>322.0 )</v>
          </cell>
          <cell r="C325" t="str">
            <v>16.6 )</v>
          </cell>
          <cell r="D325" t="str">
            <v>1.16.6 )</v>
          </cell>
          <cell r="E325" t="str">
            <v>2.16.6 )</v>
          </cell>
          <cell r="F325" t="str">
            <v>3.16.6 )</v>
          </cell>
        </row>
        <row r="326">
          <cell r="B326" t="str">
            <v>323.0 )</v>
          </cell>
          <cell r="C326" t="str">
            <v>16.7 )</v>
          </cell>
          <cell r="D326" t="str">
            <v>1.16.7 )</v>
          </cell>
          <cell r="E326" t="str">
            <v>2.16.7 )</v>
          </cell>
          <cell r="F326" t="str">
            <v>3.16.7 )</v>
          </cell>
        </row>
        <row r="327">
          <cell r="B327" t="str">
            <v>324.0 )</v>
          </cell>
          <cell r="C327" t="str">
            <v>16.8 )</v>
          </cell>
          <cell r="D327" t="str">
            <v>1.16.8 )</v>
          </cell>
          <cell r="E327" t="str">
            <v>2.16.8 )</v>
          </cell>
          <cell r="F327" t="str">
            <v>3.16.8 )</v>
          </cell>
        </row>
        <row r="328">
          <cell r="B328" t="str">
            <v>325.0 )</v>
          </cell>
          <cell r="C328" t="str">
            <v>16.9 )</v>
          </cell>
          <cell r="D328" t="str">
            <v>1.16.9 )</v>
          </cell>
          <cell r="E328" t="str">
            <v>2.16.9 )</v>
          </cell>
          <cell r="F328" t="str">
            <v>3.16.9 )</v>
          </cell>
        </row>
        <row r="329">
          <cell r="B329" t="str">
            <v>326.0 )</v>
          </cell>
          <cell r="C329" t="str">
            <v>16.10 )</v>
          </cell>
          <cell r="D329" t="str">
            <v>1.16.10 )</v>
          </cell>
          <cell r="E329" t="str">
            <v>2.16.10 )</v>
          </cell>
          <cell r="F329" t="str">
            <v>3.16.10 )</v>
          </cell>
        </row>
        <row r="330">
          <cell r="B330" t="str">
            <v>327.0 )</v>
          </cell>
          <cell r="C330" t="str">
            <v>16.11 )</v>
          </cell>
          <cell r="D330" t="str">
            <v>1.16.11 )</v>
          </cell>
          <cell r="E330" t="str">
            <v>2.16.11 )</v>
          </cell>
          <cell r="F330" t="str">
            <v>3.16.11 )</v>
          </cell>
        </row>
        <row r="331">
          <cell r="B331" t="str">
            <v>328.0 )</v>
          </cell>
          <cell r="C331" t="str">
            <v>16.12 )</v>
          </cell>
          <cell r="D331" t="str">
            <v>1.16.12 )</v>
          </cell>
          <cell r="E331" t="str">
            <v>2.16.12 )</v>
          </cell>
          <cell r="F331" t="str">
            <v>3.16.12 )</v>
          </cell>
        </row>
        <row r="332">
          <cell r="B332" t="str">
            <v>329.0 )</v>
          </cell>
          <cell r="C332" t="str">
            <v>16.13 )</v>
          </cell>
          <cell r="D332" t="str">
            <v>1.16.13 )</v>
          </cell>
          <cell r="E332" t="str">
            <v>2.16.13 )</v>
          </cell>
          <cell r="F332" t="str">
            <v>3.16.13 )</v>
          </cell>
        </row>
        <row r="333">
          <cell r="B333" t="str">
            <v>330.0 )</v>
          </cell>
          <cell r="C333" t="str">
            <v>16.14 )</v>
          </cell>
          <cell r="D333" t="str">
            <v>1.16.14 )</v>
          </cell>
          <cell r="E333" t="str">
            <v>2.16.14 )</v>
          </cell>
          <cell r="F333" t="str">
            <v>3.16.14 )</v>
          </cell>
        </row>
        <row r="334">
          <cell r="B334" t="str">
            <v>331.0 )</v>
          </cell>
          <cell r="C334" t="str">
            <v>16.15 )</v>
          </cell>
          <cell r="D334" t="str">
            <v>1.16.15 )</v>
          </cell>
          <cell r="E334" t="str">
            <v>2.16.15 )</v>
          </cell>
          <cell r="F334" t="str">
            <v>3.16.15 )</v>
          </cell>
        </row>
        <row r="335">
          <cell r="B335" t="str">
            <v>332.0 )</v>
          </cell>
          <cell r="C335" t="str">
            <v>16.16 )</v>
          </cell>
          <cell r="D335" t="str">
            <v>1.16.16 )</v>
          </cell>
          <cell r="E335" t="str">
            <v>2.16.16 )</v>
          </cell>
          <cell r="F335" t="str">
            <v>3.16.16 )</v>
          </cell>
        </row>
        <row r="336">
          <cell r="B336" t="str">
            <v>333.0 )</v>
          </cell>
          <cell r="C336" t="str">
            <v>16.17 )</v>
          </cell>
          <cell r="D336" t="str">
            <v>1.16.17 )</v>
          </cell>
          <cell r="E336" t="str">
            <v>2.16.17 )</v>
          </cell>
          <cell r="F336" t="str">
            <v>3.16.17 )</v>
          </cell>
        </row>
        <row r="337">
          <cell r="B337" t="str">
            <v>334.0 )</v>
          </cell>
          <cell r="C337" t="str">
            <v>16.18 )</v>
          </cell>
          <cell r="D337" t="str">
            <v>1.16.18 )</v>
          </cell>
          <cell r="E337" t="str">
            <v>2.16.18 )</v>
          </cell>
          <cell r="F337" t="str">
            <v>3.16.18 )</v>
          </cell>
        </row>
        <row r="338">
          <cell r="B338" t="str">
            <v>335.0 )</v>
          </cell>
          <cell r="C338" t="str">
            <v>16.19 )</v>
          </cell>
          <cell r="D338" t="str">
            <v>1.16.19 )</v>
          </cell>
          <cell r="E338" t="str">
            <v>2.16.19 )</v>
          </cell>
          <cell r="F338" t="str">
            <v>3.16.19 )</v>
          </cell>
        </row>
        <row r="339">
          <cell r="B339" t="str">
            <v>336.0 )</v>
          </cell>
          <cell r="C339" t="str">
            <v>16.20 )</v>
          </cell>
          <cell r="D339" t="str">
            <v>1.16.20 )</v>
          </cell>
          <cell r="E339" t="str">
            <v>2.16.20 )</v>
          </cell>
          <cell r="F339" t="str">
            <v>3.16.20 )</v>
          </cell>
        </row>
        <row r="340">
          <cell r="B340" t="str">
            <v>337.0 )</v>
          </cell>
          <cell r="C340" t="str">
            <v>17.0 )</v>
          </cell>
          <cell r="D340" t="str">
            <v>1.17.0 )</v>
          </cell>
          <cell r="E340" t="str">
            <v>2.17.0 )</v>
          </cell>
          <cell r="F340" t="str">
            <v>3.17.0 )</v>
          </cell>
        </row>
        <row r="341">
          <cell r="B341" t="str">
            <v>338.0 )</v>
          </cell>
          <cell r="C341" t="str">
            <v>17.1 )</v>
          </cell>
          <cell r="D341" t="str">
            <v>1.17.1 )</v>
          </cell>
          <cell r="E341" t="str">
            <v>2.17.1 )</v>
          </cell>
          <cell r="F341" t="str">
            <v>3.17.1 )</v>
          </cell>
        </row>
        <row r="342">
          <cell r="B342" t="str">
            <v>339.0 )</v>
          </cell>
          <cell r="C342" t="str">
            <v>17.2 )</v>
          </cell>
          <cell r="D342" t="str">
            <v>1.17.2 )</v>
          </cell>
          <cell r="E342" t="str">
            <v>2.17.2 )</v>
          </cell>
          <cell r="F342" t="str">
            <v>3.17.2 )</v>
          </cell>
        </row>
        <row r="343">
          <cell r="B343" t="str">
            <v>340.0 )</v>
          </cell>
          <cell r="C343" t="str">
            <v>17.3 )</v>
          </cell>
          <cell r="D343" t="str">
            <v>1.17.3 )</v>
          </cell>
          <cell r="E343" t="str">
            <v>2.17.3 )</v>
          </cell>
          <cell r="F343" t="str">
            <v>3.17.3 )</v>
          </cell>
        </row>
        <row r="344">
          <cell r="B344" t="str">
            <v>341.0 )</v>
          </cell>
          <cell r="C344" t="str">
            <v>17.4 )</v>
          </cell>
          <cell r="D344" t="str">
            <v>1.17.4 )</v>
          </cell>
          <cell r="E344" t="str">
            <v>2.17.4 )</v>
          </cell>
          <cell r="F344" t="str">
            <v>3.17.4 )</v>
          </cell>
        </row>
        <row r="345">
          <cell r="B345" t="str">
            <v>342.0 )</v>
          </cell>
          <cell r="C345" t="str">
            <v>17.5 )</v>
          </cell>
          <cell r="D345" t="str">
            <v>1.17.5 )</v>
          </cell>
          <cell r="E345" t="str">
            <v>2.17.5 )</v>
          </cell>
          <cell r="F345" t="str">
            <v>3.17.5 )</v>
          </cell>
        </row>
        <row r="346">
          <cell r="B346" t="str">
            <v>343.0 )</v>
          </cell>
          <cell r="C346" t="str">
            <v>17.6 )</v>
          </cell>
          <cell r="D346" t="str">
            <v>1.17.6 )</v>
          </cell>
          <cell r="E346" t="str">
            <v>2.17.6 )</v>
          </cell>
          <cell r="F346" t="str">
            <v>3.17.6 )</v>
          </cell>
        </row>
        <row r="347">
          <cell r="B347" t="str">
            <v>344.0 )</v>
          </cell>
          <cell r="C347" t="str">
            <v>17.7 )</v>
          </cell>
          <cell r="D347" t="str">
            <v>1.17.7 )</v>
          </cell>
          <cell r="E347" t="str">
            <v>2.17.7 )</v>
          </cell>
          <cell r="F347" t="str">
            <v>3.17.7 )</v>
          </cell>
        </row>
        <row r="348">
          <cell r="B348" t="str">
            <v>345.0 )</v>
          </cell>
          <cell r="C348" t="str">
            <v>17.8 )</v>
          </cell>
          <cell r="D348" t="str">
            <v>1.17.8 )</v>
          </cell>
          <cell r="E348" t="str">
            <v>2.17.8 )</v>
          </cell>
          <cell r="F348" t="str">
            <v>3.17.8 )</v>
          </cell>
        </row>
        <row r="349">
          <cell r="B349" t="str">
            <v>346.0 )</v>
          </cell>
          <cell r="C349" t="str">
            <v>17.9 )</v>
          </cell>
          <cell r="D349" t="str">
            <v>1.17.9 )</v>
          </cell>
          <cell r="E349" t="str">
            <v>2.17.9 )</v>
          </cell>
          <cell r="F349" t="str">
            <v>3.17.9 )</v>
          </cell>
        </row>
        <row r="350">
          <cell r="B350" t="str">
            <v>347.0 )</v>
          </cell>
          <cell r="C350" t="str">
            <v>17.10 )</v>
          </cell>
          <cell r="D350" t="str">
            <v>1.17.10 )</v>
          </cell>
          <cell r="E350" t="str">
            <v>2.17.10 )</v>
          </cell>
          <cell r="F350" t="str">
            <v>3.17.10 )</v>
          </cell>
        </row>
        <row r="351">
          <cell r="B351" t="str">
            <v>348.0 )</v>
          </cell>
          <cell r="C351" t="str">
            <v>17.11 )</v>
          </cell>
          <cell r="D351" t="str">
            <v>1.17.11 )</v>
          </cell>
          <cell r="E351" t="str">
            <v>2.17.11 )</v>
          </cell>
          <cell r="F351" t="str">
            <v>3.17.11 )</v>
          </cell>
        </row>
        <row r="352">
          <cell r="B352" t="str">
            <v>349.0 )</v>
          </cell>
          <cell r="C352" t="str">
            <v>17.12 )</v>
          </cell>
          <cell r="D352" t="str">
            <v>1.17.12 )</v>
          </cell>
          <cell r="E352" t="str">
            <v>2.17.12 )</v>
          </cell>
          <cell r="F352" t="str">
            <v>3.17.12 )</v>
          </cell>
        </row>
        <row r="353">
          <cell r="B353" t="str">
            <v>350.0 )</v>
          </cell>
          <cell r="C353" t="str">
            <v>17.13 )</v>
          </cell>
          <cell r="D353" t="str">
            <v>1.17.13 )</v>
          </cell>
          <cell r="E353" t="str">
            <v>2.17.13 )</v>
          </cell>
          <cell r="F353" t="str">
            <v>3.17.13 )</v>
          </cell>
        </row>
        <row r="354">
          <cell r="B354" t="str">
            <v>351.0 )</v>
          </cell>
          <cell r="C354" t="str">
            <v>17.14 )</v>
          </cell>
          <cell r="D354" t="str">
            <v>1.17.14 )</v>
          </cell>
          <cell r="E354" t="str">
            <v>2.17.14 )</v>
          </cell>
          <cell r="F354" t="str">
            <v>3.17.14 )</v>
          </cell>
        </row>
        <row r="355">
          <cell r="B355" t="str">
            <v>352.0 )</v>
          </cell>
          <cell r="C355" t="str">
            <v>17.15 )</v>
          </cell>
          <cell r="D355" t="str">
            <v>1.17.15 )</v>
          </cell>
          <cell r="E355" t="str">
            <v>2.17.15 )</v>
          </cell>
          <cell r="F355" t="str">
            <v>3.17.15 )</v>
          </cell>
        </row>
        <row r="356">
          <cell r="B356" t="str">
            <v>353.0 )</v>
          </cell>
          <cell r="C356" t="str">
            <v>17.16 )</v>
          </cell>
          <cell r="D356" t="str">
            <v>1.17.16 )</v>
          </cell>
          <cell r="E356" t="str">
            <v>2.17.16 )</v>
          </cell>
          <cell r="F356" t="str">
            <v>3.17.16 )</v>
          </cell>
        </row>
        <row r="357">
          <cell r="B357" t="str">
            <v>354.0 )</v>
          </cell>
          <cell r="C357" t="str">
            <v>17.17 )</v>
          </cell>
          <cell r="D357" t="str">
            <v>1.17.17 )</v>
          </cell>
          <cell r="E357" t="str">
            <v>2.17.17 )</v>
          </cell>
          <cell r="F357" t="str">
            <v>3.17.17 )</v>
          </cell>
        </row>
        <row r="358">
          <cell r="B358" t="str">
            <v>355.0 )</v>
          </cell>
          <cell r="C358" t="str">
            <v>17.18 )</v>
          </cell>
          <cell r="D358" t="str">
            <v>1.17.18 )</v>
          </cell>
          <cell r="E358" t="str">
            <v>2.17.18 )</v>
          </cell>
          <cell r="F358" t="str">
            <v>3.17.18 )</v>
          </cell>
        </row>
        <row r="359">
          <cell r="B359" t="str">
            <v>356.0 )</v>
          </cell>
          <cell r="C359" t="str">
            <v>17.19 )</v>
          </cell>
          <cell r="D359" t="str">
            <v>1.17.19 )</v>
          </cell>
          <cell r="E359" t="str">
            <v>2.17.19 )</v>
          </cell>
          <cell r="F359" t="str">
            <v>3.17.19 )</v>
          </cell>
        </row>
        <row r="360">
          <cell r="B360" t="str">
            <v>357.0 )</v>
          </cell>
          <cell r="C360" t="str">
            <v>17.20 )</v>
          </cell>
          <cell r="D360" t="str">
            <v>1.17.20 )</v>
          </cell>
          <cell r="E360" t="str">
            <v>2.17.20 )</v>
          </cell>
          <cell r="F360" t="str">
            <v>3.17.20 )</v>
          </cell>
        </row>
        <row r="361">
          <cell r="B361" t="str">
            <v>358.0 )</v>
          </cell>
          <cell r="C361" t="str">
            <v>18.0 )</v>
          </cell>
          <cell r="D361" t="str">
            <v>1.18.0 )</v>
          </cell>
          <cell r="E361" t="str">
            <v>2.18.0 )</v>
          </cell>
          <cell r="F361" t="str">
            <v>3.18.0 )</v>
          </cell>
        </row>
        <row r="362">
          <cell r="B362" t="str">
            <v>359.0 )</v>
          </cell>
          <cell r="C362" t="str">
            <v>18.1 )</v>
          </cell>
          <cell r="D362" t="str">
            <v>1.18.1 )</v>
          </cell>
          <cell r="E362" t="str">
            <v>2.18.1 )</v>
          </cell>
          <cell r="F362" t="str">
            <v>3.18.1 )</v>
          </cell>
        </row>
        <row r="363">
          <cell r="B363" t="str">
            <v>360.0 )</v>
          </cell>
          <cell r="C363" t="str">
            <v>18.2 )</v>
          </cell>
          <cell r="D363" t="str">
            <v>1.18.2 )</v>
          </cell>
          <cell r="E363" t="str">
            <v>2.18.2 )</v>
          </cell>
          <cell r="F363" t="str">
            <v>3.18.2 )</v>
          </cell>
        </row>
        <row r="364">
          <cell r="B364" t="str">
            <v>361.0 )</v>
          </cell>
          <cell r="C364" t="str">
            <v>18.3 )</v>
          </cell>
          <cell r="D364" t="str">
            <v>1.18.3 )</v>
          </cell>
          <cell r="E364" t="str">
            <v>2.18.3 )</v>
          </cell>
          <cell r="F364" t="str">
            <v>3.18.3 )</v>
          </cell>
        </row>
        <row r="365">
          <cell r="B365" t="str">
            <v>362.0 )</v>
          </cell>
          <cell r="C365" t="str">
            <v>18.4 )</v>
          </cell>
          <cell r="D365" t="str">
            <v>1.18.4 )</v>
          </cell>
          <cell r="E365" t="str">
            <v>2.18.4 )</v>
          </cell>
          <cell r="F365" t="str">
            <v>3.18.4 )</v>
          </cell>
        </row>
        <row r="366">
          <cell r="B366" t="str">
            <v>363.0 )</v>
          </cell>
          <cell r="C366" t="str">
            <v>18.5 )</v>
          </cell>
          <cell r="D366" t="str">
            <v>1.18.5 )</v>
          </cell>
          <cell r="E366" t="str">
            <v>2.18.5 )</v>
          </cell>
          <cell r="F366" t="str">
            <v>3.18.5 )</v>
          </cell>
        </row>
        <row r="367">
          <cell r="B367" t="str">
            <v>364.0 )</v>
          </cell>
          <cell r="C367" t="str">
            <v>18.6 )</v>
          </cell>
          <cell r="D367" t="str">
            <v>1.18.6 )</v>
          </cell>
          <cell r="E367" t="str">
            <v>2.18.6 )</v>
          </cell>
          <cell r="F367" t="str">
            <v>3.18.6 )</v>
          </cell>
        </row>
        <row r="368">
          <cell r="B368" t="str">
            <v>365.0 )</v>
          </cell>
          <cell r="C368" t="str">
            <v>18.7 )</v>
          </cell>
          <cell r="D368" t="str">
            <v>1.18.7 )</v>
          </cell>
          <cell r="E368" t="str">
            <v>2.18.7 )</v>
          </cell>
          <cell r="F368" t="str">
            <v>3.18.7 )</v>
          </cell>
        </row>
        <row r="369">
          <cell r="B369" t="str">
            <v>366.0 )</v>
          </cell>
          <cell r="C369" t="str">
            <v>18.8 )</v>
          </cell>
          <cell r="D369" t="str">
            <v>1.18.8 )</v>
          </cell>
          <cell r="E369" t="str">
            <v>2.18.8 )</v>
          </cell>
          <cell r="F369" t="str">
            <v>3.18.8 )</v>
          </cell>
        </row>
        <row r="370">
          <cell r="B370" t="str">
            <v>367.0 )</v>
          </cell>
          <cell r="C370" t="str">
            <v>18.9 )</v>
          </cell>
          <cell r="D370" t="str">
            <v>1.18.9 )</v>
          </cell>
          <cell r="E370" t="str">
            <v>2.18.9 )</v>
          </cell>
          <cell r="F370" t="str">
            <v>3.18.9 )</v>
          </cell>
        </row>
        <row r="371">
          <cell r="B371" t="str">
            <v>368.0 )</v>
          </cell>
          <cell r="C371" t="str">
            <v>18.10 )</v>
          </cell>
          <cell r="D371" t="str">
            <v>1.18.10 )</v>
          </cell>
          <cell r="E371" t="str">
            <v>2.18.10 )</v>
          </cell>
          <cell r="F371" t="str">
            <v>3.18.10 )</v>
          </cell>
        </row>
        <row r="372">
          <cell r="B372" t="str">
            <v>369.0 )</v>
          </cell>
          <cell r="C372" t="str">
            <v>18.11 )</v>
          </cell>
          <cell r="D372" t="str">
            <v>1.18.11 )</v>
          </cell>
          <cell r="E372" t="str">
            <v>2.18.11 )</v>
          </cell>
          <cell r="F372" t="str">
            <v>3.18.11 )</v>
          </cell>
        </row>
        <row r="373">
          <cell r="B373" t="str">
            <v>370.0 )</v>
          </cell>
          <cell r="C373" t="str">
            <v>18.12 )</v>
          </cell>
          <cell r="D373" t="str">
            <v>1.18.12 )</v>
          </cell>
          <cell r="E373" t="str">
            <v>2.18.12 )</v>
          </cell>
          <cell r="F373" t="str">
            <v>3.18.12 )</v>
          </cell>
        </row>
        <row r="374">
          <cell r="B374" t="str">
            <v>371.0 )</v>
          </cell>
          <cell r="C374" t="str">
            <v>18.13 )</v>
          </cell>
          <cell r="D374" t="str">
            <v>1.18.13 )</v>
          </cell>
          <cell r="E374" t="str">
            <v>2.18.13 )</v>
          </cell>
          <cell r="F374" t="str">
            <v>3.18.13 )</v>
          </cell>
        </row>
        <row r="375">
          <cell r="B375" t="str">
            <v>372.0 )</v>
          </cell>
          <cell r="C375" t="str">
            <v>18.14 )</v>
          </cell>
          <cell r="D375" t="str">
            <v>1.18.14 )</v>
          </cell>
          <cell r="E375" t="str">
            <v>2.18.14 )</v>
          </cell>
          <cell r="F375" t="str">
            <v>3.18.14 )</v>
          </cell>
        </row>
        <row r="376">
          <cell r="B376" t="str">
            <v>373.0 )</v>
          </cell>
          <cell r="C376" t="str">
            <v>18.15 )</v>
          </cell>
          <cell r="D376" t="str">
            <v>1.18.15 )</v>
          </cell>
          <cell r="E376" t="str">
            <v>2.18.15 )</v>
          </cell>
          <cell r="F376" t="str">
            <v>3.18.15 )</v>
          </cell>
        </row>
        <row r="377">
          <cell r="B377" t="str">
            <v>374.0 )</v>
          </cell>
          <cell r="C377" t="str">
            <v>18.16 )</v>
          </cell>
          <cell r="D377" t="str">
            <v>1.18.16 )</v>
          </cell>
          <cell r="E377" t="str">
            <v>2.18.16 )</v>
          </cell>
          <cell r="F377" t="str">
            <v>3.18.16 )</v>
          </cell>
        </row>
        <row r="378">
          <cell r="B378" t="str">
            <v>375.0 )</v>
          </cell>
          <cell r="C378" t="str">
            <v>18.17 )</v>
          </cell>
          <cell r="D378" t="str">
            <v>1.18.17 )</v>
          </cell>
          <cell r="E378" t="str">
            <v>2.18.17 )</v>
          </cell>
          <cell r="F378" t="str">
            <v>3.18.17 )</v>
          </cell>
        </row>
        <row r="379">
          <cell r="B379" t="str">
            <v>376.0 )</v>
          </cell>
          <cell r="C379" t="str">
            <v>18.18 )</v>
          </cell>
          <cell r="D379" t="str">
            <v>1.18.18 )</v>
          </cell>
          <cell r="E379" t="str">
            <v>2.18.18 )</v>
          </cell>
          <cell r="F379" t="str">
            <v>3.18.18 )</v>
          </cell>
        </row>
        <row r="380">
          <cell r="B380" t="str">
            <v>377.0 )</v>
          </cell>
          <cell r="C380" t="str">
            <v>18.19 )</v>
          </cell>
          <cell r="D380" t="str">
            <v>1.18.19 )</v>
          </cell>
          <cell r="E380" t="str">
            <v>2.18.19 )</v>
          </cell>
          <cell r="F380" t="str">
            <v>3.18.19 )</v>
          </cell>
        </row>
        <row r="381">
          <cell r="B381" t="str">
            <v>378.0 )</v>
          </cell>
          <cell r="C381" t="str">
            <v>18.20 )</v>
          </cell>
          <cell r="D381" t="str">
            <v>1.18.20 )</v>
          </cell>
          <cell r="E381" t="str">
            <v>2.18.20 )</v>
          </cell>
          <cell r="F381" t="str">
            <v>3.18.20 )</v>
          </cell>
        </row>
        <row r="382">
          <cell r="B382" t="str">
            <v>379.0 )</v>
          </cell>
          <cell r="C382" t="str">
            <v>19.0 )</v>
          </cell>
          <cell r="D382" t="str">
            <v>1.19.0 )</v>
          </cell>
          <cell r="E382" t="str">
            <v>2.19.0 )</v>
          </cell>
          <cell r="F382" t="str">
            <v>3.19.0 )</v>
          </cell>
        </row>
        <row r="383">
          <cell r="B383" t="str">
            <v>380.0 )</v>
          </cell>
          <cell r="C383" t="str">
            <v>19.1 )</v>
          </cell>
          <cell r="D383" t="str">
            <v>1.19.1 )</v>
          </cell>
          <cell r="E383" t="str">
            <v>2.19.1 )</v>
          </cell>
          <cell r="F383" t="str">
            <v>3.19.1 )</v>
          </cell>
        </row>
        <row r="384">
          <cell r="B384" t="str">
            <v>381.0 )</v>
          </cell>
          <cell r="C384" t="str">
            <v>19.2 )</v>
          </cell>
          <cell r="D384" t="str">
            <v>1.19.2 )</v>
          </cell>
          <cell r="E384" t="str">
            <v>2.19.2 )</v>
          </cell>
          <cell r="F384" t="str">
            <v>3.19.2 )</v>
          </cell>
        </row>
        <row r="385">
          <cell r="B385" t="str">
            <v>382.0 )</v>
          </cell>
          <cell r="C385" t="str">
            <v>19.3 )</v>
          </cell>
          <cell r="D385" t="str">
            <v>1.19.3 )</v>
          </cell>
          <cell r="E385" t="str">
            <v>2.19.3 )</v>
          </cell>
          <cell r="F385" t="str">
            <v>3.19.3 )</v>
          </cell>
        </row>
        <row r="386">
          <cell r="B386" t="str">
            <v>383.0 )</v>
          </cell>
          <cell r="C386" t="str">
            <v>19.4 )</v>
          </cell>
          <cell r="D386" t="str">
            <v>1.19.4 )</v>
          </cell>
          <cell r="E386" t="str">
            <v>2.19.4 )</v>
          </cell>
          <cell r="F386" t="str">
            <v>3.19.4 )</v>
          </cell>
        </row>
        <row r="387">
          <cell r="B387" t="str">
            <v>384.0 )</v>
          </cell>
          <cell r="C387" t="str">
            <v>19.5 )</v>
          </cell>
          <cell r="D387" t="str">
            <v>1.19.5 )</v>
          </cell>
          <cell r="E387" t="str">
            <v>2.19.5 )</v>
          </cell>
          <cell r="F387" t="str">
            <v>3.19.5 )</v>
          </cell>
        </row>
        <row r="388">
          <cell r="B388" t="str">
            <v>385.0 )</v>
          </cell>
          <cell r="C388" t="str">
            <v>19.6 )</v>
          </cell>
          <cell r="D388" t="str">
            <v>1.19.6 )</v>
          </cell>
          <cell r="E388" t="str">
            <v>2.19.6 )</v>
          </cell>
          <cell r="F388" t="str">
            <v>3.19.6 )</v>
          </cell>
        </row>
        <row r="389">
          <cell r="B389" t="str">
            <v>386.0 )</v>
          </cell>
          <cell r="C389" t="str">
            <v>19.7 )</v>
          </cell>
          <cell r="D389" t="str">
            <v>1.19.7 )</v>
          </cell>
          <cell r="E389" t="str">
            <v>2.19.7 )</v>
          </cell>
          <cell r="F389" t="str">
            <v>3.19.7 )</v>
          </cell>
        </row>
        <row r="390">
          <cell r="B390" t="str">
            <v>387.0 )</v>
          </cell>
          <cell r="C390" t="str">
            <v>19.8 )</v>
          </cell>
          <cell r="D390" t="str">
            <v>1.19.8 )</v>
          </cell>
          <cell r="E390" t="str">
            <v>2.19.8 )</v>
          </cell>
          <cell r="F390" t="str">
            <v>3.19.8 )</v>
          </cell>
        </row>
        <row r="391">
          <cell r="B391" t="str">
            <v>388.0 )</v>
          </cell>
          <cell r="C391" t="str">
            <v>19.9 )</v>
          </cell>
          <cell r="D391" t="str">
            <v>1.19.9 )</v>
          </cell>
          <cell r="E391" t="str">
            <v>2.19.9 )</v>
          </cell>
          <cell r="F391" t="str">
            <v>3.19.9 )</v>
          </cell>
        </row>
        <row r="392">
          <cell r="B392" t="str">
            <v>389.0 )</v>
          </cell>
          <cell r="C392" t="str">
            <v>19.10 )</v>
          </cell>
          <cell r="D392" t="str">
            <v>1.19.10 )</v>
          </cell>
          <cell r="E392" t="str">
            <v>2.19.10 )</v>
          </cell>
          <cell r="F392" t="str">
            <v>3.19.10 )</v>
          </cell>
        </row>
        <row r="393">
          <cell r="B393" t="str">
            <v>390.0 )</v>
          </cell>
          <cell r="C393" t="str">
            <v>19.11 )</v>
          </cell>
          <cell r="D393" t="str">
            <v>1.19.11 )</v>
          </cell>
          <cell r="E393" t="str">
            <v>2.19.11 )</v>
          </cell>
          <cell r="F393" t="str">
            <v>3.19.11 )</v>
          </cell>
        </row>
        <row r="394">
          <cell r="B394" t="str">
            <v>391.0 )</v>
          </cell>
          <cell r="C394" t="str">
            <v>19.12 )</v>
          </cell>
          <cell r="D394" t="str">
            <v>1.19.12 )</v>
          </cell>
          <cell r="E394" t="str">
            <v>2.19.12 )</v>
          </cell>
          <cell r="F394" t="str">
            <v>3.19.12 )</v>
          </cell>
        </row>
        <row r="395">
          <cell r="B395" t="str">
            <v>392.0 )</v>
          </cell>
          <cell r="C395" t="str">
            <v>19.13 )</v>
          </cell>
          <cell r="D395" t="str">
            <v>1.19.13 )</v>
          </cell>
          <cell r="E395" t="str">
            <v>2.19.13 )</v>
          </cell>
          <cell r="F395" t="str">
            <v>3.19.13 )</v>
          </cell>
        </row>
        <row r="396">
          <cell r="B396" t="str">
            <v>393.0 )</v>
          </cell>
          <cell r="C396" t="str">
            <v>19.14 )</v>
          </cell>
          <cell r="D396" t="str">
            <v>1.19.14 )</v>
          </cell>
          <cell r="E396" t="str">
            <v>2.19.14 )</v>
          </cell>
          <cell r="F396" t="str">
            <v>3.19.14 )</v>
          </cell>
        </row>
        <row r="397">
          <cell r="B397" t="str">
            <v>394.0 )</v>
          </cell>
          <cell r="C397" t="str">
            <v>19.15 )</v>
          </cell>
          <cell r="D397" t="str">
            <v>1.19.15 )</v>
          </cell>
          <cell r="E397" t="str">
            <v>2.19.15 )</v>
          </cell>
          <cell r="F397" t="str">
            <v>3.19.15 )</v>
          </cell>
        </row>
        <row r="398">
          <cell r="B398" t="str">
            <v>395.0 )</v>
          </cell>
          <cell r="C398" t="str">
            <v>19.16 )</v>
          </cell>
          <cell r="D398" t="str">
            <v>1.19.16 )</v>
          </cell>
          <cell r="E398" t="str">
            <v>2.19.16 )</v>
          </cell>
          <cell r="F398" t="str">
            <v>3.19.16 )</v>
          </cell>
        </row>
        <row r="399">
          <cell r="B399" t="str">
            <v>396.0 )</v>
          </cell>
          <cell r="C399" t="str">
            <v>19.17 )</v>
          </cell>
          <cell r="D399" t="str">
            <v>1.19.17 )</v>
          </cell>
          <cell r="E399" t="str">
            <v>2.19.17 )</v>
          </cell>
          <cell r="F399" t="str">
            <v>3.19.17 )</v>
          </cell>
        </row>
        <row r="400">
          <cell r="B400" t="str">
            <v>397.0 )</v>
          </cell>
          <cell r="C400" t="str">
            <v>19.18 )</v>
          </cell>
          <cell r="D400" t="str">
            <v>1.19.18 )</v>
          </cell>
          <cell r="E400" t="str">
            <v>2.19.18 )</v>
          </cell>
          <cell r="F400" t="str">
            <v>3.19.18 )</v>
          </cell>
        </row>
        <row r="401">
          <cell r="B401" t="str">
            <v>398.0 )</v>
          </cell>
          <cell r="C401" t="str">
            <v>19.19 )</v>
          </cell>
          <cell r="D401" t="str">
            <v>1.19.19 )</v>
          </cell>
          <cell r="E401" t="str">
            <v>2.19.19 )</v>
          </cell>
          <cell r="F401" t="str">
            <v>3.19.19 )</v>
          </cell>
        </row>
        <row r="402">
          <cell r="B402" t="str">
            <v>399.0 )</v>
          </cell>
          <cell r="C402" t="str">
            <v>19.20 )</v>
          </cell>
          <cell r="D402" t="str">
            <v>1.19.20 )</v>
          </cell>
          <cell r="E402" t="str">
            <v>2.19.20 )</v>
          </cell>
          <cell r="F402" t="str">
            <v>3.19.20 )</v>
          </cell>
        </row>
        <row r="403">
          <cell r="B403" t="str">
            <v>400.0 )</v>
          </cell>
          <cell r="C403" t="str">
            <v>20.0 )</v>
          </cell>
          <cell r="D403" t="str">
            <v>1.20.0 )</v>
          </cell>
          <cell r="E403" t="str">
            <v>2.20.0 )</v>
          </cell>
          <cell r="F403" t="str">
            <v>3.20.0 )</v>
          </cell>
        </row>
        <row r="404">
          <cell r="B404" t="str">
            <v>401.0 )</v>
          </cell>
          <cell r="C404" t="str">
            <v>20.1 )</v>
          </cell>
          <cell r="D404" t="str">
            <v>1.20.1 )</v>
          </cell>
          <cell r="E404" t="str">
            <v>2.20.1 )</v>
          </cell>
          <cell r="F404" t="str">
            <v>3.20.1 )</v>
          </cell>
        </row>
        <row r="405">
          <cell r="B405" t="str">
            <v>402.0 )</v>
          </cell>
          <cell r="C405" t="str">
            <v>20.2 )</v>
          </cell>
          <cell r="D405" t="str">
            <v>1.20.2 )</v>
          </cell>
          <cell r="E405" t="str">
            <v>2.20.2 )</v>
          </cell>
          <cell r="F405" t="str">
            <v>3.20.2 )</v>
          </cell>
        </row>
        <row r="406">
          <cell r="B406" t="str">
            <v>403.0 )</v>
          </cell>
          <cell r="C406" t="str">
            <v>20.3 )</v>
          </cell>
          <cell r="D406" t="str">
            <v>1.20.3 )</v>
          </cell>
          <cell r="E406" t="str">
            <v>2.20.3 )</v>
          </cell>
          <cell r="F406" t="str">
            <v>3.20.3 )</v>
          </cell>
        </row>
        <row r="407">
          <cell r="B407" t="str">
            <v>404.0 )</v>
          </cell>
          <cell r="C407" t="str">
            <v>20.4 )</v>
          </cell>
          <cell r="D407" t="str">
            <v>1.20.4 )</v>
          </cell>
          <cell r="E407" t="str">
            <v>2.20.4 )</v>
          </cell>
          <cell r="F407" t="str">
            <v>3.20.4 )</v>
          </cell>
        </row>
        <row r="408">
          <cell r="B408" t="str">
            <v>405.0 )</v>
          </cell>
          <cell r="C408" t="str">
            <v>20.5 )</v>
          </cell>
          <cell r="D408" t="str">
            <v>1.20.5 )</v>
          </cell>
          <cell r="E408" t="str">
            <v>2.20.5 )</v>
          </cell>
          <cell r="F408" t="str">
            <v>3.20.5 )</v>
          </cell>
        </row>
        <row r="409">
          <cell r="B409" t="str">
            <v>406.0 )</v>
          </cell>
          <cell r="C409" t="str">
            <v>20.6 )</v>
          </cell>
          <cell r="D409" t="str">
            <v>1.20.6 )</v>
          </cell>
          <cell r="E409" t="str">
            <v>2.20.6 )</v>
          </cell>
          <cell r="F409" t="str">
            <v>3.20.6 )</v>
          </cell>
        </row>
        <row r="410">
          <cell r="B410" t="str">
            <v>407.0 )</v>
          </cell>
          <cell r="C410" t="str">
            <v>20.7 )</v>
          </cell>
          <cell r="D410" t="str">
            <v>1.20.7 )</v>
          </cell>
          <cell r="E410" t="str">
            <v>2.20.7 )</v>
          </cell>
          <cell r="F410" t="str">
            <v>3.20.7 )</v>
          </cell>
        </row>
        <row r="411">
          <cell r="B411" t="str">
            <v>408.0 )</v>
          </cell>
          <cell r="C411" t="str">
            <v>20.8 )</v>
          </cell>
          <cell r="D411" t="str">
            <v>1.20.8 )</v>
          </cell>
          <cell r="E411" t="str">
            <v>2.20.8 )</v>
          </cell>
          <cell r="F411" t="str">
            <v>3.20.8 )</v>
          </cell>
        </row>
        <row r="412">
          <cell r="B412" t="str">
            <v>409.0 )</v>
          </cell>
          <cell r="C412" t="str">
            <v>20.9 )</v>
          </cell>
          <cell r="D412" t="str">
            <v>1.20.9 )</v>
          </cell>
          <cell r="E412" t="str">
            <v>2.20.9 )</v>
          </cell>
          <cell r="F412" t="str">
            <v>3.20.9 )</v>
          </cell>
        </row>
        <row r="413">
          <cell r="B413" t="str">
            <v>410.0 )</v>
          </cell>
          <cell r="C413" t="str">
            <v>20.10 )</v>
          </cell>
          <cell r="D413" t="str">
            <v>1.20.10 )</v>
          </cell>
          <cell r="E413" t="str">
            <v>2.20.10 )</v>
          </cell>
          <cell r="F413" t="str">
            <v>3.20.10 )</v>
          </cell>
        </row>
        <row r="414">
          <cell r="B414" t="str">
            <v>411.0 )</v>
          </cell>
          <cell r="C414" t="str">
            <v>20.11 )</v>
          </cell>
          <cell r="D414" t="str">
            <v>1.20.11 )</v>
          </cell>
          <cell r="E414" t="str">
            <v>2.20.11 )</v>
          </cell>
          <cell r="F414" t="str">
            <v>3.20.11 )</v>
          </cell>
        </row>
        <row r="415">
          <cell r="B415" t="str">
            <v>412.0 )</v>
          </cell>
          <cell r="C415" t="str">
            <v>20.12 )</v>
          </cell>
          <cell r="D415" t="str">
            <v>1.20.12 )</v>
          </cell>
          <cell r="E415" t="str">
            <v>2.20.12 )</v>
          </cell>
          <cell r="F415" t="str">
            <v>3.20.12 )</v>
          </cell>
        </row>
        <row r="416">
          <cell r="B416" t="str">
            <v>413.0 )</v>
          </cell>
          <cell r="C416" t="str">
            <v>20.13 )</v>
          </cell>
          <cell r="D416" t="str">
            <v>1.20.13 )</v>
          </cell>
          <cell r="E416" t="str">
            <v>2.20.13 )</v>
          </cell>
          <cell r="F416" t="str">
            <v>3.20.13 )</v>
          </cell>
        </row>
        <row r="417">
          <cell r="B417" t="str">
            <v>414.0 )</v>
          </cell>
          <cell r="C417" t="str">
            <v>20.14 )</v>
          </cell>
          <cell r="D417" t="str">
            <v>1.20.14 )</v>
          </cell>
          <cell r="E417" t="str">
            <v>2.20.14 )</v>
          </cell>
          <cell r="F417" t="str">
            <v>3.20.14 )</v>
          </cell>
        </row>
        <row r="418">
          <cell r="B418" t="str">
            <v>415.0 )</v>
          </cell>
          <cell r="C418" t="str">
            <v>20.15 )</v>
          </cell>
          <cell r="D418" t="str">
            <v>1.20.15 )</v>
          </cell>
          <cell r="E418" t="str">
            <v>2.20.15 )</v>
          </cell>
          <cell r="F418" t="str">
            <v>3.20.15 )</v>
          </cell>
        </row>
        <row r="419">
          <cell r="B419" t="str">
            <v>416.0 )</v>
          </cell>
          <cell r="C419" t="str">
            <v>20.16 )</v>
          </cell>
          <cell r="D419" t="str">
            <v>1.20.16 )</v>
          </cell>
          <cell r="E419" t="str">
            <v>2.20.16 )</v>
          </cell>
          <cell r="F419" t="str">
            <v>3.20.16 )</v>
          </cell>
        </row>
        <row r="420">
          <cell r="B420" t="str">
            <v>417.0 )</v>
          </cell>
          <cell r="C420" t="str">
            <v>20.17 )</v>
          </cell>
          <cell r="D420" t="str">
            <v>1.20.17 )</v>
          </cell>
          <cell r="E420" t="str">
            <v>2.20.17 )</v>
          </cell>
          <cell r="F420" t="str">
            <v>3.20.17 )</v>
          </cell>
        </row>
        <row r="421">
          <cell r="B421" t="str">
            <v>418.0 )</v>
          </cell>
          <cell r="C421" t="str">
            <v>20.18 )</v>
          </cell>
          <cell r="D421" t="str">
            <v>1.20.18 )</v>
          </cell>
          <cell r="E421" t="str">
            <v>2.20.18 )</v>
          </cell>
          <cell r="F421" t="str">
            <v>3.20.18 )</v>
          </cell>
        </row>
        <row r="422">
          <cell r="B422" t="str">
            <v>419.0 )</v>
          </cell>
          <cell r="C422" t="str">
            <v>20.19 )</v>
          </cell>
          <cell r="D422" t="str">
            <v>1.20.19 )</v>
          </cell>
          <cell r="E422" t="str">
            <v>2.20.19 )</v>
          </cell>
          <cell r="F422" t="str">
            <v>3.20.19 )</v>
          </cell>
        </row>
        <row r="423">
          <cell r="B423" t="str">
            <v>420.0 )</v>
          </cell>
          <cell r="C423" t="str">
            <v>20.20 )</v>
          </cell>
          <cell r="D423" t="str">
            <v>1.20.20 )</v>
          </cell>
          <cell r="E423" t="str">
            <v>2.20.20 )</v>
          </cell>
          <cell r="F423" t="str">
            <v>3.20.20 )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Center"/>
      <sheetName val="Project List"/>
      <sheetName val="Extracted Information"/>
      <sheetName val="Data"/>
      <sheetName val="Numbers"/>
      <sheetName val="Materials"/>
      <sheetName val="Manpower"/>
      <sheetName val="Transport"/>
      <sheetName val="Equipment"/>
      <sheetName val="Scope of Works"/>
      <sheetName val="Others"/>
      <sheetName val="Intake Box Type (Expansion) (2)"/>
    </sheetNames>
    <sheetDataSet>
      <sheetData sheetId="0" refreshError="1"/>
      <sheetData sheetId="1" refreshError="1"/>
      <sheetData sheetId="2" refreshError="1"/>
      <sheetData sheetId="3" refreshError="1">
        <row r="10">
          <cell r="B10" t="str">
            <v>1.0 )</v>
          </cell>
        </row>
        <row r="11">
          <cell r="B11" t="str">
            <v>1.1 )</v>
          </cell>
        </row>
        <row r="12">
          <cell r="B12" t="str">
            <v>1.2 )</v>
          </cell>
        </row>
        <row r="13">
          <cell r="B13" t="str">
            <v>1.3 )</v>
          </cell>
        </row>
        <row r="14">
          <cell r="B14" t="str">
            <v>1.4 )</v>
          </cell>
        </row>
        <row r="15">
          <cell r="B15" t="str">
            <v>1.5 )</v>
          </cell>
        </row>
        <row r="16">
          <cell r="B16" t="str">
            <v>1.6 )</v>
          </cell>
        </row>
        <row r="17">
          <cell r="B17" t="str">
            <v>1.7 )</v>
          </cell>
        </row>
        <row r="18">
          <cell r="B18" t="str">
            <v>1.8 )</v>
          </cell>
        </row>
        <row r="19">
          <cell r="B19" t="str">
            <v>1.9 )</v>
          </cell>
        </row>
        <row r="20">
          <cell r="B20" t="str">
            <v>1.10 )</v>
          </cell>
        </row>
        <row r="21">
          <cell r="B21" t="str">
            <v>1.11 )</v>
          </cell>
        </row>
        <row r="22">
          <cell r="B22" t="str">
            <v>1.12 )</v>
          </cell>
        </row>
        <row r="23">
          <cell r="B23" t="str">
            <v>1.13 )</v>
          </cell>
        </row>
        <row r="24">
          <cell r="B24" t="str">
            <v>1.14 )</v>
          </cell>
        </row>
        <row r="25">
          <cell r="B25" t="str">
            <v>1.15 )</v>
          </cell>
        </row>
        <row r="26">
          <cell r="B26" t="str">
            <v>1.16 )</v>
          </cell>
        </row>
        <row r="27">
          <cell r="B27" t="str">
            <v>1.17 )</v>
          </cell>
        </row>
        <row r="28">
          <cell r="B28" t="str">
            <v>1.18 )</v>
          </cell>
        </row>
        <row r="29">
          <cell r="B29" t="str">
            <v>1.19 )</v>
          </cell>
        </row>
        <row r="30">
          <cell r="B30" t="str">
            <v>1.20 )</v>
          </cell>
        </row>
        <row r="31">
          <cell r="B31" t="str">
            <v>2.0 )</v>
          </cell>
        </row>
        <row r="32">
          <cell r="B32" t="str">
            <v>2.1 )</v>
          </cell>
        </row>
        <row r="33">
          <cell r="B33" t="str">
            <v>2.2 )</v>
          </cell>
        </row>
        <row r="34">
          <cell r="B34" t="str">
            <v>2.3 )</v>
          </cell>
        </row>
        <row r="35">
          <cell r="B35" t="str">
            <v>2.4 )</v>
          </cell>
        </row>
        <row r="36">
          <cell r="B36" t="str">
            <v>2.5 )</v>
          </cell>
        </row>
        <row r="37">
          <cell r="B37" t="str">
            <v>2.6 )</v>
          </cell>
        </row>
        <row r="38">
          <cell r="B38" t="str">
            <v>2.7 )</v>
          </cell>
        </row>
        <row r="39">
          <cell r="B39" t="str">
            <v>2.8 )</v>
          </cell>
        </row>
        <row r="40">
          <cell r="B40" t="str">
            <v>2.9  )</v>
          </cell>
        </row>
        <row r="41">
          <cell r="B41" t="str">
            <v>2.10 )</v>
          </cell>
        </row>
        <row r="42">
          <cell r="B42" t="str">
            <v>2.11 )</v>
          </cell>
        </row>
        <row r="43">
          <cell r="B43" t="str">
            <v>2.12 )</v>
          </cell>
        </row>
        <row r="44">
          <cell r="B44" t="str">
            <v>2.13 )</v>
          </cell>
        </row>
        <row r="45">
          <cell r="B45" t="str">
            <v>2.14 )</v>
          </cell>
        </row>
        <row r="46">
          <cell r="B46" t="str">
            <v>2.15 )</v>
          </cell>
        </row>
        <row r="47">
          <cell r="B47" t="str">
            <v>2.16 )</v>
          </cell>
        </row>
        <row r="48">
          <cell r="B48" t="str">
            <v>2.17 )</v>
          </cell>
        </row>
        <row r="49">
          <cell r="B49" t="str">
            <v>2.18 )</v>
          </cell>
        </row>
        <row r="50">
          <cell r="B50" t="str">
            <v>2.19 )</v>
          </cell>
        </row>
        <row r="51">
          <cell r="B51" t="str">
            <v>2.20 )</v>
          </cell>
        </row>
        <row r="52">
          <cell r="B52" t="str">
            <v>3.0 )</v>
          </cell>
        </row>
        <row r="53">
          <cell r="B53" t="str">
            <v>3.1 )</v>
          </cell>
        </row>
        <row r="54">
          <cell r="B54" t="str">
            <v>3.2 )</v>
          </cell>
        </row>
        <row r="55">
          <cell r="B55" t="str">
            <v>3.3 )</v>
          </cell>
        </row>
        <row r="56">
          <cell r="B56" t="str">
            <v>3.4 )</v>
          </cell>
        </row>
        <row r="57">
          <cell r="B57" t="str">
            <v>3.5 )</v>
          </cell>
        </row>
        <row r="58">
          <cell r="B58" t="str">
            <v>3.6 )</v>
          </cell>
        </row>
        <row r="59">
          <cell r="B59" t="str">
            <v>3.7 )</v>
          </cell>
        </row>
        <row r="60">
          <cell r="B60" t="str">
            <v>3.8 )</v>
          </cell>
        </row>
        <row r="61">
          <cell r="B61" t="str">
            <v>3.9 )</v>
          </cell>
        </row>
        <row r="62">
          <cell r="B62" t="str">
            <v>3.10 )</v>
          </cell>
        </row>
        <row r="63">
          <cell r="B63" t="str">
            <v>3.11 )</v>
          </cell>
        </row>
        <row r="64">
          <cell r="B64" t="str">
            <v>3.12 )</v>
          </cell>
        </row>
        <row r="65">
          <cell r="B65" t="str">
            <v>3.13 )</v>
          </cell>
        </row>
        <row r="66">
          <cell r="B66" t="str">
            <v>3.14 )</v>
          </cell>
        </row>
        <row r="67">
          <cell r="B67" t="str">
            <v>3.15 )</v>
          </cell>
        </row>
        <row r="68">
          <cell r="B68" t="str">
            <v>3.16 )</v>
          </cell>
        </row>
        <row r="69">
          <cell r="B69" t="str">
            <v>3.17 )</v>
          </cell>
        </row>
        <row r="70">
          <cell r="B70" t="str">
            <v>3.18 )</v>
          </cell>
        </row>
        <row r="71">
          <cell r="B71" t="str">
            <v>3.19 )</v>
          </cell>
        </row>
        <row r="72">
          <cell r="B72" t="str">
            <v>3.20 )</v>
          </cell>
        </row>
        <row r="73">
          <cell r="B73" t="str">
            <v>4.0 )</v>
          </cell>
        </row>
        <row r="74">
          <cell r="B74" t="str">
            <v>4.1 )</v>
          </cell>
        </row>
        <row r="75">
          <cell r="B75" t="str">
            <v>4.2 )</v>
          </cell>
        </row>
        <row r="76">
          <cell r="B76" t="str">
            <v>4.3 )</v>
          </cell>
        </row>
        <row r="77">
          <cell r="B77" t="str">
            <v>4.4 )</v>
          </cell>
        </row>
        <row r="78">
          <cell r="B78" t="str">
            <v>4.5 )</v>
          </cell>
        </row>
        <row r="79">
          <cell r="B79" t="str">
            <v>4.6 )</v>
          </cell>
        </row>
        <row r="80">
          <cell r="B80" t="str">
            <v>4.7 )</v>
          </cell>
        </row>
        <row r="81">
          <cell r="B81" t="str">
            <v>4.8 )</v>
          </cell>
        </row>
        <row r="82">
          <cell r="B82" t="str">
            <v>4.9 )</v>
          </cell>
        </row>
        <row r="83">
          <cell r="B83" t="str">
            <v>4.10 )</v>
          </cell>
        </row>
        <row r="84">
          <cell r="B84" t="str">
            <v>4.11 )</v>
          </cell>
        </row>
        <row r="85">
          <cell r="B85" t="str">
            <v>4.12 )</v>
          </cell>
        </row>
        <row r="86">
          <cell r="B86" t="str">
            <v>4.13 )</v>
          </cell>
        </row>
        <row r="87">
          <cell r="B87" t="str">
            <v>4.14 )</v>
          </cell>
        </row>
        <row r="88">
          <cell r="B88" t="str">
            <v>4.15 )</v>
          </cell>
        </row>
        <row r="89">
          <cell r="B89" t="str">
            <v>4.16 )</v>
          </cell>
        </row>
        <row r="90">
          <cell r="B90" t="str">
            <v>4.17 )</v>
          </cell>
        </row>
        <row r="91">
          <cell r="B91" t="str">
            <v>4.18 )</v>
          </cell>
        </row>
        <row r="92">
          <cell r="B92" t="str">
            <v>4.19 )</v>
          </cell>
        </row>
        <row r="93">
          <cell r="B93" t="str">
            <v>4.20 )</v>
          </cell>
        </row>
        <row r="94">
          <cell r="B94" t="str">
            <v>5.0 )</v>
          </cell>
        </row>
        <row r="95">
          <cell r="B95" t="str">
            <v>5.1 )</v>
          </cell>
        </row>
        <row r="96">
          <cell r="B96" t="str">
            <v>5.2 )</v>
          </cell>
        </row>
        <row r="97">
          <cell r="B97" t="str">
            <v>5.3 )</v>
          </cell>
        </row>
        <row r="98">
          <cell r="B98" t="str">
            <v>5.4 )</v>
          </cell>
        </row>
        <row r="99">
          <cell r="B99" t="str">
            <v>5.5 )</v>
          </cell>
        </row>
        <row r="100">
          <cell r="B100" t="str">
            <v>5.6 )</v>
          </cell>
        </row>
        <row r="101">
          <cell r="B101" t="str">
            <v>5.7 )</v>
          </cell>
        </row>
        <row r="102">
          <cell r="B102" t="str">
            <v>5.8 )</v>
          </cell>
        </row>
        <row r="103">
          <cell r="B103" t="str">
            <v>5.9 )</v>
          </cell>
        </row>
        <row r="104">
          <cell r="B104" t="str">
            <v>5.10 )</v>
          </cell>
        </row>
        <row r="105">
          <cell r="B105" t="str">
            <v>5.11 )</v>
          </cell>
        </row>
        <row r="106">
          <cell r="B106" t="str">
            <v>5.12 )</v>
          </cell>
        </row>
        <row r="107">
          <cell r="B107" t="str">
            <v>5.13 )</v>
          </cell>
        </row>
        <row r="108">
          <cell r="B108" t="str">
            <v>5.14 )</v>
          </cell>
        </row>
        <row r="109">
          <cell r="B109" t="str">
            <v>5.15 )</v>
          </cell>
        </row>
        <row r="110">
          <cell r="B110" t="str">
            <v>5.16 )</v>
          </cell>
        </row>
        <row r="111">
          <cell r="B111" t="str">
            <v>5.17 )</v>
          </cell>
        </row>
        <row r="112">
          <cell r="B112" t="str">
            <v>5.18 )</v>
          </cell>
        </row>
        <row r="113">
          <cell r="B113" t="str">
            <v>5.19 )</v>
          </cell>
        </row>
        <row r="114">
          <cell r="B114" t="str">
            <v>5.20 )</v>
          </cell>
        </row>
        <row r="115">
          <cell r="B115" t="str">
            <v>6.0 )</v>
          </cell>
        </row>
        <row r="116">
          <cell r="B116" t="str">
            <v>6.1 )</v>
          </cell>
        </row>
        <row r="117">
          <cell r="B117" t="str">
            <v>6.2 )</v>
          </cell>
        </row>
        <row r="118">
          <cell r="B118" t="str">
            <v>6.3 )</v>
          </cell>
        </row>
        <row r="119">
          <cell r="B119" t="str">
            <v>6.4 )</v>
          </cell>
        </row>
        <row r="120">
          <cell r="B120" t="str">
            <v>6.5 )</v>
          </cell>
        </row>
        <row r="121">
          <cell r="B121" t="str">
            <v>6.6 )</v>
          </cell>
        </row>
        <row r="122">
          <cell r="B122" t="str">
            <v>6.7 )</v>
          </cell>
        </row>
        <row r="123">
          <cell r="B123" t="str">
            <v>6.8 )</v>
          </cell>
        </row>
        <row r="124">
          <cell r="B124" t="str">
            <v>6.9 )</v>
          </cell>
        </row>
        <row r="125">
          <cell r="B125" t="str">
            <v>6.10 )</v>
          </cell>
        </row>
        <row r="126">
          <cell r="B126" t="str">
            <v>6.11 )</v>
          </cell>
        </row>
        <row r="127">
          <cell r="B127" t="str">
            <v>6.12 )</v>
          </cell>
        </row>
        <row r="128">
          <cell r="B128" t="str">
            <v>6.13 )</v>
          </cell>
        </row>
        <row r="129">
          <cell r="B129" t="str">
            <v>6.14 )</v>
          </cell>
        </row>
        <row r="130">
          <cell r="B130" t="str">
            <v>6.15 )</v>
          </cell>
        </row>
        <row r="131">
          <cell r="B131" t="str">
            <v>6.16 )</v>
          </cell>
        </row>
        <row r="132">
          <cell r="B132" t="str">
            <v>6.17 )</v>
          </cell>
        </row>
        <row r="133">
          <cell r="B133" t="str">
            <v>6.18 )</v>
          </cell>
        </row>
        <row r="134">
          <cell r="B134" t="str">
            <v>6.19 )</v>
          </cell>
        </row>
        <row r="135">
          <cell r="B135" t="str">
            <v>6.20 )</v>
          </cell>
        </row>
        <row r="136">
          <cell r="B136" t="str">
            <v>7.0 )</v>
          </cell>
        </row>
        <row r="137">
          <cell r="B137" t="str">
            <v>7.1 )</v>
          </cell>
        </row>
        <row r="138">
          <cell r="B138" t="str">
            <v>7.2 )</v>
          </cell>
        </row>
        <row r="139">
          <cell r="B139" t="str">
            <v>7.3 )</v>
          </cell>
        </row>
        <row r="140">
          <cell r="B140" t="str">
            <v>7.4 )</v>
          </cell>
        </row>
        <row r="141">
          <cell r="B141" t="str">
            <v>7.5 )</v>
          </cell>
        </row>
        <row r="142">
          <cell r="B142" t="str">
            <v>7.6 )</v>
          </cell>
        </row>
        <row r="143">
          <cell r="B143" t="str">
            <v>7.7 )</v>
          </cell>
        </row>
        <row r="144">
          <cell r="B144" t="str">
            <v>7.8 )</v>
          </cell>
        </row>
        <row r="145">
          <cell r="B145" t="str">
            <v>7.9 )</v>
          </cell>
        </row>
        <row r="146">
          <cell r="B146" t="str">
            <v>7.10 )</v>
          </cell>
        </row>
        <row r="147">
          <cell r="B147" t="str">
            <v>7.11 )</v>
          </cell>
        </row>
        <row r="148">
          <cell r="B148" t="str">
            <v>7.12 )</v>
          </cell>
        </row>
        <row r="149">
          <cell r="B149" t="str">
            <v>7.13 )</v>
          </cell>
        </row>
        <row r="150">
          <cell r="B150" t="str">
            <v>7.14 )</v>
          </cell>
        </row>
        <row r="151">
          <cell r="B151" t="str">
            <v>7.15 )</v>
          </cell>
        </row>
        <row r="152">
          <cell r="B152" t="str">
            <v>7.16 )</v>
          </cell>
        </row>
        <row r="153">
          <cell r="B153" t="str">
            <v>7.17 )</v>
          </cell>
        </row>
        <row r="154">
          <cell r="B154" t="str">
            <v>7.18 )</v>
          </cell>
        </row>
        <row r="155">
          <cell r="B155" t="str">
            <v>7.19 )</v>
          </cell>
        </row>
        <row r="156">
          <cell r="B156" t="str">
            <v>7.20 )</v>
          </cell>
        </row>
        <row r="157">
          <cell r="B157" t="str">
            <v>8.0 )</v>
          </cell>
        </row>
        <row r="158">
          <cell r="B158" t="str">
            <v>8.1 )</v>
          </cell>
        </row>
        <row r="159">
          <cell r="B159" t="str">
            <v>8.2 )</v>
          </cell>
        </row>
        <row r="160">
          <cell r="B160" t="str">
            <v>8.3 )</v>
          </cell>
        </row>
        <row r="161">
          <cell r="B161" t="str">
            <v>8.4 )</v>
          </cell>
        </row>
        <row r="162">
          <cell r="B162" t="str">
            <v>8.5 )</v>
          </cell>
        </row>
        <row r="163">
          <cell r="B163" t="str">
            <v>8.6 )</v>
          </cell>
        </row>
        <row r="164">
          <cell r="B164" t="str">
            <v>8.7 )</v>
          </cell>
        </row>
        <row r="165">
          <cell r="B165" t="str">
            <v>8.8 )</v>
          </cell>
        </row>
        <row r="166">
          <cell r="B166" t="str">
            <v>8.9 )</v>
          </cell>
        </row>
        <row r="167">
          <cell r="B167" t="str">
            <v>8.10 )</v>
          </cell>
        </row>
        <row r="168">
          <cell r="B168" t="str">
            <v>8.11 )</v>
          </cell>
        </row>
        <row r="169">
          <cell r="B169" t="str">
            <v>8.12 )</v>
          </cell>
        </row>
        <row r="170">
          <cell r="B170" t="str">
            <v>8.13 )</v>
          </cell>
        </row>
        <row r="171">
          <cell r="B171" t="str">
            <v>8.14 )</v>
          </cell>
        </row>
        <row r="172">
          <cell r="B172" t="str">
            <v>8.15 )</v>
          </cell>
        </row>
        <row r="173">
          <cell r="B173" t="str">
            <v>8.16 )</v>
          </cell>
        </row>
        <row r="174">
          <cell r="B174" t="str">
            <v>8.17 )</v>
          </cell>
        </row>
        <row r="175">
          <cell r="B175" t="str">
            <v>8.18 )</v>
          </cell>
        </row>
        <row r="176">
          <cell r="B176" t="str">
            <v>8.19 )</v>
          </cell>
        </row>
        <row r="177">
          <cell r="B177" t="str">
            <v>8.20 )</v>
          </cell>
        </row>
        <row r="178">
          <cell r="B178" t="str">
            <v>9.0 )</v>
          </cell>
        </row>
        <row r="179">
          <cell r="B179" t="str">
            <v>9.1 )</v>
          </cell>
        </row>
        <row r="180">
          <cell r="B180" t="str">
            <v>9.2 )</v>
          </cell>
        </row>
        <row r="181">
          <cell r="B181" t="str">
            <v>9.3 )</v>
          </cell>
        </row>
        <row r="182">
          <cell r="B182" t="str">
            <v>9.4 )</v>
          </cell>
        </row>
        <row r="183">
          <cell r="B183" t="str">
            <v>9.5 )</v>
          </cell>
        </row>
        <row r="184">
          <cell r="B184" t="str">
            <v>9.6 )</v>
          </cell>
        </row>
        <row r="185">
          <cell r="B185" t="str">
            <v>9.7 )</v>
          </cell>
        </row>
        <row r="186">
          <cell r="B186" t="str">
            <v>9.8 )</v>
          </cell>
        </row>
        <row r="187">
          <cell r="B187" t="str">
            <v>9.9 )</v>
          </cell>
        </row>
        <row r="188">
          <cell r="B188" t="str">
            <v>9.10 )</v>
          </cell>
        </row>
        <row r="189">
          <cell r="B189" t="str">
            <v>9.11 )</v>
          </cell>
        </row>
        <row r="190">
          <cell r="B190" t="str">
            <v>9.12 )</v>
          </cell>
        </row>
        <row r="191">
          <cell r="B191" t="str">
            <v>9.13 )</v>
          </cell>
        </row>
        <row r="192">
          <cell r="B192" t="str">
            <v>9.14 )</v>
          </cell>
        </row>
        <row r="193">
          <cell r="B193" t="str">
            <v>9.15 )</v>
          </cell>
        </row>
        <row r="194">
          <cell r="B194" t="str">
            <v>9.16 )</v>
          </cell>
        </row>
        <row r="195">
          <cell r="B195" t="str">
            <v>9.17 )</v>
          </cell>
        </row>
        <row r="196">
          <cell r="B196" t="str">
            <v>9.18 )</v>
          </cell>
        </row>
        <row r="197">
          <cell r="B197" t="str">
            <v>9.19 )</v>
          </cell>
        </row>
        <row r="198">
          <cell r="B198" t="str">
            <v>9.20 )</v>
          </cell>
        </row>
        <row r="199">
          <cell r="B199" t="str">
            <v>10.0 )</v>
          </cell>
        </row>
        <row r="200">
          <cell r="B200" t="str">
            <v>10.1 )</v>
          </cell>
        </row>
        <row r="201">
          <cell r="B201" t="str">
            <v>10.2 )</v>
          </cell>
        </row>
        <row r="202">
          <cell r="B202" t="str">
            <v>10.3 )</v>
          </cell>
        </row>
        <row r="203">
          <cell r="B203" t="str">
            <v>10.4 )</v>
          </cell>
        </row>
        <row r="204">
          <cell r="B204" t="str">
            <v>10.5 )</v>
          </cell>
        </row>
        <row r="205">
          <cell r="B205" t="str">
            <v>10.6 )</v>
          </cell>
        </row>
        <row r="206">
          <cell r="B206" t="str">
            <v>10.7 )</v>
          </cell>
        </row>
        <row r="207">
          <cell r="B207" t="str">
            <v>10.8 )</v>
          </cell>
        </row>
        <row r="208">
          <cell r="B208" t="str">
            <v>10.9 )</v>
          </cell>
        </row>
        <row r="209">
          <cell r="B209" t="str">
            <v>10.10 )</v>
          </cell>
        </row>
        <row r="210">
          <cell r="B210" t="str">
            <v>10.11 )</v>
          </cell>
        </row>
        <row r="211">
          <cell r="B211" t="str">
            <v>10.12 )</v>
          </cell>
        </row>
        <row r="212">
          <cell r="B212" t="str">
            <v>10.13 )</v>
          </cell>
        </row>
        <row r="213">
          <cell r="B213" t="str">
            <v>10.14 )</v>
          </cell>
        </row>
        <row r="214">
          <cell r="B214" t="str">
            <v>10.15 )</v>
          </cell>
        </row>
        <row r="215">
          <cell r="B215" t="str">
            <v>10.16 )</v>
          </cell>
        </row>
        <row r="216">
          <cell r="B216" t="str">
            <v>10.17 )</v>
          </cell>
        </row>
        <row r="217">
          <cell r="B217" t="str">
            <v>10.18 )</v>
          </cell>
        </row>
        <row r="218">
          <cell r="B218" t="str">
            <v>10.19 )</v>
          </cell>
        </row>
        <row r="219">
          <cell r="B219" t="str">
            <v>10.20 )</v>
          </cell>
        </row>
        <row r="220">
          <cell r="B220" t="str">
            <v>11.0 )</v>
          </cell>
        </row>
        <row r="221">
          <cell r="B221" t="str">
            <v>11.1 )</v>
          </cell>
        </row>
        <row r="222">
          <cell r="B222" t="str">
            <v>11.2 )</v>
          </cell>
        </row>
        <row r="223">
          <cell r="B223" t="str">
            <v>11.3 )</v>
          </cell>
        </row>
        <row r="224">
          <cell r="B224" t="str">
            <v>11.4 )</v>
          </cell>
        </row>
        <row r="225">
          <cell r="B225" t="str">
            <v>11.5 )</v>
          </cell>
        </row>
        <row r="226">
          <cell r="B226" t="str">
            <v>11.6 )</v>
          </cell>
        </row>
        <row r="227">
          <cell r="B227" t="str">
            <v>11.7 )</v>
          </cell>
        </row>
        <row r="228">
          <cell r="B228" t="str">
            <v>11.8 )</v>
          </cell>
        </row>
        <row r="229">
          <cell r="B229" t="str">
            <v>11.9 )</v>
          </cell>
        </row>
        <row r="230">
          <cell r="B230" t="str">
            <v>11.10 )</v>
          </cell>
        </row>
        <row r="231">
          <cell r="B231" t="str">
            <v>11.11 )</v>
          </cell>
        </row>
        <row r="232">
          <cell r="B232" t="str">
            <v>11.12 )</v>
          </cell>
        </row>
        <row r="233">
          <cell r="B233" t="str">
            <v>11.13 )</v>
          </cell>
        </row>
        <row r="234">
          <cell r="B234" t="str">
            <v>11.14 )</v>
          </cell>
        </row>
        <row r="235">
          <cell r="B235" t="str">
            <v>11.15 )</v>
          </cell>
        </row>
        <row r="236">
          <cell r="B236" t="str">
            <v>11.16 )</v>
          </cell>
        </row>
        <row r="237">
          <cell r="B237" t="str">
            <v>11.17 )</v>
          </cell>
        </row>
        <row r="238">
          <cell r="B238" t="str">
            <v>11.18 )</v>
          </cell>
        </row>
        <row r="239">
          <cell r="B239" t="str">
            <v>11.19 )</v>
          </cell>
        </row>
        <row r="240">
          <cell r="B240" t="str">
            <v>11.20 )</v>
          </cell>
        </row>
        <row r="241">
          <cell r="B241" t="str">
            <v>12.0 )</v>
          </cell>
        </row>
        <row r="242">
          <cell r="B242" t="str">
            <v>12.1 )</v>
          </cell>
        </row>
        <row r="243">
          <cell r="B243" t="str">
            <v>12.2 )</v>
          </cell>
        </row>
        <row r="244">
          <cell r="B244" t="str">
            <v>12.3 )</v>
          </cell>
        </row>
        <row r="245">
          <cell r="B245" t="str">
            <v>12.4 )</v>
          </cell>
        </row>
        <row r="246">
          <cell r="B246" t="str">
            <v>12.5 )</v>
          </cell>
        </row>
        <row r="247">
          <cell r="B247" t="str">
            <v>12.6 )</v>
          </cell>
        </row>
        <row r="248">
          <cell r="B248" t="str">
            <v>12.7 )</v>
          </cell>
        </row>
        <row r="249">
          <cell r="B249" t="str">
            <v>12.8 )</v>
          </cell>
        </row>
        <row r="250">
          <cell r="B250" t="str">
            <v>12.9 )</v>
          </cell>
        </row>
        <row r="251">
          <cell r="B251" t="str">
            <v>12.10 )</v>
          </cell>
        </row>
        <row r="252">
          <cell r="B252" t="str">
            <v>12.11 )</v>
          </cell>
        </row>
        <row r="253">
          <cell r="B253" t="str">
            <v>12.12 )</v>
          </cell>
        </row>
        <row r="254">
          <cell r="B254" t="str">
            <v>12.13 )</v>
          </cell>
        </row>
        <row r="255">
          <cell r="B255" t="str">
            <v>12.14 )</v>
          </cell>
        </row>
        <row r="256">
          <cell r="B256" t="str">
            <v>12.15 )</v>
          </cell>
        </row>
        <row r="257">
          <cell r="B257" t="str">
            <v>12.16 )</v>
          </cell>
        </row>
        <row r="258">
          <cell r="B258" t="str">
            <v>12.17 )</v>
          </cell>
        </row>
        <row r="259">
          <cell r="B259" t="str">
            <v>12.18 )</v>
          </cell>
        </row>
        <row r="260">
          <cell r="B260" t="str">
            <v>12.19 )</v>
          </cell>
        </row>
        <row r="261">
          <cell r="B261" t="str">
            <v>12.20 )</v>
          </cell>
        </row>
        <row r="262">
          <cell r="B262" t="str">
            <v>13.0 )</v>
          </cell>
        </row>
        <row r="263">
          <cell r="B263" t="str">
            <v>13.1 )</v>
          </cell>
        </row>
        <row r="264">
          <cell r="B264" t="str">
            <v>13.2 )</v>
          </cell>
        </row>
        <row r="265">
          <cell r="B265" t="str">
            <v>13.3 )</v>
          </cell>
        </row>
        <row r="266">
          <cell r="B266" t="str">
            <v>13.4 )</v>
          </cell>
        </row>
        <row r="267">
          <cell r="B267" t="str">
            <v>13.5 )</v>
          </cell>
        </row>
        <row r="268">
          <cell r="B268" t="str">
            <v>13.6 )</v>
          </cell>
        </row>
        <row r="269">
          <cell r="B269" t="str">
            <v>13.7 )</v>
          </cell>
        </row>
        <row r="270">
          <cell r="B270" t="str">
            <v>13.8 )</v>
          </cell>
        </row>
        <row r="271">
          <cell r="B271" t="str">
            <v>13.9 )</v>
          </cell>
        </row>
        <row r="272">
          <cell r="B272" t="str">
            <v>13.10 )</v>
          </cell>
        </row>
        <row r="273">
          <cell r="B273" t="str">
            <v>13.11 )</v>
          </cell>
        </row>
        <row r="274">
          <cell r="B274" t="str">
            <v>13.12 )</v>
          </cell>
        </row>
        <row r="275">
          <cell r="B275" t="str">
            <v>13.13 )</v>
          </cell>
        </row>
        <row r="276">
          <cell r="B276" t="str">
            <v>13.14 )</v>
          </cell>
        </row>
        <row r="277">
          <cell r="B277" t="str">
            <v>13.15 )</v>
          </cell>
        </row>
        <row r="278">
          <cell r="B278" t="str">
            <v>13.16 )</v>
          </cell>
        </row>
        <row r="279">
          <cell r="B279" t="str">
            <v>13.17 )</v>
          </cell>
        </row>
        <row r="280">
          <cell r="B280" t="str">
            <v>13.18 )</v>
          </cell>
        </row>
        <row r="281">
          <cell r="B281" t="str">
            <v>13.19 )</v>
          </cell>
        </row>
        <row r="282">
          <cell r="B282" t="str">
            <v>13.20 )</v>
          </cell>
        </row>
        <row r="283">
          <cell r="B283" t="str">
            <v>14.0 )</v>
          </cell>
        </row>
        <row r="284">
          <cell r="B284" t="str">
            <v>14.1 )</v>
          </cell>
        </row>
        <row r="285">
          <cell r="B285" t="str">
            <v>14.2 )</v>
          </cell>
        </row>
        <row r="286">
          <cell r="B286" t="str">
            <v>14.3 )</v>
          </cell>
        </row>
        <row r="287">
          <cell r="B287" t="str">
            <v>14.4 )</v>
          </cell>
        </row>
        <row r="288">
          <cell r="B288" t="str">
            <v>14.5 )</v>
          </cell>
        </row>
        <row r="289">
          <cell r="B289" t="str">
            <v>14.6 )</v>
          </cell>
        </row>
        <row r="290">
          <cell r="B290" t="str">
            <v>14.7 )</v>
          </cell>
        </row>
        <row r="291">
          <cell r="B291" t="str">
            <v>14.8 )</v>
          </cell>
        </row>
        <row r="292">
          <cell r="B292" t="str">
            <v>14.9 )</v>
          </cell>
        </row>
        <row r="293">
          <cell r="B293" t="str">
            <v>14.10 )</v>
          </cell>
        </row>
        <row r="294">
          <cell r="B294" t="str">
            <v>14.11 )</v>
          </cell>
        </row>
        <row r="295">
          <cell r="B295" t="str">
            <v>14.12 )</v>
          </cell>
        </row>
        <row r="296">
          <cell r="B296" t="str">
            <v>14.13 )</v>
          </cell>
        </row>
        <row r="297">
          <cell r="B297" t="str">
            <v>14.14 )</v>
          </cell>
        </row>
        <row r="298">
          <cell r="B298" t="str">
            <v>14.15 )</v>
          </cell>
        </row>
        <row r="299">
          <cell r="B299" t="str">
            <v>14.16 )</v>
          </cell>
        </row>
        <row r="300">
          <cell r="B300" t="str">
            <v>14.17 )</v>
          </cell>
        </row>
        <row r="301">
          <cell r="B301" t="str">
            <v>14.18 )</v>
          </cell>
        </row>
        <row r="302">
          <cell r="B302" t="str">
            <v>14.19 )</v>
          </cell>
        </row>
        <row r="303">
          <cell r="B303" t="str">
            <v>14.20 )</v>
          </cell>
        </row>
        <row r="304">
          <cell r="B304" t="str">
            <v>15.0 )</v>
          </cell>
        </row>
        <row r="305">
          <cell r="B305" t="str">
            <v>15.1 )</v>
          </cell>
        </row>
        <row r="306">
          <cell r="B306" t="str">
            <v>15.2 )</v>
          </cell>
        </row>
        <row r="307">
          <cell r="B307" t="str">
            <v>15.3 )</v>
          </cell>
        </row>
        <row r="308">
          <cell r="B308" t="str">
            <v>15.4 )</v>
          </cell>
        </row>
        <row r="309">
          <cell r="B309" t="str">
            <v>15.5 )</v>
          </cell>
        </row>
        <row r="310">
          <cell r="B310" t="str">
            <v>15.6 )</v>
          </cell>
        </row>
        <row r="311">
          <cell r="B311" t="str">
            <v>15.7 )</v>
          </cell>
        </row>
        <row r="312">
          <cell r="B312" t="str">
            <v>15.8 )</v>
          </cell>
        </row>
        <row r="313">
          <cell r="B313" t="str">
            <v>15.9 )</v>
          </cell>
        </row>
        <row r="314">
          <cell r="B314" t="str">
            <v>15.10 )</v>
          </cell>
        </row>
        <row r="315">
          <cell r="B315" t="str">
            <v>15.11 )</v>
          </cell>
        </row>
        <row r="316">
          <cell r="B316" t="str">
            <v>15.12 )</v>
          </cell>
        </row>
        <row r="317">
          <cell r="B317" t="str">
            <v>15.13 )</v>
          </cell>
        </row>
        <row r="318">
          <cell r="B318" t="str">
            <v>15.14 )</v>
          </cell>
        </row>
        <row r="319">
          <cell r="B319" t="str">
            <v>15.15 )</v>
          </cell>
        </row>
        <row r="320">
          <cell r="B320" t="str">
            <v>15.16 )</v>
          </cell>
        </row>
        <row r="321">
          <cell r="B321" t="str">
            <v>15.17 )</v>
          </cell>
        </row>
        <row r="322">
          <cell r="B322" t="str">
            <v>15.18 )</v>
          </cell>
        </row>
        <row r="323">
          <cell r="B323" t="str">
            <v>15.19 )</v>
          </cell>
        </row>
        <row r="324">
          <cell r="B324" t="str">
            <v>15.20 )</v>
          </cell>
        </row>
        <row r="325">
          <cell r="B325" t="str">
            <v>16.0 )</v>
          </cell>
        </row>
        <row r="326">
          <cell r="B326" t="str">
            <v>16.1 )</v>
          </cell>
        </row>
        <row r="327">
          <cell r="B327" t="str">
            <v>16.2 )</v>
          </cell>
        </row>
        <row r="328">
          <cell r="B328" t="str">
            <v>16.3 )</v>
          </cell>
        </row>
        <row r="329">
          <cell r="B329" t="str">
            <v>16.4 )</v>
          </cell>
        </row>
        <row r="330">
          <cell r="B330" t="str">
            <v>16.5 )</v>
          </cell>
        </row>
        <row r="331">
          <cell r="B331" t="str">
            <v>16.6 )</v>
          </cell>
        </row>
        <row r="332">
          <cell r="B332" t="str">
            <v>16.7 )</v>
          </cell>
        </row>
        <row r="333">
          <cell r="B333" t="str">
            <v>16.8 )</v>
          </cell>
        </row>
        <row r="334">
          <cell r="B334" t="str">
            <v>16.9 )</v>
          </cell>
        </row>
        <row r="335">
          <cell r="B335" t="str">
            <v>16.10 )</v>
          </cell>
        </row>
        <row r="336">
          <cell r="B336" t="str">
            <v>16.11 )</v>
          </cell>
        </row>
        <row r="337">
          <cell r="B337" t="str">
            <v>16.12 )</v>
          </cell>
        </row>
        <row r="338">
          <cell r="B338" t="str">
            <v>16.13 )</v>
          </cell>
        </row>
        <row r="339">
          <cell r="B339" t="str">
            <v>16.14 )</v>
          </cell>
        </row>
        <row r="340">
          <cell r="B340" t="str">
            <v>16.15 )</v>
          </cell>
        </row>
        <row r="341">
          <cell r="B341" t="str">
            <v>16.16 )</v>
          </cell>
        </row>
        <row r="342">
          <cell r="B342" t="str">
            <v>16.17 )</v>
          </cell>
        </row>
        <row r="343">
          <cell r="B343" t="str">
            <v>16.18 )</v>
          </cell>
        </row>
        <row r="344">
          <cell r="B344" t="str">
            <v>16.19 )</v>
          </cell>
        </row>
        <row r="345">
          <cell r="B345" t="str">
            <v>16.20 )</v>
          </cell>
        </row>
        <row r="346">
          <cell r="B346" t="str">
            <v>17.0 )</v>
          </cell>
        </row>
        <row r="347">
          <cell r="B347" t="str">
            <v>17.1 )</v>
          </cell>
        </row>
        <row r="348">
          <cell r="B348" t="str">
            <v>17.2 )</v>
          </cell>
        </row>
        <row r="349">
          <cell r="B349" t="str">
            <v>17.3 )</v>
          </cell>
        </row>
        <row r="350">
          <cell r="B350" t="str">
            <v>17.4 )</v>
          </cell>
        </row>
        <row r="351">
          <cell r="B351" t="str">
            <v>17.5 )</v>
          </cell>
        </row>
        <row r="352">
          <cell r="B352" t="str">
            <v>17.6 )</v>
          </cell>
        </row>
        <row r="353">
          <cell r="B353" t="str">
            <v>17.7 )</v>
          </cell>
        </row>
        <row r="354">
          <cell r="B354" t="str">
            <v>17.8 )</v>
          </cell>
        </row>
        <row r="355">
          <cell r="B355" t="str">
            <v>17.9 )</v>
          </cell>
        </row>
        <row r="356">
          <cell r="B356" t="str">
            <v>17.10 )</v>
          </cell>
        </row>
        <row r="357">
          <cell r="B357" t="str">
            <v>17.11 )</v>
          </cell>
        </row>
        <row r="358">
          <cell r="B358" t="str">
            <v>17.12 )</v>
          </cell>
        </row>
        <row r="359">
          <cell r="B359" t="str">
            <v>17.13 )</v>
          </cell>
        </row>
        <row r="360">
          <cell r="B360" t="str">
            <v>17.14 )</v>
          </cell>
        </row>
        <row r="361">
          <cell r="B361" t="str">
            <v>17.15 )</v>
          </cell>
        </row>
        <row r="362">
          <cell r="B362" t="str">
            <v>17.16 )</v>
          </cell>
        </row>
        <row r="363">
          <cell r="B363" t="str">
            <v>17.17 )</v>
          </cell>
        </row>
        <row r="364">
          <cell r="B364" t="str">
            <v>17.18 )</v>
          </cell>
        </row>
        <row r="365">
          <cell r="B365" t="str">
            <v>17.19 )</v>
          </cell>
        </row>
        <row r="366">
          <cell r="B366" t="str">
            <v>17.20 )</v>
          </cell>
        </row>
        <row r="367">
          <cell r="B367" t="str">
            <v>18.0 )</v>
          </cell>
        </row>
        <row r="368">
          <cell r="B368" t="str">
            <v>18.1 )</v>
          </cell>
        </row>
        <row r="369">
          <cell r="B369" t="str">
            <v>18.2 )</v>
          </cell>
        </row>
        <row r="370">
          <cell r="B370" t="str">
            <v>18.3 )</v>
          </cell>
        </row>
        <row r="371">
          <cell r="B371" t="str">
            <v>18.4 )</v>
          </cell>
        </row>
        <row r="372">
          <cell r="B372" t="str">
            <v>18.5 )</v>
          </cell>
        </row>
        <row r="373">
          <cell r="B373" t="str">
            <v>18.6 )</v>
          </cell>
        </row>
        <row r="374">
          <cell r="B374" t="str">
            <v>18.7 )</v>
          </cell>
        </row>
        <row r="375">
          <cell r="B375" t="str">
            <v>18.8 )</v>
          </cell>
        </row>
        <row r="376">
          <cell r="B376" t="str">
            <v>18.9 )</v>
          </cell>
        </row>
        <row r="377">
          <cell r="B377" t="str">
            <v>18.10 )</v>
          </cell>
        </row>
        <row r="378">
          <cell r="B378" t="str">
            <v>18.11 )</v>
          </cell>
        </row>
        <row r="379">
          <cell r="B379" t="str">
            <v>18.12 )</v>
          </cell>
        </row>
        <row r="380">
          <cell r="B380" t="str">
            <v>18.13 )</v>
          </cell>
        </row>
        <row r="381">
          <cell r="B381" t="str">
            <v>18.14 )</v>
          </cell>
        </row>
        <row r="382">
          <cell r="B382" t="str">
            <v>18.15 )</v>
          </cell>
        </row>
        <row r="383">
          <cell r="B383" t="str">
            <v>18.16 )</v>
          </cell>
        </row>
        <row r="384">
          <cell r="B384" t="str">
            <v>18.17 )</v>
          </cell>
        </row>
        <row r="385">
          <cell r="B385" t="str">
            <v>18.18 )</v>
          </cell>
        </row>
        <row r="386">
          <cell r="B386" t="str">
            <v>18.19 )</v>
          </cell>
        </row>
        <row r="387">
          <cell r="B387" t="str">
            <v>18.20 )</v>
          </cell>
        </row>
        <row r="388">
          <cell r="B388" t="str">
            <v>19.0 )</v>
          </cell>
        </row>
        <row r="389">
          <cell r="B389" t="str">
            <v>19.1 )</v>
          </cell>
        </row>
        <row r="390">
          <cell r="B390" t="str">
            <v>19.2 )</v>
          </cell>
        </row>
        <row r="391">
          <cell r="B391" t="str">
            <v>19.3 )</v>
          </cell>
        </row>
        <row r="392">
          <cell r="B392" t="str">
            <v>19.4 )</v>
          </cell>
        </row>
        <row r="393">
          <cell r="B393" t="str">
            <v>19.5 )</v>
          </cell>
        </row>
        <row r="394">
          <cell r="B394" t="str">
            <v>19.6 )</v>
          </cell>
        </row>
        <row r="395">
          <cell r="B395" t="str">
            <v>19.7 )</v>
          </cell>
        </row>
        <row r="396">
          <cell r="B396" t="str">
            <v>19.8 )</v>
          </cell>
        </row>
        <row r="397">
          <cell r="B397" t="str">
            <v>19.9 )</v>
          </cell>
        </row>
        <row r="398">
          <cell r="B398" t="str">
            <v>19.10 )</v>
          </cell>
        </row>
        <row r="399">
          <cell r="B399" t="str">
            <v>19.11 )</v>
          </cell>
        </row>
        <row r="400">
          <cell r="B400" t="str">
            <v>19.12 )</v>
          </cell>
        </row>
        <row r="401">
          <cell r="B401" t="str">
            <v>19.13 )</v>
          </cell>
        </row>
        <row r="402">
          <cell r="B402" t="str">
            <v>19.14 )</v>
          </cell>
        </row>
        <row r="403">
          <cell r="B403" t="str">
            <v>19.15 )</v>
          </cell>
        </row>
        <row r="404">
          <cell r="B404" t="str">
            <v>19.16 )</v>
          </cell>
        </row>
        <row r="405">
          <cell r="B405" t="str">
            <v>19.17 )</v>
          </cell>
        </row>
        <row r="406">
          <cell r="B406" t="str">
            <v>19.18 )</v>
          </cell>
        </row>
        <row r="407">
          <cell r="B407" t="str">
            <v>19.19 )</v>
          </cell>
        </row>
        <row r="408">
          <cell r="B408" t="str">
            <v>19.20 )</v>
          </cell>
        </row>
        <row r="409">
          <cell r="B409" t="str">
            <v>20.0 )</v>
          </cell>
        </row>
        <row r="410">
          <cell r="B410" t="str">
            <v>20.1 )</v>
          </cell>
        </row>
        <row r="411">
          <cell r="B411" t="str">
            <v>20.2 )</v>
          </cell>
        </row>
        <row r="412">
          <cell r="B412" t="str">
            <v>20.3 )</v>
          </cell>
        </row>
        <row r="413">
          <cell r="B413" t="str">
            <v>20.4 )</v>
          </cell>
        </row>
        <row r="414">
          <cell r="B414" t="str">
            <v>20.5 )</v>
          </cell>
        </row>
        <row r="415">
          <cell r="B415" t="str">
            <v>20.6 )</v>
          </cell>
        </row>
        <row r="416">
          <cell r="B416" t="str">
            <v>20.7 )</v>
          </cell>
        </row>
        <row r="417">
          <cell r="B417" t="str">
            <v>20.8 )</v>
          </cell>
        </row>
        <row r="418">
          <cell r="B418" t="str">
            <v>20.9 )</v>
          </cell>
        </row>
        <row r="419">
          <cell r="B419" t="str">
            <v>20.10 )</v>
          </cell>
        </row>
        <row r="420">
          <cell r="B420" t="str">
            <v>20.11 )</v>
          </cell>
        </row>
        <row r="421">
          <cell r="B421" t="str">
            <v>20.12 )</v>
          </cell>
        </row>
        <row r="422">
          <cell r="B422" t="str">
            <v>20.13 )</v>
          </cell>
        </row>
        <row r="423">
          <cell r="B423" t="str">
            <v>20.14 )</v>
          </cell>
        </row>
        <row r="424">
          <cell r="B424" t="str">
            <v>20.15 )</v>
          </cell>
        </row>
        <row r="425">
          <cell r="B425" t="str">
            <v>20.16 )</v>
          </cell>
        </row>
        <row r="426">
          <cell r="B426" t="str">
            <v>20.17 )</v>
          </cell>
        </row>
        <row r="427">
          <cell r="B427" t="str">
            <v>20.18 )</v>
          </cell>
        </row>
        <row r="428">
          <cell r="B428" t="str">
            <v>20.19 )</v>
          </cell>
        </row>
        <row r="429">
          <cell r="B429" t="str">
            <v>20.20 )</v>
          </cell>
        </row>
        <row r="430">
          <cell r="B430" t="str">
            <v>&gt;=</v>
          </cell>
        </row>
        <row r="431">
          <cell r="B431" t="str">
            <v>&gt;</v>
          </cell>
        </row>
        <row r="432">
          <cell r="B432" t="str">
            <v>ee</v>
          </cell>
        </row>
        <row r="433">
          <cell r="B433" t="str">
            <v>rr</v>
          </cell>
        </row>
        <row r="434">
          <cell r="B434" t="str">
            <v>ss</v>
          </cell>
        </row>
        <row r="435">
          <cell r="B435" t="str">
            <v>&lt;</v>
          </cell>
        </row>
        <row r="436">
          <cell r="B436" t="str">
            <v>aa</v>
          </cell>
        </row>
      </sheetData>
      <sheetData sheetId="4" refreshError="1"/>
      <sheetData sheetId="5" refreshError="1">
        <row r="3">
          <cell r="B3" t="str">
            <v>Numbersnew1</v>
          </cell>
          <cell r="C3" t="str">
            <v>Numbersnew</v>
          </cell>
          <cell r="D3" t="str">
            <v>Numbersnew2</v>
          </cell>
          <cell r="E3" t="str">
            <v>Numbersnew3</v>
          </cell>
          <cell r="F3" t="str">
            <v>Numbersnew4</v>
          </cell>
        </row>
        <row r="4">
          <cell r="B4" t="str">
            <v>1.0 )</v>
          </cell>
          <cell r="C4" t="str">
            <v>1.0 )</v>
          </cell>
          <cell r="D4" t="str">
            <v>1.1.0 )</v>
          </cell>
          <cell r="E4" t="str">
            <v>2.1.0 )</v>
          </cell>
          <cell r="F4" t="str">
            <v>3.1.0 )</v>
          </cell>
        </row>
        <row r="5">
          <cell r="B5" t="str">
            <v>2.0 )</v>
          </cell>
          <cell r="C5" t="str">
            <v>1.1 )</v>
          </cell>
          <cell r="D5" t="str">
            <v>1.1.1 )</v>
          </cell>
          <cell r="E5" t="str">
            <v>2.1.1 )</v>
          </cell>
          <cell r="F5" t="str">
            <v>3.1.1 )</v>
          </cell>
        </row>
        <row r="6">
          <cell r="B6" t="str">
            <v>3.0 )</v>
          </cell>
          <cell r="C6" t="str">
            <v>1.2 )</v>
          </cell>
          <cell r="D6" t="str">
            <v>1.1.2 )</v>
          </cell>
          <cell r="E6" t="str">
            <v>2.1.2 )</v>
          </cell>
          <cell r="F6" t="str">
            <v>3.1.2 )</v>
          </cell>
        </row>
        <row r="7">
          <cell r="B7" t="str">
            <v>4.0 )</v>
          </cell>
          <cell r="C7" t="str">
            <v>1.3 )</v>
          </cell>
          <cell r="D7" t="str">
            <v>1.1.3 )</v>
          </cell>
          <cell r="E7" t="str">
            <v>2.1.3 )</v>
          </cell>
          <cell r="F7" t="str">
            <v>3.1.3 )</v>
          </cell>
        </row>
        <row r="8">
          <cell r="B8" t="str">
            <v>5.0 )</v>
          </cell>
          <cell r="C8" t="str">
            <v>1.4 )</v>
          </cell>
          <cell r="D8" t="str">
            <v>1.1.4 )</v>
          </cell>
          <cell r="E8" t="str">
            <v>2.1.4 )</v>
          </cell>
          <cell r="F8" t="str">
            <v>3.1.4 )</v>
          </cell>
        </row>
        <row r="9">
          <cell r="B9" t="str">
            <v>6.0 )</v>
          </cell>
          <cell r="C9" t="str">
            <v>1.5 )</v>
          </cell>
          <cell r="D9" t="str">
            <v>1.1.5 )</v>
          </cell>
          <cell r="E9" t="str">
            <v>2.1.5 )</v>
          </cell>
          <cell r="F9" t="str">
            <v>3.1.5 )</v>
          </cell>
        </row>
        <row r="10">
          <cell r="B10" t="str">
            <v>7.0 )</v>
          </cell>
          <cell r="C10" t="str">
            <v>1.6 )</v>
          </cell>
          <cell r="D10" t="str">
            <v>1.1.6 )</v>
          </cell>
          <cell r="E10" t="str">
            <v>2.1.6 )</v>
          </cell>
          <cell r="F10" t="str">
            <v>3.1.6 )</v>
          </cell>
        </row>
        <row r="11">
          <cell r="B11" t="str">
            <v>8.0 )</v>
          </cell>
          <cell r="C11" t="str">
            <v>1.7 )</v>
          </cell>
          <cell r="D11" t="str">
            <v>1.1.7 )</v>
          </cell>
          <cell r="E11" t="str">
            <v>2.1.7 )</v>
          </cell>
          <cell r="F11" t="str">
            <v>3.1.7 )</v>
          </cell>
        </row>
        <row r="12">
          <cell r="B12" t="str">
            <v>9.0 )</v>
          </cell>
          <cell r="C12" t="str">
            <v>1.8 )</v>
          </cell>
          <cell r="D12" t="str">
            <v>1.1.8 )</v>
          </cell>
          <cell r="E12" t="str">
            <v>2.1.8 )</v>
          </cell>
          <cell r="F12" t="str">
            <v>3.1.8 )</v>
          </cell>
        </row>
        <row r="13">
          <cell r="B13" t="str">
            <v>10.0 )</v>
          </cell>
          <cell r="C13" t="str">
            <v>1.9 )</v>
          </cell>
          <cell r="D13" t="str">
            <v>1.1.9 )</v>
          </cell>
          <cell r="E13" t="str">
            <v>2.1.9 )</v>
          </cell>
          <cell r="F13" t="str">
            <v>3.1.9 )</v>
          </cell>
        </row>
        <row r="14">
          <cell r="B14" t="str">
            <v>11.0 )</v>
          </cell>
          <cell r="C14" t="str">
            <v>1.10 )</v>
          </cell>
          <cell r="D14" t="str">
            <v>1.1.10 )</v>
          </cell>
          <cell r="E14" t="str">
            <v>2.1.10 )</v>
          </cell>
          <cell r="F14" t="str">
            <v>3.1.10 )</v>
          </cell>
        </row>
        <row r="15">
          <cell r="B15" t="str">
            <v>12.0 )</v>
          </cell>
          <cell r="C15" t="str">
            <v>1.11 )</v>
          </cell>
          <cell r="D15" t="str">
            <v>1.1.11 )</v>
          </cell>
          <cell r="E15" t="str">
            <v>2.1.11 )</v>
          </cell>
          <cell r="F15" t="str">
            <v>3.1.11 )</v>
          </cell>
        </row>
        <row r="16">
          <cell r="B16" t="str">
            <v>13.0 )</v>
          </cell>
          <cell r="C16" t="str">
            <v>1.12 )</v>
          </cell>
          <cell r="D16" t="str">
            <v>1.1.12 )</v>
          </cell>
          <cell r="E16" t="str">
            <v>2.1.12 )</v>
          </cell>
          <cell r="F16" t="str">
            <v>3.1.12 )</v>
          </cell>
        </row>
        <row r="17">
          <cell r="B17" t="str">
            <v>14.0 )</v>
          </cell>
          <cell r="C17" t="str">
            <v>1.13 )</v>
          </cell>
          <cell r="D17" t="str">
            <v>1.1.13 )</v>
          </cell>
          <cell r="E17" t="str">
            <v>2.1.13 )</v>
          </cell>
          <cell r="F17" t="str">
            <v>3.1.13 )</v>
          </cell>
        </row>
        <row r="18">
          <cell r="B18" t="str">
            <v>15.0 )</v>
          </cell>
          <cell r="C18" t="str">
            <v>1.14 )</v>
          </cell>
          <cell r="D18" t="str">
            <v>1.1.14 )</v>
          </cell>
          <cell r="E18" t="str">
            <v>2.1.14 )</v>
          </cell>
          <cell r="F18" t="str">
            <v>3.1.14 )</v>
          </cell>
        </row>
        <row r="19">
          <cell r="B19" t="str">
            <v>16.0 )</v>
          </cell>
          <cell r="C19" t="str">
            <v>1.15 )</v>
          </cell>
          <cell r="D19" t="str">
            <v>1.1.15 )</v>
          </cell>
          <cell r="E19" t="str">
            <v>2.1.15 )</v>
          </cell>
          <cell r="F19" t="str">
            <v>3.1.15 )</v>
          </cell>
        </row>
        <row r="20">
          <cell r="B20" t="str">
            <v>17.0 )</v>
          </cell>
          <cell r="C20" t="str">
            <v>1.16 )</v>
          </cell>
          <cell r="D20" t="str">
            <v>1.1.16 )</v>
          </cell>
          <cell r="E20" t="str">
            <v>2.1.16 )</v>
          </cell>
          <cell r="F20" t="str">
            <v>3.1.16 )</v>
          </cell>
        </row>
        <row r="21">
          <cell r="B21" t="str">
            <v>18.0 )</v>
          </cell>
          <cell r="C21" t="str">
            <v>1.17 )</v>
          </cell>
          <cell r="D21" t="str">
            <v>1.1.17 )</v>
          </cell>
          <cell r="E21" t="str">
            <v>2.1.17 )</v>
          </cell>
          <cell r="F21" t="str">
            <v>3.1.17 )</v>
          </cell>
        </row>
        <row r="22">
          <cell r="B22" t="str">
            <v>19.0 )</v>
          </cell>
          <cell r="C22" t="str">
            <v>1.18 )</v>
          </cell>
          <cell r="D22" t="str">
            <v>1.1.18 )</v>
          </cell>
          <cell r="E22" t="str">
            <v>2.1.18 )</v>
          </cell>
          <cell r="F22" t="str">
            <v>3.1.18 )</v>
          </cell>
        </row>
        <row r="23">
          <cell r="B23" t="str">
            <v>20.0 )</v>
          </cell>
          <cell r="C23" t="str">
            <v>1.19 )</v>
          </cell>
          <cell r="D23" t="str">
            <v>1.1.19 )</v>
          </cell>
          <cell r="E23" t="str">
            <v>2.1.19 )</v>
          </cell>
          <cell r="F23" t="str">
            <v>3.1.19 )</v>
          </cell>
        </row>
        <row r="24">
          <cell r="B24" t="str">
            <v>21.0 )</v>
          </cell>
          <cell r="C24" t="str">
            <v>1.20 )</v>
          </cell>
          <cell r="D24" t="str">
            <v>1.1.20 )</v>
          </cell>
          <cell r="E24" t="str">
            <v>2.1.20 )</v>
          </cell>
          <cell r="F24" t="str">
            <v>3.1.20 )</v>
          </cell>
        </row>
        <row r="25">
          <cell r="B25" t="str">
            <v>22.0 )</v>
          </cell>
          <cell r="C25" t="str">
            <v>2.0 )</v>
          </cell>
          <cell r="D25" t="str">
            <v>1.2.0 )</v>
          </cell>
          <cell r="E25" t="str">
            <v>2.2.0 )</v>
          </cell>
          <cell r="F25" t="str">
            <v>3.2.0 )</v>
          </cell>
        </row>
        <row r="26">
          <cell r="B26" t="str">
            <v>23.0 )</v>
          </cell>
          <cell r="C26" t="str">
            <v>2.1 )</v>
          </cell>
          <cell r="D26" t="str">
            <v>1.2.1 )</v>
          </cell>
          <cell r="E26" t="str">
            <v>2.2.1 )</v>
          </cell>
          <cell r="F26" t="str">
            <v>3.2.1 )</v>
          </cell>
        </row>
        <row r="27">
          <cell r="B27" t="str">
            <v>24.0 )</v>
          </cell>
          <cell r="C27" t="str">
            <v>2.2 )</v>
          </cell>
          <cell r="D27" t="str">
            <v>1.2.2 )</v>
          </cell>
          <cell r="E27" t="str">
            <v>2.2.2 )</v>
          </cell>
          <cell r="F27" t="str">
            <v>3.2.2 )</v>
          </cell>
        </row>
        <row r="28">
          <cell r="B28" t="str">
            <v>25.0 )</v>
          </cell>
          <cell r="C28" t="str">
            <v>2.3 )</v>
          </cell>
          <cell r="D28" t="str">
            <v>1.2.3 )</v>
          </cell>
          <cell r="E28" t="str">
            <v>2.2.3 )</v>
          </cell>
          <cell r="F28" t="str">
            <v>3.2.3 )</v>
          </cell>
        </row>
        <row r="29">
          <cell r="B29" t="str">
            <v>26.0 )</v>
          </cell>
          <cell r="C29" t="str">
            <v>2.4 )</v>
          </cell>
          <cell r="D29" t="str">
            <v>1.2.4 )</v>
          </cell>
          <cell r="E29" t="str">
            <v>2.2.4 )</v>
          </cell>
          <cell r="F29" t="str">
            <v>3.2.4 )</v>
          </cell>
        </row>
        <row r="30">
          <cell r="B30" t="str">
            <v>27.0 )</v>
          </cell>
          <cell r="C30" t="str">
            <v>2.5 )</v>
          </cell>
          <cell r="D30" t="str">
            <v>1.2.5 )</v>
          </cell>
          <cell r="E30" t="str">
            <v>2.2.5 )</v>
          </cell>
          <cell r="F30" t="str">
            <v>3.2.5 )</v>
          </cell>
        </row>
        <row r="31">
          <cell r="B31" t="str">
            <v>28.0 )</v>
          </cell>
          <cell r="C31" t="str">
            <v>2.6 )</v>
          </cell>
          <cell r="D31" t="str">
            <v>1.2.6 )</v>
          </cell>
          <cell r="E31" t="str">
            <v>2.2.6 )</v>
          </cell>
          <cell r="F31" t="str">
            <v>3.2.6 )</v>
          </cell>
        </row>
        <row r="32">
          <cell r="B32" t="str">
            <v>29.0 )</v>
          </cell>
          <cell r="C32" t="str">
            <v>2.7 )</v>
          </cell>
          <cell r="D32" t="str">
            <v>1.2.7 )</v>
          </cell>
          <cell r="E32" t="str">
            <v>2.2.7 )</v>
          </cell>
          <cell r="F32" t="str">
            <v>3.2.7 )</v>
          </cell>
        </row>
        <row r="33">
          <cell r="B33" t="str">
            <v>30.0 )</v>
          </cell>
          <cell r="C33" t="str">
            <v>2.8 )</v>
          </cell>
          <cell r="D33" t="str">
            <v>1.2.8 )</v>
          </cell>
          <cell r="E33" t="str">
            <v>2.2.8 )</v>
          </cell>
          <cell r="F33" t="str">
            <v>3.2.8 )</v>
          </cell>
        </row>
        <row r="34">
          <cell r="B34" t="str">
            <v>31.0 )</v>
          </cell>
          <cell r="C34" t="str">
            <v>2.9 )</v>
          </cell>
          <cell r="D34" t="str">
            <v>1.2.9 )</v>
          </cell>
          <cell r="E34" t="str">
            <v>2.2.9 )</v>
          </cell>
          <cell r="F34" t="str">
            <v>3.2.9 )</v>
          </cell>
        </row>
        <row r="35">
          <cell r="B35" t="str">
            <v>32.0 )</v>
          </cell>
          <cell r="C35" t="str">
            <v>2.10 )</v>
          </cell>
          <cell r="D35" t="str">
            <v>1.2.10 )</v>
          </cell>
          <cell r="E35" t="str">
            <v>2.2.10 )</v>
          </cell>
          <cell r="F35" t="str">
            <v>3.2.10 )</v>
          </cell>
        </row>
        <row r="36">
          <cell r="B36" t="str">
            <v>33.0 )</v>
          </cell>
          <cell r="C36" t="str">
            <v>2.11 )</v>
          </cell>
          <cell r="D36" t="str">
            <v>1.2.11 )</v>
          </cell>
          <cell r="E36" t="str">
            <v>2.2.11 )</v>
          </cell>
          <cell r="F36" t="str">
            <v>3.2.11 )</v>
          </cell>
        </row>
        <row r="37">
          <cell r="B37" t="str">
            <v>34.0 )</v>
          </cell>
          <cell r="C37" t="str">
            <v>2.12 )</v>
          </cell>
          <cell r="D37" t="str">
            <v>1.2.12 )</v>
          </cell>
          <cell r="E37" t="str">
            <v>2.2.12 )</v>
          </cell>
          <cell r="F37" t="str">
            <v>3.2.12 )</v>
          </cell>
        </row>
        <row r="38">
          <cell r="B38" t="str">
            <v>35.0 )</v>
          </cell>
          <cell r="C38" t="str">
            <v>2.13 )</v>
          </cell>
          <cell r="D38" t="str">
            <v>1.2.13 )</v>
          </cell>
          <cell r="E38" t="str">
            <v>2.2.13 )</v>
          </cell>
          <cell r="F38" t="str">
            <v>3.2.13 )</v>
          </cell>
        </row>
        <row r="39">
          <cell r="B39" t="str">
            <v>36.0 )</v>
          </cell>
          <cell r="C39" t="str">
            <v>2.14 )</v>
          </cell>
          <cell r="D39" t="str">
            <v>1.2.14 )</v>
          </cell>
          <cell r="E39" t="str">
            <v>2.2.14 )</v>
          </cell>
          <cell r="F39" t="str">
            <v>3.2.14 )</v>
          </cell>
        </row>
        <row r="40">
          <cell r="B40" t="str">
            <v>37.0 )</v>
          </cell>
          <cell r="C40" t="str">
            <v>2.15 )</v>
          </cell>
          <cell r="D40" t="str">
            <v>1.2.15 )</v>
          </cell>
          <cell r="E40" t="str">
            <v>2.2.15 )</v>
          </cell>
          <cell r="F40" t="str">
            <v>3.2.15 )</v>
          </cell>
        </row>
        <row r="41">
          <cell r="B41" t="str">
            <v>38.0 )</v>
          </cell>
          <cell r="C41" t="str">
            <v>2.16 )</v>
          </cell>
          <cell r="D41" t="str">
            <v>1.2.16 )</v>
          </cell>
          <cell r="E41" t="str">
            <v>2.2.16 )</v>
          </cell>
          <cell r="F41" t="str">
            <v>3.2.16 )</v>
          </cell>
        </row>
        <row r="42">
          <cell r="B42" t="str">
            <v>39.0 )</v>
          </cell>
          <cell r="C42" t="str">
            <v>2.17 )</v>
          </cell>
          <cell r="D42" t="str">
            <v>1.2.17 )</v>
          </cell>
          <cell r="E42" t="str">
            <v>2.2.17 )</v>
          </cell>
          <cell r="F42" t="str">
            <v>3.2.17 )</v>
          </cell>
        </row>
        <row r="43">
          <cell r="B43" t="str">
            <v>40.0 )</v>
          </cell>
          <cell r="C43" t="str">
            <v>2.18 )</v>
          </cell>
          <cell r="D43" t="str">
            <v>1.2.18 )</v>
          </cell>
          <cell r="E43" t="str">
            <v>2.2.18 )</v>
          </cell>
          <cell r="F43" t="str">
            <v>3.2.18 )</v>
          </cell>
        </row>
        <row r="44">
          <cell r="B44" t="str">
            <v>41.0 )</v>
          </cell>
          <cell r="C44" t="str">
            <v>2.19 )</v>
          </cell>
          <cell r="D44" t="str">
            <v>1.2.19 )</v>
          </cell>
          <cell r="E44" t="str">
            <v>2.2.19 )</v>
          </cell>
          <cell r="F44" t="str">
            <v>3.2.19 )</v>
          </cell>
        </row>
        <row r="45">
          <cell r="B45" t="str">
            <v>42.0 )</v>
          </cell>
          <cell r="C45" t="str">
            <v>2.20 )</v>
          </cell>
          <cell r="D45" t="str">
            <v>1.2.20 )</v>
          </cell>
          <cell r="E45" t="str">
            <v>2.2.20 )</v>
          </cell>
          <cell r="F45" t="str">
            <v>3.2.20 )</v>
          </cell>
        </row>
        <row r="46">
          <cell r="B46" t="str">
            <v>43.0 )</v>
          </cell>
          <cell r="C46" t="str">
            <v>3.0 )</v>
          </cell>
          <cell r="D46" t="str">
            <v>1.3.0 )</v>
          </cell>
          <cell r="E46" t="str">
            <v>2.3.0 )</v>
          </cell>
          <cell r="F46" t="str">
            <v>3.3.0 )</v>
          </cell>
        </row>
        <row r="47">
          <cell r="B47" t="str">
            <v>44.0 )</v>
          </cell>
          <cell r="C47" t="str">
            <v>3.1 )</v>
          </cell>
          <cell r="D47" t="str">
            <v>1.3.1 )</v>
          </cell>
          <cell r="E47" t="str">
            <v>2.3.1 )</v>
          </cell>
          <cell r="F47" t="str">
            <v>3.3.1 )</v>
          </cell>
        </row>
        <row r="48">
          <cell r="B48" t="str">
            <v>45.0 )</v>
          </cell>
          <cell r="C48" t="str">
            <v>3.2 )</v>
          </cell>
          <cell r="D48" t="str">
            <v>1.3.2 )</v>
          </cell>
          <cell r="E48" t="str">
            <v>2.3.2 )</v>
          </cell>
          <cell r="F48" t="str">
            <v>3.3.2 )</v>
          </cell>
        </row>
        <row r="49">
          <cell r="B49" t="str">
            <v>46.0 )</v>
          </cell>
          <cell r="C49" t="str">
            <v>3.3 )</v>
          </cell>
          <cell r="D49" t="str">
            <v>1.3.3 )</v>
          </cell>
          <cell r="E49" t="str">
            <v>2.3.3 )</v>
          </cell>
          <cell r="F49" t="str">
            <v>3.3.3 )</v>
          </cell>
        </row>
        <row r="50">
          <cell r="B50" t="str">
            <v>47.0 )</v>
          </cell>
          <cell r="C50" t="str">
            <v>3.4 )</v>
          </cell>
          <cell r="D50" t="str">
            <v>1.3.4 )</v>
          </cell>
          <cell r="E50" t="str">
            <v>2.3.4 )</v>
          </cell>
          <cell r="F50" t="str">
            <v>3.3.4 )</v>
          </cell>
        </row>
        <row r="51">
          <cell r="B51" t="str">
            <v>48.0 )</v>
          </cell>
          <cell r="C51" t="str">
            <v>3.5 )</v>
          </cell>
          <cell r="D51" t="str">
            <v>1.3.5 )</v>
          </cell>
          <cell r="E51" t="str">
            <v>2.3.5 )</v>
          </cell>
          <cell r="F51" t="str">
            <v>3.3.5 )</v>
          </cell>
        </row>
        <row r="52">
          <cell r="B52" t="str">
            <v>49.0 )</v>
          </cell>
          <cell r="C52" t="str">
            <v>3.6 )</v>
          </cell>
          <cell r="D52" t="str">
            <v>1.3.6 )</v>
          </cell>
          <cell r="E52" t="str">
            <v>2.3.6 )</v>
          </cell>
          <cell r="F52" t="str">
            <v>3.3.6 )</v>
          </cell>
        </row>
        <row r="53">
          <cell r="B53" t="str">
            <v>50.0 )</v>
          </cell>
          <cell r="C53" t="str">
            <v>3.7 )</v>
          </cell>
          <cell r="D53" t="str">
            <v>1.3.7 )</v>
          </cell>
          <cell r="E53" t="str">
            <v>2.3.7 )</v>
          </cell>
          <cell r="F53" t="str">
            <v>3.3.7 )</v>
          </cell>
        </row>
        <row r="54">
          <cell r="B54" t="str">
            <v>51.0 )</v>
          </cell>
          <cell r="C54" t="str">
            <v>3.8 )</v>
          </cell>
          <cell r="D54" t="str">
            <v>1.3.8 )</v>
          </cell>
          <cell r="E54" t="str">
            <v>2.3.8 )</v>
          </cell>
          <cell r="F54" t="str">
            <v>3.3.8 )</v>
          </cell>
        </row>
        <row r="55">
          <cell r="B55" t="str">
            <v>52.0 )</v>
          </cell>
          <cell r="C55" t="str">
            <v>3.9 )</v>
          </cell>
          <cell r="D55" t="str">
            <v>1.3.9 )</v>
          </cell>
          <cell r="E55" t="str">
            <v>2.3.9 )</v>
          </cell>
          <cell r="F55" t="str">
            <v>3.3.9 )</v>
          </cell>
        </row>
        <row r="56">
          <cell r="B56" t="str">
            <v>53.0 )</v>
          </cell>
          <cell r="C56" t="str">
            <v>3.10 )</v>
          </cell>
          <cell r="D56" t="str">
            <v>1.3.10 )</v>
          </cell>
          <cell r="E56" t="str">
            <v>2.3.10 )</v>
          </cell>
          <cell r="F56" t="str">
            <v>3.3.10 )</v>
          </cell>
        </row>
        <row r="57">
          <cell r="B57" t="str">
            <v>54.0 )</v>
          </cell>
          <cell r="C57" t="str">
            <v>3.11 )</v>
          </cell>
          <cell r="D57" t="str">
            <v>1.3.11 )</v>
          </cell>
          <cell r="E57" t="str">
            <v>2.3.11 )</v>
          </cell>
          <cell r="F57" t="str">
            <v>3.3.11 )</v>
          </cell>
        </row>
        <row r="58">
          <cell r="B58" t="str">
            <v>55.0 )</v>
          </cell>
          <cell r="C58" t="str">
            <v>3.12 )</v>
          </cell>
          <cell r="D58" t="str">
            <v>1.3.12 )</v>
          </cell>
          <cell r="E58" t="str">
            <v>2.3.12 )</v>
          </cell>
          <cell r="F58" t="str">
            <v>3.3.12 )</v>
          </cell>
        </row>
        <row r="59">
          <cell r="B59" t="str">
            <v>56.0 )</v>
          </cell>
          <cell r="C59" t="str">
            <v>3.13 )</v>
          </cell>
          <cell r="D59" t="str">
            <v>1.3.13 )</v>
          </cell>
          <cell r="E59" t="str">
            <v>2.3.13 )</v>
          </cell>
          <cell r="F59" t="str">
            <v>3.3.13 )</v>
          </cell>
        </row>
        <row r="60">
          <cell r="B60" t="str">
            <v>57.0 )</v>
          </cell>
          <cell r="C60" t="str">
            <v>3.14 )</v>
          </cell>
          <cell r="D60" t="str">
            <v>1.3.14 )</v>
          </cell>
          <cell r="E60" t="str">
            <v>2.3.14 )</v>
          </cell>
          <cell r="F60" t="str">
            <v>3.3.14 )</v>
          </cell>
        </row>
        <row r="61">
          <cell r="B61" t="str">
            <v>58.0 )</v>
          </cell>
          <cell r="C61" t="str">
            <v>3.15 )</v>
          </cell>
          <cell r="D61" t="str">
            <v>1.3.15 )</v>
          </cell>
          <cell r="E61" t="str">
            <v>2.3.15 )</v>
          </cell>
          <cell r="F61" t="str">
            <v>3.3.15 )</v>
          </cell>
        </row>
        <row r="62">
          <cell r="B62" t="str">
            <v>59.0 )</v>
          </cell>
          <cell r="C62" t="str">
            <v>3.16 )</v>
          </cell>
          <cell r="D62" t="str">
            <v>1.3.16 )</v>
          </cell>
          <cell r="E62" t="str">
            <v>2.3.16 )</v>
          </cell>
          <cell r="F62" t="str">
            <v>3.3.16 )</v>
          </cell>
        </row>
        <row r="63">
          <cell r="B63" t="str">
            <v>60.0 )</v>
          </cell>
          <cell r="C63" t="str">
            <v>3.17 )</v>
          </cell>
          <cell r="D63" t="str">
            <v>1.3.17 )</v>
          </cell>
          <cell r="E63" t="str">
            <v>2.3.17 )</v>
          </cell>
          <cell r="F63" t="str">
            <v>3.3.17 )</v>
          </cell>
        </row>
        <row r="64">
          <cell r="B64" t="str">
            <v>61.0 )</v>
          </cell>
          <cell r="C64" t="str">
            <v>3.18 )</v>
          </cell>
          <cell r="D64" t="str">
            <v>1.3.18 )</v>
          </cell>
          <cell r="E64" t="str">
            <v>2.3.18 )</v>
          </cell>
          <cell r="F64" t="str">
            <v>3.3.18 )</v>
          </cell>
        </row>
        <row r="65">
          <cell r="B65" t="str">
            <v>62.0 )</v>
          </cell>
          <cell r="C65" t="str">
            <v>3.19 )</v>
          </cell>
          <cell r="D65" t="str">
            <v>1.3.19 )</v>
          </cell>
          <cell r="E65" t="str">
            <v>2.3.19 )</v>
          </cell>
          <cell r="F65" t="str">
            <v>3.3.19 )</v>
          </cell>
        </row>
        <row r="66">
          <cell r="B66" t="str">
            <v>63.0 )</v>
          </cell>
          <cell r="C66" t="str">
            <v>3.20 )</v>
          </cell>
          <cell r="D66" t="str">
            <v>1.3.20 )</v>
          </cell>
          <cell r="E66" t="str">
            <v>2.3.20 )</v>
          </cell>
          <cell r="F66" t="str">
            <v>3.3.20 )</v>
          </cell>
        </row>
        <row r="67">
          <cell r="B67" t="str">
            <v>64.0 )</v>
          </cell>
          <cell r="C67" t="str">
            <v>4.0 )</v>
          </cell>
          <cell r="D67" t="str">
            <v>1.4.0 )</v>
          </cell>
          <cell r="E67" t="str">
            <v>2.4.0 )</v>
          </cell>
          <cell r="F67" t="str">
            <v>3.4.0 )</v>
          </cell>
        </row>
        <row r="68">
          <cell r="B68" t="str">
            <v>65.0 )</v>
          </cell>
          <cell r="C68" t="str">
            <v>4.1 )</v>
          </cell>
          <cell r="D68" t="str">
            <v>1.4.1 )</v>
          </cell>
          <cell r="E68" t="str">
            <v>2.4.1 )</v>
          </cell>
          <cell r="F68" t="str">
            <v>3.4.1 )</v>
          </cell>
        </row>
        <row r="69">
          <cell r="B69" t="str">
            <v>66.0 )</v>
          </cell>
          <cell r="C69" t="str">
            <v>4.2 )</v>
          </cell>
          <cell r="D69" t="str">
            <v>1.4.2 )</v>
          </cell>
          <cell r="E69" t="str">
            <v>2.4.2 )</v>
          </cell>
          <cell r="F69" t="str">
            <v>3.4.2 )</v>
          </cell>
        </row>
        <row r="70">
          <cell r="B70" t="str">
            <v>67.0 )</v>
          </cell>
          <cell r="C70" t="str">
            <v>4.3 )</v>
          </cell>
          <cell r="D70" t="str">
            <v>1.4.3 )</v>
          </cell>
          <cell r="E70" t="str">
            <v>2.4.3 )</v>
          </cell>
          <cell r="F70" t="str">
            <v>3.4.3 )</v>
          </cell>
        </row>
        <row r="71">
          <cell r="B71" t="str">
            <v>68.0 )</v>
          </cell>
          <cell r="C71" t="str">
            <v>4.4 )</v>
          </cell>
          <cell r="D71" t="str">
            <v>1.4.4 )</v>
          </cell>
          <cell r="E71" t="str">
            <v>2.4.4 )</v>
          </cell>
          <cell r="F71" t="str">
            <v>3.4.4 )</v>
          </cell>
        </row>
        <row r="72">
          <cell r="B72" t="str">
            <v>69.0 )</v>
          </cell>
          <cell r="C72" t="str">
            <v>4.5 )</v>
          </cell>
          <cell r="D72" t="str">
            <v>1.4.5 )</v>
          </cell>
          <cell r="E72" t="str">
            <v>2.4.5 )</v>
          </cell>
          <cell r="F72" t="str">
            <v>3.4.5 )</v>
          </cell>
        </row>
        <row r="73">
          <cell r="B73" t="str">
            <v>70.0 )</v>
          </cell>
          <cell r="C73" t="str">
            <v>4.6 )</v>
          </cell>
          <cell r="D73" t="str">
            <v>1.4.6 )</v>
          </cell>
          <cell r="E73" t="str">
            <v>2.4.6 )</v>
          </cell>
          <cell r="F73" t="str">
            <v>3.4.6 )</v>
          </cell>
        </row>
        <row r="74">
          <cell r="B74" t="str">
            <v>71.0 )</v>
          </cell>
          <cell r="C74" t="str">
            <v>4.7 )</v>
          </cell>
          <cell r="D74" t="str">
            <v>1.4.7 )</v>
          </cell>
          <cell r="E74" t="str">
            <v>2.4.7 )</v>
          </cell>
          <cell r="F74" t="str">
            <v>3.4.7 )</v>
          </cell>
        </row>
        <row r="75">
          <cell r="B75" t="str">
            <v>72.0 )</v>
          </cell>
          <cell r="C75" t="str">
            <v>4.8 )</v>
          </cell>
          <cell r="D75" t="str">
            <v>1.4.8 )</v>
          </cell>
          <cell r="E75" t="str">
            <v>2.4.8 )</v>
          </cell>
          <cell r="F75" t="str">
            <v>3.4.8 )</v>
          </cell>
        </row>
        <row r="76">
          <cell r="B76" t="str">
            <v>73.0 )</v>
          </cell>
          <cell r="C76" t="str">
            <v>4.9 )</v>
          </cell>
          <cell r="D76" t="str">
            <v>1.4.9 )</v>
          </cell>
          <cell r="E76" t="str">
            <v>2.4.9 )</v>
          </cell>
          <cell r="F76" t="str">
            <v>3.4.9 )</v>
          </cell>
        </row>
        <row r="77">
          <cell r="B77" t="str">
            <v>74.0 )</v>
          </cell>
          <cell r="C77" t="str">
            <v>4.10 )</v>
          </cell>
          <cell r="D77" t="str">
            <v>1.4.10 )</v>
          </cell>
          <cell r="E77" t="str">
            <v>2.4.10 )</v>
          </cell>
          <cell r="F77" t="str">
            <v>3.4.10 )</v>
          </cell>
        </row>
        <row r="78">
          <cell r="B78" t="str">
            <v>75.0 )</v>
          </cell>
          <cell r="C78" t="str">
            <v>4.11 )</v>
          </cell>
          <cell r="D78" t="str">
            <v>1.4.11 )</v>
          </cell>
          <cell r="E78" t="str">
            <v>2.4.11 )</v>
          </cell>
          <cell r="F78" t="str">
            <v>3.4.11 )</v>
          </cell>
        </row>
        <row r="79">
          <cell r="B79" t="str">
            <v>76.0 )</v>
          </cell>
          <cell r="C79" t="str">
            <v>4.12 )</v>
          </cell>
          <cell r="D79" t="str">
            <v>1.4.12 )</v>
          </cell>
          <cell r="E79" t="str">
            <v>2.4.12 )</v>
          </cell>
          <cell r="F79" t="str">
            <v>3.4.12 )</v>
          </cell>
        </row>
        <row r="80">
          <cell r="B80" t="str">
            <v>77.0 )</v>
          </cell>
          <cell r="C80" t="str">
            <v>4.13 )</v>
          </cell>
          <cell r="D80" t="str">
            <v>1.4.13 )</v>
          </cell>
          <cell r="E80" t="str">
            <v>2.4.13 )</v>
          </cell>
          <cell r="F80" t="str">
            <v>3.4.13 )</v>
          </cell>
        </row>
        <row r="81">
          <cell r="B81" t="str">
            <v>78.0 )</v>
          </cell>
          <cell r="C81" t="str">
            <v>4.14 )</v>
          </cell>
          <cell r="D81" t="str">
            <v>1.4.14 )</v>
          </cell>
          <cell r="E81" t="str">
            <v>2.4.14 )</v>
          </cell>
          <cell r="F81" t="str">
            <v>3.4.14 )</v>
          </cell>
        </row>
        <row r="82">
          <cell r="B82" t="str">
            <v>79.0 )</v>
          </cell>
          <cell r="C82" t="str">
            <v>4.15 )</v>
          </cell>
          <cell r="D82" t="str">
            <v>1.4.15 )</v>
          </cell>
          <cell r="E82" t="str">
            <v>2.4.15 )</v>
          </cell>
          <cell r="F82" t="str">
            <v>3.4.15 )</v>
          </cell>
        </row>
        <row r="83">
          <cell r="B83" t="str">
            <v>80.0 )</v>
          </cell>
          <cell r="C83" t="str">
            <v>4.16 )</v>
          </cell>
          <cell r="D83" t="str">
            <v>1.4.16 )</v>
          </cell>
          <cell r="E83" t="str">
            <v>2.4.16 )</v>
          </cell>
          <cell r="F83" t="str">
            <v>3.4.16 )</v>
          </cell>
        </row>
        <row r="84">
          <cell r="B84" t="str">
            <v>81.0 )</v>
          </cell>
          <cell r="C84" t="str">
            <v>4.17 )</v>
          </cell>
          <cell r="D84" t="str">
            <v>1.4.17 )</v>
          </cell>
          <cell r="E84" t="str">
            <v>2.4.17 )</v>
          </cell>
          <cell r="F84" t="str">
            <v>3.4.17 )</v>
          </cell>
        </row>
        <row r="85">
          <cell r="B85" t="str">
            <v>82.0 )</v>
          </cell>
          <cell r="C85" t="str">
            <v>4.18 )</v>
          </cell>
          <cell r="D85" t="str">
            <v>1.4.18 )</v>
          </cell>
          <cell r="E85" t="str">
            <v>2.4.18 )</v>
          </cell>
          <cell r="F85" t="str">
            <v>3.4.18 )</v>
          </cell>
        </row>
        <row r="86">
          <cell r="B86" t="str">
            <v>83.0 )</v>
          </cell>
          <cell r="C86" t="str">
            <v>4.19 )</v>
          </cell>
          <cell r="D86" t="str">
            <v>1.4.19 )</v>
          </cell>
          <cell r="E86" t="str">
            <v>2.4.19 )</v>
          </cell>
          <cell r="F86" t="str">
            <v>3.4.19 )</v>
          </cell>
        </row>
        <row r="87">
          <cell r="B87" t="str">
            <v>84.0 )</v>
          </cell>
          <cell r="C87" t="str">
            <v>4.20 )</v>
          </cell>
          <cell r="D87" t="str">
            <v>1.4.20 )</v>
          </cell>
          <cell r="E87" t="str">
            <v>2.4.20 )</v>
          </cell>
          <cell r="F87" t="str">
            <v>3.4.20 )</v>
          </cell>
        </row>
        <row r="88">
          <cell r="B88" t="str">
            <v>85.0 )</v>
          </cell>
          <cell r="C88" t="str">
            <v>5.0 )</v>
          </cell>
          <cell r="D88" t="str">
            <v>1.5.0 )</v>
          </cell>
          <cell r="E88" t="str">
            <v>2.5.0 )</v>
          </cell>
          <cell r="F88" t="str">
            <v>3.5.0 )</v>
          </cell>
        </row>
        <row r="89">
          <cell r="B89" t="str">
            <v>86.0 )</v>
          </cell>
          <cell r="C89" t="str">
            <v>5.1 )</v>
          </cell>
          <cell r="D89" t="str">
            <v>1.5.1 )</v>
          </cell>
          <cell r="E89" t="str">
            <v>2.5.1 )</v>
          </cell>
          <cell r="F89" t="str">
            <v>3.5.1 )</v>
          </cell>
        </row>
        <row r="90">
          <cell r="B90" t="str">
            <v>87.0 )</v>
          </cell>
          <cell r="C90" t="str">
            <v>5.2 )</v>
          </cell>
          <cell r="D90" t="str">
            <v>1.5.2 )</v>
          </cell>
          <cell r="E90" t="str">
            <v>2.5.2 )</v>
          </cell>
          <cell r="F90" t="str">
            <v>3.5.2 )</v>
          </cell>
        </row>
        <row r="91">
          <cell r="B91" t="str">
            <v>88.0 )</v>
          </cell>
          <cell r="C91" t="str">
            <v>5.3 )</v>
          </cell>
          <cell r="D91" t="str">
            <v>1.5.3 )</v>
          </cell>
          <cell r="E91" t="str">
            <v>2.5.3 )</v>
          </cell>
          <cell r="F91" t="str">
            <v>3.5.3 )</v>
          </cell>
        </row>
        <row r="92">
          <cell r="B92" t="str">
            <v>89.0 )</v>
          </cell>
          <cell r="C92" t="str">
            <v>5.4 )</v>
          </cell>
          <cell r="D92" t="str">
            <v>1.5.4 )</v>
          </cell>
          <cell r="E92" t="str">
            <v>2.5.4 )</v>
          </cell>
          <cell r="F92" t="str">
            <v>3.5.4 )</v>
          </cell>
        </row>
        <row r="93">
          <cell r="B93" t="str">
            <v>90.0 )</v>
          </cell>
          <cell r="C93" t="str">
            <v>5.5 )</v>
          </cell>
          <cell r="D93" t="str">
            <v>1.5.5 )</v>
          </cell>
          <cell r="E93" t="str">
            <v>2.5.5 )</v>
          </cell>
          <cell r="F93" t="str">
            <v>3.5.5 )</v>
          </cell>
        </row>
        <row r="94">
          <cell r="B94" t="str">
            <v>91.0 )</v>
          </cell>
          <cell r="C94" t="str">
            <v>5.6 )</v>
          </cell>
          <cell r="D94" t="str">
            <v>1.5.6 )</v>
          </cell>
          <cell r="E94" t="str">
            <v>2.5.6 )</v>
          </cell>
          <cell r="F94" t="str">
            <v>3.5.6 )</v>
          </cell>
        </row>
        <row r="95">
          <cell r="B95" t="str">
            <v>92.0 )</v>
          </cell>
          <cell r="C95" t="str">
            <v>5.7 )</v>
          </cell>
          <cell r="D95" t="str">
            <v>1.5.7 )</v>
          </cell>
          <cell r="E95" t="str">
            <v>2.5.7 )</v>
          </cell>
          <cell r="F95" t="str">
            <v>3.5.7 )</v>
          </cell>
        </row>
        <row r="96">
          <cell r="B96" t="str">
            <v>93.0 )</v>
          </cell>
          <cell r="C96" t="str">
            <v>5.8 )</v>
          </cell>
          <cell r="D96" t="str">
            <v>1.5.8 )</v>
          </cell>
          <cell r="E96" t="str">
            <v>2.5.8 )</v>
          </cell>
          <cell r="F96" t="str">
            <v>3.5.8 )</v>
          </cell>
        </row>
        <row r="97">
          <cell r="B97" t="str">
            <v>94.0 )</v>
          </cell>
          <cell r="C97" t="str">
            <v>5.9 )</v>
          </cell>
          <cell r="D97" t="str">
            <v>1.5.9 )</v>
          </cell>
          <cell r="E97" t="str">
            <v>2.5.9 )</v>
          </cell>
          <cell r="F97" t="str">
            <v>3.5.9 )</v>
          </cell>
        </row>
        <row r="98">
          <cell r="B98" t="str">
            <v>95.0 )</v>
          </cell>
          <cell r="C98" t="str">
            <v>5.10 )</v>
          </cell>
          <cell r="D98" t="str">
            <v>1.5.10 )</v>
          </cell>
          <cell r="E98" t="str">
            <v>2.5.10 )</v>
          </cell>
          <cell r="F98" t="str">
            <v>3.5.10 )</v>
          </cell>
        </row>
        <row r="99">
          <cell r="B99" t="str">
            <v>96.0 )</v>
          </cell>
          <cell r="C99" t="str">
            <v>5.11 )</v>
          </cell>
          <cell r="D99" t="str">
            <v>1.5.11 )</v>
          </cell>
          <cell r="E99" t="str">
            <v>2.5.11 )</v>
          </cell>
          <cell r="F99" t="str">
            <v>3.5.11 )</v>
          </cell>
        </row>
        <row r="100">
          <cell r="B100" t="str">
            <v>97.0 )</v>
          </cell>
          <cell r="C100" t="str">
            <v>5.12 )</v>
          </cell>
          <cell r="D100" t="str">
            <v>1.5.12 )</v>
          </cell>
          <cell r="E100" t="str">
            <v>2.5.12 )</v>
          </cell>
          <cell r="F100" t="str">
            <v>3.5.12 )</v>
          </cell>
        </row>
        <row r="101">
          <cell r="B101" t="str">
            <v>98.0 )</v>
          </cell>
          <cell r="C101" t="str">
            <v>5.13 )</v>
          </cell>
          <cell r="D101" t="str">
            <v>1.5.13 )</v>
          </cell>
          <cell r="E101" t="str">
            <v>2.5.13 )</v>
          </cell>
          <cell r="F101" t="str">
            <v>3.5.13 )</v>
          </cell>
        </row>
        <row r="102">
          <cell r="B102" t="str">
            <v>99.0 )</v>
          </cell>
          <cell r="C102" t="str">
            <v>5.14 )</v>
          </cell>
          <cell r="D102" t="str">
            <v>1.5.14 )</v>
          </cell>
          <cell r="E102" t="str">
            <v>2.5.14 )</v>
          </cell>
          <cell r="F102" t="str">
            <v>3.5.14 )</v>
          </cell>
        </row>
        <row r="103">
          <cell r="B103" t="str">
            <v>100.0 )</v>
          </cell>
          <cell r="C103" t="str">
            <v>5.15 )</v>
          </cell>
          <cell r="D103" t="str">
            <v>1.5.15 )</v>
          </cell>
          <cell r="E103" t="str">
            <v>2.5.15 )</v>
          </cell>
          <cell r="F103" t="str">
            <v>3.5.15 )</v>
          </cell>
        </row>
        <row r="104">
          <cell r="B104" t="str">
            <v>101.0 )</v>
          </cell>
          <cell r="C104" t="str">
            <v>5.16 )</v>
          </cell>
          <cell r="D104" t="str">
            <v>1.5.16 )</v>
          </cell>
          <cell r="E104" t="str">
            <v>2.5.16 )</v>
          </cell>
          <cell r="F104" t="str">
            <v>3.5.16 )</v>
          </cell>
        </row>
        <row r="105">
          <cell r="B105" t="str">
            <v>102.0 )</v>
          </cell>
          <cell r="C105" t="str">
            <v>5.17 )</v>
          </cell>
          <cell r="D105" t="str">
            <v>1.5.17 )</v>
          </cell>
          <cell r="E105" t="str">
            <v>2.5.17 )</v>
          </cell>
          <cell r="F105" t="str">
            <v>3.5.17 )</v>
          </cell>
        </row>
        <row r="106">
          <cell r="B106" t="str">
            <v>103.0 )</v>
          </cell>
          <cell r="C106" t="str">
            <v>5.18 )</v>
          </cell>
          <cell r="D106" t="str">
            <v>1.5.18 )</v>
          </cell>
          <cell r="E106" t="str">
            <v>2.5.18 )</v>
          </cell>
          <cell r="F106" t="str">
            <v>3.5.18 )</v>
          </cell>
        </row>
        <row r="107">
          <cell r="B107" t="str">
            <v>104.0 )</v>
          </cell>
          <cell r="C107" t="str">
            <v>5.19 )</v>
          </cell>
          <cell r="D107" t="str">
            <v>1.5.19 )</v>
          </cell>
          <cell r="E107" t="str">
            <v>2.5.19 )</v>
          </cell>
          <cell r="F107" t="str">
            <v>3.5.19 )</v>
          </cell>
        </row>
        <row r="108">
          <cell r="B108" t="str">
            <v>105.0 )</v>
          </cell>
          <cell r="C108" t="str">
            <v>5.20 )</v>
          </cell>
          <cell r="D108" t="str">
            <v>1.5.20 )</v>
          </cell>
          <cell r="E108" t="str">
            <v>2.5.20 )</v>
          </cell>
          <cell r="F108" t="str">
            <v>3.5.20 )</v>
          </cell>
        </row>
        <row r="109">
          <cell r="B109" t="str">
            <v>106.0 )</v>
          </cell>
          <cell r="C109" t="str">
            <v>6.0 )</v>
          </cell>
          <cell r="D109" t="str">
            <v>1.6.0 )</v>
          </cell>
          <cell r="E109" t="str">
            <v>2.6.0 )</v>
          </cell>
          <cell r="F109" t="str">
            <v>3.6.0 )</v>
          </cell>
        </row>
        <row r="110">
          <cell r="B110" t="str">
            <v>107.0 )</v>
          </cell>
          <cell r="C110" t="str">
            <v>6.1 )</v>
          </cell>
          <cell r="D110" t="str">
            <v>1.6.1 )</v>
          </cell>
          <cell r="E110" t="str">
            <v>2.6.1 )</v>
          </cell>
          <cell r="F110" t="str">
            <v>3.6.1 )</v>
          </cell>
        </row>
        <row r="111">
          <cell r="B111" t="str">
            <v>108.0 )</v>
          </cell>
          <cell r="C111" t="str">
            <v>6.2 )</v>
          </cell>
          <cell r="D111" t="str">
            <v>1.6.2 )</v>
          </cell>
          <cell r="E111" t="str">
            <v>2.6.2 )</v>
          </cell>
          <cell r="F111" t="str">
            <v>3.6.2 )</v>
          </cell>
        </row>
        <row r="112">
          <cell r="B112" t="str">
            <v>109.0 )</v>
          </cell>
          <cell r="C112" t="str">
            <v>6.3 )</v>
          </cell>
          <cell r="D112" t="str">
            <v>1.6.3 )</v>
          </cell>
          <cell r="E112" t="str">
            <v>2.6.3 )</v>
          </cell>
          <cell r="F112" t="str">
            <v>3.6.3 )</v>
          </cell>
        </row>
        <row r="113">
          <cell r="B113" t="str">
            <v>110.0 )</v>
          </cell>
          <cell r="C113" t="str">
            <v>6.4 )</v>
          </cell>
          <cell r="D113" t="str">
            <v>1.6.4 )</v>
          </cell>
          <cell r="E113" t="str">
            <v>2.6.4 )</v>
          </cell>
          <cell r="F113" t="str">
            <v>3.6.4 )</v>
          </cell>
        </row>
        <row r="114">
          <cell r="B114" t="str">
            <v>111.0 )</v>
          </cell>
          <cell r="C114" t="str">
            <v>6.5 )</v>
          </cell>
          <cell r="D114" t="str">
            <v>1.6.5 )</v>
          </cell>
          <cell r="E114" t="str">
            <v>2.6.5 )</v>
          </cell>
          <cell r="F114" t="str">
            <v>3.6.5 )</v>
          </cell>
        </row>
        <row r="115">
          <cell r="B115" t="str">
            <v>112.0 )</v>
          </cell>
          <cell r="C115" t="str">
            <v>6.6 )</v>
          </cell>
          <cell r="D115" t="str">
            <v>1.6.6 )</v>
          </cell>
          <cell r="E115" t="str">
            <v>2.6.6 )</v>
          </cell>
          <cell r="F115" t="str">
            <v>3.6.6 )</v>
          </cell>
        </row>
        <row r="116">
          <cell r="B116" t="str">
            <v>113.0 )</v>
          </cell>
          <cell r="C116" t="str">
            <v>6.7 )</v>
          </cell>
          <cell r="D116" t="str">
            <v>1.6.7 )</v>
          </cell>
          <cell r="E116" t="str">
            <v>2.6.7 )</v>
          </cell>
          <cell r="F116" t="str">
            <v>3.6.7 )</v>
          </cell>
        </row>
        <row r="117">
          <cell r="B117" t="str">
            <v>114.0 )</v>
          </cell>
          <cell r="C117" t="str">
            <v>6.8 )</v>
          </cell>
          <cell r="D117" t="str">
            <v>1.6.8 )</v>
          </cell>
          <cell r="E117" t="str">
            <v>2.6.8 )</v>
          </cell>
          <cell r="F117" t="str">
            <v>3.6.8 )</v>
          </cell>
        </row>
        <row r="118">
          <cell r="B118" t="str">
            <v>115.0 )</v>
          </cell>
          <cell r="C118" t="str">
            <v>6.9 )</v>
          </cell>
          <cell r="D118" t="str">
            <v>1.6.9 )</v>
          </cell>
          <cell r="E118" t="str">
            <v>2.6.9 )</v>
          </cell>
          <cell r="F118" t="str">
            <v>3.6.9 )</v>
          </cell>
        </row>
        <row r="119">
          <cell r="B119" t="str">
            <v>116.0 )</v>
          </cell>
          <cell r="C119" t="str">
            <v>6.10 )</v>
          </cell>
          <cell r="D119" t="str">
            <v>1.6.10 )</v>
          </cell>
          <cell r="E119" t="str">
            <v>2.6.10 )</v>
          </cell>
          <cell r="F119" t="str">
            <v>3.6.10 )</v>
          </cell>
        </row>
        <row r="120">
          <cell r="B120" t="str">
            <v>117.0 )</v>
          </cell>
          <cell r="C120" t="str">
            <v>6.11 )</v>
          </cell>
          <cell r="D120" t="str">
            <v>1.6.11 )</v>
          </cell>
          <cell r="E120" t="str">
            <v>2.6.11 )</v>
          </cell>
          <cell r="F120" t="str">
            <v>3.6.11 )</v>
          </cell>
        </row>
        <row r="121">
          <cell r="B121" t="str">
            <v>118.0 )</v>
          </cell>
          <cell r="C121" t="str">
            <v>6.12 )</v>
          </cell>
          <cell r="D121" t="str">
            <v>1.6.12 )</v>
          </cell>
          <cell r="E121" t="str">
            <v>2.6.12 )</v>
          </cell>
          <cell r="F121" t="str">
            <v>3.6.12 )</v>
          </cell>
        </row>
        <row r="122">
          <cell r="B122" t="str">
            <v>119.0 )</v>
          </cell>
          <cell r="C122" t="str">
            <v>6.13 )</v>
          </cell>
          <cell r="D122" t="str">
            <v>1.6.13 )</v>
          </cell>
          <cell r="E122" t="str">
            <v>2.6.13 )</v>
          </cell>
          <cell r="F122" t="str">
            <v>3.6.13 )</v>
          </cell>
        </row>
        <row r="123">
          <cell r="B123" t="str">
            <v>120.0 )</v>
          </cell>
          <cell r="C123" t="str">
            <v>6.14 )</v>
          </cell>
          <cell r="D123" t="str">
            <v>1.6.14 )</v>
          </cell>
          <cell r="E123" t="str">
            <v>2.6.14 )</v>
          </cell>
          <cell r="F123" t="str">
            <v>3.6.14 )</v>
          </cell>
        </row>
        <row r="124">
          <cell r="B124" t="str">
            <v>121.0 )</v>
          </cell>
          <cell r="C124" t="str">
            <v>6.15 )</v>
          </cell>
          <cell r="D124" t="str">
            <v>1.6.15 )</v>
          </cell>
          <cell r="E124" t="str">
            <v>2.6.15 )</v>
          </cell>
          <cell r="F124" t="str">
            <v>3.6.15 )</v>
          </cell>
        </row>
        <row r="125">
          <cell r="B125" t="str">
            <v>122.0 )</v>
          </cell>
          <cell r="C125" t="str">
            <v>6.16 )</v>
          </cell>
          <cell r="D125" t="str">
            <v>1.6.16 )</v>
          </cell>
          <cell r="E125" t="str">
            <v>2.6.16 )</v>
          </cell>
          <cell r="F125" t="str">
            <v>3.6.16 )</v>
          </cell>
        </row>
        <row r="126">
          <cell r="B126" t="str">
            <v>123.0 )</v>
          </cell>
          <cell r="C126" t="str">
            <v>6.17 )</v>
          </cell>
          <cell r="D126" t="str">
            <v>1.6.17 )</v>
          </cell>
          <cell r="E126" t="str">
            <v>2.6.17 )</v>
          </cell>
          <cell r="F126" t="str">
            <v>3.6.17 )</v>
          </cell>
        </row>
        <row r="127">
          <cell r="B127" t="str">
            <v>124.0 )</v>
          </cell>
          <cell r="C127" t="str">
            <v>6.18 )</v>
          </cell>
          <cell r="D127" t="str">
            <v>1.6.18 )</v>
          </cell>
          <cell r="E127" t="str">
            <v>2.6.18 )</v>
          </cell>
          <cell r="F127" t="str">
            <v>3.6.18 )</v>
          </cell>
        </row>
        <row r="128">
          <cell r="B128" t="str">
            <v>125.0 )</v>
          </cell>
          <cell r="C128" t="str">
            <v>6.19 )</v>
          </cell>
          <cell r="D128" t="str">
            <v>1.6.19 )</v>
          </cell>
          <cell r="E128" t="str">
            <v>2.6.19 )</v>
          </cell>
          <cell r="F128" t="str">
            <v>3.6.19 )</v>
          </cell>
        </row>
        <row r="129">
          <cell r="B129" t="str">
            <v>126.0 )</v>
          </cell>
          <cell r="C129" t="str">
            <v>6.20 )</v>
          </cell>
          <cell r="D129" t="str">
            <v>1.6.20 )</v>
          </cell>
          <cell r="E129" t="str">
            <v>2.6.20 )</v>
          </cell>
          <cell r="F129" t="str">
            <v>3.6.20 )</v>
          </cell>
        </row>
        <row r="130">
          <cell r="B130" t="str">
            <v>127.0 )</v>
          </cell>
          <cell r="C130" t="str">
            <v>7.0 )</v>
          </cell>
          <cell r="D130" t="str">
            <v>1.7.0 )</v>
          </cell>
          <cell r="E130" t="str">
            <v>2.7.0 )</v>
          </cell>
          <cell r="F130" t="str">
            <v>3.7.0 )</v>
          </cell>
        </row>
        <row r="131">
          <cell r="B131" t="str">
            <v>128.0 )</v>
          </cell>
          <cell r="C131" t="str">
            <v>7.1 )</v>
          </cell>
          <cell r="D131" t="str">
            <v>1.7.1 )</v>
          </cell>
          <cell r="E131" t="str">
            <v>2.7.1 )</v>
          </cell>
          <cell r="F131" t="str">
            <v>3.7.1 )</v>
          </cell>
        </row>
        <row r="132">
          <cell r="B132" t="str">
            <v>129.0 )</v>
          </cell>
          <cell r="C132" t="str">
            <v>7.2 )</v>
          </cell>
          <cell r="D132" t="str">
            <v>1.7.2 )</v>
          </cell>
          <cell r="E132" t="str">
            <v>2.7.2 )</v>
          </cell>
          <cell r="F132" t="str">
            <v>3.7.2 )</v>
          </cell>
        </row>
        <row r="133">
          <cell r="B133" t="str">
            <v>130.0 )</v>
          </cell>
          <cell r="C133" t="str">
            <v>7.3 )</v>
          </cell>
          <cell r="D133" t="str">
            <v>1.7.3 )</v>
          </cell>
          <cell r="E133" t="str">
            <v>2.7.3 )</v>
          </cell>
          <cell r="F133" t="str">
            <v>3.7.3 )</v>
          </cell>
        </row>
        <row r="134">
          <cell r="B134" t="str">
            <v>131.0 )</v>
          </cell>
          <cell r="C134" t="str">
            <v>7.4 )</v>
          </cell>
          <cell r="D134" t="str">
            <v>1.7.4 )</v>
          </cell>
          <cell r="E134" t="str">
            <v>2.7.4 )</v>
          </cell>
          <cell r="F134" t="str">
            <v>3.7.4 )</v>
          </cell>
        </row>
        <row r="135">
          <cell r="B135" t="str">
            <v>132.0 )</v>
          </cell>
          <cell r="C135" t="str">
            <v>7.5 )</v>
          </cell>
          <cell r="D135" t="str">
            <v>1.7.5 )</v>
          </cell>
          <cell r="E135" t="str">
            <v>2.7.5 )</v>
          </cell>
          <cell r="F135" t="str">
            <v>3.7.5 )</v>
          </cell>
        </row>
        <row r="136">
          <cell r="B136" t="str">
            <v>133.0 )</v>
          </cell>
          <cell r="C136" t="str">
            <v>7.6 )</v>
          </cell>
          <cell r="D136" t="str">
            <v>1.7.6 )</v>
          </cell>
          <cell r="E136" t="str">
            <v>2.7.6 )</v>
          </cell>
          <cell r="F136" t="str">
            <v>3.7.6 )</v>
          </cell>
        </row>
        <row r="137">
          <cell r="B137" t="str">
            <v>134.0 )</v>
          </cell>
          <cell r="C137" t="str">
            <v>7.7 )</v>
          </cell>
          <cell r="D137" t="str">
            <v>1.7.7 )</v>
          </cell>
          <cell r="E137" t="str">
            <v>2.7.7 )</v>
          </cell>
          <cell r="F137" t="str">
            <v>3.7.7 )</v>
          </cell>
        </row>
        <row r="138">
          <cell r="B138" t="str">
            <v>135.0 )</v>
          </cell>
          <cell r="C138" t="str">
            <v>7.8 )</v>
          </cell>
          <cell r="D138" t="str">
            <v>1.7.8 )</v>
          </cell>
          <cell r="E138" t="str">
            <v>2.7.8 )</v>
          </cell>
          <cell r="F138" t="str">
            <v>3.7.8 )</v>
          </cell>
        </row>
        <row r="139">
          <cell r="B139" t="str">
            <v>136.0 )</v>
          </cell>
          <cell r="C139" t="str">
            <v>7.9 )</v>
          </cell>
          <cell r="D139" t="str">
            <v>1.7.9 )</v>
          </cell>
          <cell r="E139" t="str">
            <v>2.7.9 )</v>
          </cell>
          <cell r="F139" t="str">
            <v>3.7.9 )</v>
          </cell>
        </row>
        <row r="140">
          <cell r="B140" t="str">
            <v>137.0 )</v>
          </cell>
          <cell r="C140" t="str">
            <v>7.10 )</v>
          </cell>
          <cell r="D140" t="str">
            <v>1.7.10 )</v>
          </cell>
          <cell r="E140" t="str">
            <v>2.7.10 )</v>
          </cell>
          <cell r="F140" t="str">
            <v>3.7.10 )</v>
          </cell>
        </row>
        <row r="141">
          <cell r="B141" t="str">
            <v>138.0 )</v>
          </cell>
          <cell r="C141" t="str">
            <v>7.11 )</v>
          </cell>
          <cell r="D141" t="str">
            <v>1.7.11 )</v>
          </cell>
          <cell r="E141" t="str">
            <v>2.7.11 )</v>
          </cell>
          <cell r="F141" t="str">
            <v>3.7.11 )</v>
          </cell>
        </row>
        <row r="142">
          <cell r="B142" t="str">
            <v>139.0 )</v>
          </cell>
          <cell r="C142" t="str">
            <v>7.12 )</v>
          </cell>
          <cell r="D142" t="str">
            <v>1.7.12 )</v>
          </cell>
          <cell r="E142" t="str">
            <v>2.7.12 )</v>
          </cell>
          <cell r="F142" t="str">
            <v>3.7.12 )</v>
          </cell>
        </row>
        <row r="143">
          <cell r="B143" t="str">
            <v>140.0 )</v>
          </cell>
          <cell r="C143" t="str">
            <v>7.13 )</v>
          </cell>
          <cell r="D143" t="str">
            <v>1.7.13 )</v>
          </cell>
          <cell r="E143" t="str">
            <v>2.7.13 )</v>
          </cell>
          <cell r="F143" t="str">
            <v>3.7.13 )</v>
          </cell>
        </row>
        <row r="144">
          <cell r="B144" t="str">
            <v>141.0 )</v>
          </cell>
          <cell r="C144" t="str">
            <v>7.14 )</v>
          </cell>
          <cell r="D144" t="str">
            <v>1.7.14 )</v>
          </cell>
          <cell r="E144" t="str">
            <v>2.7.14 )</v>
          </cell>
          <cell r="F144" t="str">
            <v>3.7.14 )</v>
          </cell>
        </row>
        <row r="145">
          <cell r="B145" t="str">
            <v>142.0 )</v>
          </cell>
          <cell r="C145" t="str">
            <v>7.15 )</v>
          </cell>
          <cell r="D145" t="str">
            <v>1.7.15 )</v>
          </cell>
          <cell r="E145" t="str">
            <v>2.7.15 )</v>
          </cell>
          <cell r="F145" t="str">
            <v>3.7.15 )</v>
          </cell>
        </row>
        <row r="146">
          <cell r="B146" t="str">
            <v>143.0 )</v>
          </cell>
          <cell r="C146" t="str">
            <v>7.16 )</v>
          </cell>
          <cell r="D146" t="str">
            <v>1.7.16 )</v>
          </cell>
          <cell r="E146" t="str">
            <v>2.7.16 )</v>
          </cell>
          <cell r="F146" t="str">
            <v>3.7.16 )</v>
          </cell>
        </row>
        <row r="147">
          <cell r="B147" t="str">
            <v>144.0 )</v>
          </cell>
          <cell r="C147" t="str">
            <v>7.17 )</v>
          </cell>
          <cell r="D147" t="str">
            <v>1.7.17 )</v>
          </cell>
          <cell r="E147" t="str">
            <v>2.7.17 )</v>
          </cell>
          <cell r="F147" t="str">
            <v>3.7.17 )</v>
          </cell>
        </row>
        <row r="148">
          <cell r="B148" t="str">
            <v>145.0 )</v>
          </cell>
          <cell r="C148" t="str">
            <v>7.18 )</v>
          </cell>
          <cell r="D148" t="str">
            <v>1.7.18 )</v>
          </cell>
          <cell r="E148" t="str">
            <v>2.7.18 )</v>
          </cell>
          <cell r="F148" t="str">
            <v>3.7.18 )</v>
          </cell>
        </row>
        <row r="149">
          <cell r="B149" t="str">
            <v>146.0 )</v>
          </cell>
          <cell r="C149" t="str">
            <v>7.19 )</v>
          </cell>
          <cell r="D149" t="str">
            <v>1.7.19 )</v>
          </cell>
          <cell r="E149" t="str">
            <v>2.7.19 )</v>
          </cell>
          <cell r="F149" t="str">
            <v>3.7.19 )</v>
          </cell>
        </row>
        <row r="150">
          <cell r="B150" t="str">
            <v>147.0 )</v>
          </cell>
          <cell r="C150" t="str">
            <v>7.20 )</v>
          </cell>
          <cell r="D150" t="str">
            <v>1.7.20 )</v>
          </cell>
          <cell r="E150" t="str">
            <v>2.7.20 )</v>
          </cell>
          <cell r="F150" t="str">
            <v>3.7.20 )</v>
          </cell>
        </row>
        <row r="151">
          <cell r="B151" t="str">
            <v>148.0 )</v>
          </cell>
          <cell r="C151" t="str">
            <v>8.0 )</v>
          </cell>
          <cell r="D151" t="str">
            <v>1.8.0 )</v>
          </cell>
          <cell r="E151" t="str">
            <v>2.8.0 )</v>
          </cell>
          <cell r="F151" t="str">
            <v>3.8.0 )</v>
          </cell>
        </row>
        <row r="152">
          <cell r="B152" t="str">
            <v>149.0 )</v>
          </cell>
          <cell r="C152" t="str">
            <v>8.1 )</v>
          </cell>
          <cell r="D152" t="str">
            <v>1.8.1 )</v>
          </cell>
          <cell r="E152" t="str">
            <v>2.8.1 )</v>
          </cell>
          <cell r="F152" t="str">
            <v>3.8.1 )</v>
          </cell>
        </row>
        <row r="153">
          <cell r="B153" t="str">
            <v>150.0 )</v>
          </cell>
          <cell r="C153" t="str">
            <v>8.2 )</v>
          </cell>
          <cell r="D153" t="str">
            <v>1.8.2 )</v>
          </cell>
          <cell r="E153" t="str">
            <v>2.8.2 )</v>
          </cell>
          <cell r="F153" t="str">
            <v>3.8.2 )</v>
          </cell>
        </row>
        <row r="154">
          <cell r="B154" t="str">
            <v>151.0 )</v>
          </cell>
          <cell r="C154" t="str">
            <v>8.3 )</v>
          </cell>
          <cell r="D154" t="str">
            <v>1.8.3 )</v>
          </cell>
          <cell r="E154" t="str">
            <v>2.8.3 )</v>
          </cell>
          <cell r="F154" t="str">
            <v>3.8.3 )</v>
          </cell>
        </row>
        <row r="155">
          <cell r="B155" t="str">
            <v>152.0 )</v>
          </cell>
          <cell r="C155" t="str">
            <v>8.4 )</v>
          </cell>
          <cell r="D155" t="str">
            <v>1.8.4 )</v>
          </cell>
          <cell r="E155" t="str">
            <v>2.8.4 )</v>
          </cell>
          <cell r="F155" t="str">
            <v>3.8.4 )</v>
          </cell>
        </row>
        <row r="156">
          <cell r="B156" t="str">
            <v>153.0 )</v>
          </cell>
          <cell r="C156" t="str">
            <v>8.5 )</v>
          </cell>
          <cell r="D156" t="str">
            <v>1.8.5 )</v>
          </cell>
          <cell r="E156" t="str">
            <v>2.8.5 )</v>
          </cell>
          <cell r="F156" t="str">
            <v>3.8.5 )</v>
          </cell>
        </row>
        <row r="157">
          <cell r="B157" t="str">
            <v>154.0 )</v>
          </cell>
          <cell r="C157" t="str">
            <v>8.6 )</v>
          </cell>
          <cell r="D157" t="str">
            <v>1.8.6 )</v>
          </cell>
          <cell r="E157" t="str">
            <v>2.8.6 )</v>
          </cell>
          <cell r="F157" t="str">
            <v>3.8.6 )</v>
          </cell>
        </row>
        <row r="158">
          <cell r="B158" t="str">
            <v>155.0 )</v>
          </cell>
          <cell r="C158" t="str">
            <v>8.7 )</v>
          </cell>
          <cell r="D158" t="str">
            <v>1.8.7 )</v>
          </cell>
          <cell r="E158" t="str">
            <v>2.8.7 )</v>
          </cell>
          <cell r="F158" t="str">
            <v>3.8.7 )</v>
          </cell>
        </row>
        <row r="159">
          <cell r="B159" t="str">
            <v>156.0 )</v>
          </cell>
          <cell r="C159" t="str">
            <v>8.8 )</v>
          </cell>
          <cell r="D159" t="str">
            <v>1.8.8 )</v>
          </cell>
          <cell r="E159" t="str">
            <v>2.8.8 )</v>
          </cell>
          <cell r="F159" t="str">
            <v>3.8.8 )</v>
          </cell>
        </row>
        <row r="160">
          <cell r="B160" t="str">
            <v>157.0 )</v>
          </cell>
          <cell r="C160" t="str">
            <v>8.9 )</v>
          </cell>
          <cell r="D160" t="str">
            <v>1.8.9 )</v>
          </cell>
          <cell r="E160" t="str">
            <v>2.8.9 )</v>
          </cell>
          <cell r="F160" t="str">
            <v>3.8.9 )</v>
          </cell>
        </row>
        <row r="161">
          <cell r="B161" t="str">
            <v>158.0 )</v>
          </cell>
          <cell r="C161" t="str">
            <v>8.10 )</v>
          </cell>
          <cell r="D161" t="str">
            <v>1.8.10 )</v>
          </cell>
          <cell r="E161" t="str">
            <v>2.8.10 )</v>
          </cell>
          <cell r="F161" t="str">
            <v>3.8.10 )</v>
          </cell>
        </row>
        <row r="162">
          <cell r="B162" t="str">
            <v>159.0 )</v>
          </cell>
          <cell r="C162" t="str">
            <v>8.11 )</v>
          </cell>
          <cell r="D162" t="str">
            <v>1.8.11 )</v>
          </cell>
          <cell r="E162" t="str">
            <v>2.8.11 )</v>
          </cell>
          <cell r="F162" t="str">
            <v>3.8.11 )</v>
          </cell>
        </row>
        <row r="163">
          <cell r="B163" t="str">
            <v>160.0 )</v>
          </cell>
          <cell r="C163" t="str">
            <v>8.12 )</v>
          </cell>
          <cell r="D163" t="str">
            <v>1.8.12 )</v>
          </cell>
          <cell r="E163" t="str">
            <v>2.8.12 )</v>
          </cell>
          <cell r="F163" t="str">
            <v>3.8.12 )</v>
          </cell>
        </row>
        <row r="164">
          <cell r="B164" t="str">
            <v>161.0 )</v>
          </cell>
          <cell r="C164" t="str">
            <v>8.13 )</v>
          </cell>
          <cell r="D164" t="str">
            <v>1.8.13 )</v>
          </cell>
          <cell r="E164" t="str">
            <v>2.8.13 )</v>
          </cell>
          <cell r="F164" t="str">
            <v>3.8.13 )</v>
          </cell>
        </row>
        <row r="165">
          <cell r="B165" t="str">
            <v>162.0 )</v>
          </cell>
          <cell r="C165" t="str">
            <v>8.14 )</v>
          </cell>
          <cell r="D165" t="str">
            <v>1.8.14 )</v>
          </cell>
          <cell r="E165" t="str">
            <v>2.8.14 )</v>
          </cell>
          <cell r="F165" t="str">
            <v>3.8.14 )</v>
          </cell>
        </row>
        <row r="166">
          <cell r="B166" t="str">
            <v>163.0 )</v>
          </cell>
          <cell r="C166" t="str">
            <v>8.15 )</v>
          </cell>
          <cell r="D166" t="str">
            <v>1.8.15 )</v>
          </cell>
          <cell r="E166" t="str">
            <v>2.8.15 )</v>
          </cell>
          <cell r="F166" t="str">
            <v>3.8.15 )</v>
          </cell>
        </row>
        <row r="167">
          <cell r="B167" t="str">
            <v>164.0 )</v>
          </cell>
          <cell r="C167" t="str">
            <v>8.16 )</v>
          </cell>
          <cell r="D167" t="str">
            <v>1.8.16 )</v>
          </cell>
          <cell r="E167" t="str">
            <v>2.8.16 )</v>
          </cell>
          <cell r="F167" t="str">
            <v>3.8.16 )</v>
          </cell>
        </row>
        <row r="168">
          <cell r="B168" t="str">
            <v>165.0 )</v>
          </cell>
          <cell r="C168" t="str">
            <v>8.17 )</v>
          </cell>
          <cell r="D168" t="str">
            <v>1.8.17 )</v>
          </cell>
          <cell r="E168" t="str">
            <v>2.8.17 )</v>
          </cell>
          <cell r="F168" t="str">
            <v>3.8.17 )</v>
          </cell>
        </row>
        <row r="169">
          <cell r="B169" t="str">
            <v>166.0 )</v>
          </cell>
          <cell r="C169" t="str">
            <v>8.18 )</v>
          </cell>
          <cell r="D169" t="str">
            <v>1.8.18 )</v>
          </cell>
          <cell r="E169" t="str">
            <v>2.8.18 )</v>
          </cell>
          <cell r="F169" t="str">
            <v>3.8.18 )</v>
          </cell>
        </row>
        <row r="170">
          <cell r="B170" t="str">
            <v>167.0 )</v>
          </cell>
          <cell r="C170" t="str">
            <v>8.19 )</v>
          </cell>
          <cell r="D170" t="str">
            <v>1.8.19 )</v>
          </cell>
          <cell r="E170" t="str">
            <v>2.8.19 )</v>
          </cell>
          <cell r="F170" t="str">
            <v>3.8.19 )</v>
          </cell>
        </row>
        <row r="171">
          <cell r="B171" t="str">
            <v>168.0 )</v>
          </cell>
          <cell r="C171" t="str">
            <v>8.20 )</v>
          </cell>
          <cell r="D171" t="str">
            <v>1.8.20 )</v>
          </cell>
          <cell r="E171" t="str">
            <v>2.8.20 )</v>
          </cell>
          <cell r="F171" t="str">
            <v>3.8.20 )</v>
          </cell>
        </row>
        <row r="172">
          <cell r="B172" t="str">
            <v>169.0 )</v>
          </cell>
          <cell r="C172" t="str">
            <v>9.0 )</v>
          </cell>
          <cell r="D172" t="str">
            <v>1.9.0 )</v>
          </cell>
          <cell r="E172" t="str">
            <v>2.9.0 )</v>
          </cell>
          <cell r="F172" t="str">
            <v>3.9.0 )</v>
          </cell>
        </row>
        <row r="173">
          <cell r="B173" t="str">
            <v>170.0 )</v>
          </cell>
          <cell r="C173" t="str">
            <v>9.1 )</v>
          </cell>
          <cell r="D173" t="str">
            <v>1.9.1 )</v>
          </cell>
          <cell r="E173" t="str">
            <v>2.9.1 )</v>
          </cell>
          <cell r="F173" t="str">
            <v>3.9.1 )</v>
          </cell>
        </row>
        <row r="174">
          <cell r="B174" t="str">
            <v>171.0 )</v>
          </cell>
          <cell r="C174" t="str">
            <v>9.2 )</v>
          </cell>
          <cell r="D174" t="str">
            <v>1.9.2 )</v>
          </cell>
          <cell r="E174" t="str">
            <v>2.9.2 )</v>
          </cell>
          <cell r="F174" t="str">
            <v>3.9.2 )</v>
          </cell>
        </row>
        <row r="175">
          <cell r="B175" t="str">
            <v>172.0 )</v>
          </cell>
          <cell r="C175" t="str">
            <v>9.3 )</v>
          </cell>
          <cell r="D175" t="str">
            <v>1.9.3 )</v>
          </cell>
          <cell r="E175" t="str">
            <v>2.9.3 )</v>
          </cell>
          <cell r="F175" t="str">
            <v>3.9.3 )</v>
          </cell>
        </row>
        <row r="176">
          <cell r="B176" t="str">
            <v>173.0 )</v>
          </cell>
          <cell r="C176" t="str">
            <v>9.4 )</v>
          </cell>
          <cell r="D176" t="str">
            <v>1.9.4 )</v>
          </cell>
          <cell r="E176" t="str">
            <v>2.9.4 )</v>
          </cell>
          <cell r="F176" t="str">
            <v>3.9.4 )</v>
          </cell>
        </row>
        <row r="177">
          <cell r="B177" t="str">
            <v>174.0 )</v>
          </cell>
          <cell r="C177" t="str">
            <v>9.5 )</v>
          </cell>
          <cell r="D177" t="str">
            <v>1.9.5 )</v>
          </cell>
          <cell r="E177" t="str">
            <v>2.9.5 )</v>
          </cell>
          <cell r="F177" t="str">
            <v>3.9.5 )</v>
          </cell>
        </row>
        <row r="178">
          <cell r="B178" t="str">
            <v>175.0 )</v>
          </cell>
          <cell r="C178" t="str">
            <v>9.6 )</v>
          </cell>
          <cell r="D178" t="str">
            <v>1.9.6 )</v>
          </cell>
          <cell r="E178" t="str">
            <v>2.9.6 )</v>
          </cell>
          <cell r="F178" t="str">
            <v>3.9.6 )</v>
          </cell>
        </row>
        <row r="179">
          <cell r="B179" t="str">
            <v>176.0 )</v>
          </cell>
          <cell r="C179" t="str">
            <v>9.7 )</v>
          </cell>
          <cell r="D179" t="str">
            <v>1.9.7 )</v>
          </cell>
          <cell r="E179" t="str">
            <v>2.9.7 )</v>
          </cell>
          <cell r="F179" t="str">
            <v>3.9.7 )</v>
          </cell>
        </row>
        <row r="180">
          <cell r="B180" t="str">
            <v>177.0 )</v>
          </cell>
          <cell r="C180" t="str">
            <v>9.8 )</v>
          </cell>
          <cell r="D180" t="str">
            <v>1.9.8 )</v>
          </cell>
          <cell r="E180" t="str">
            <v>2.9.8 )</v>
          </cell>
          <cell r="F180" t="str">
            <v>3.9.8 )</v>
          </cell>
        </row>
        <row r="181">
          <cell r="B181" t="str">
            <v>178.0 )</v>
          </cell>
          <cell r="C181" t="str">
            <v>9.9 )</v>
          </cell>
          <cell r="D181" t="str">
            <v>1.9.9 )</v>
          </cell>
          <cell r="E181" t="str">
            <v>2.9.9 )</v>
          </cell>
          <cell r="F181" t="str">
            <v>3.9.9 )</v>
          </cell>
        </row>
        <row r="182">
          <cell r="B182" t="str">
            <v>179.0 )</v>
          </cell>
          <cell r="C182" t="str">
            <v>9.10 )</v>
          </cell>
          <cell r="D182" t="str">
            <v>1.9.10 )</v>
          </cell>
          <cell r="E182" t="str">
            <v>2.9.10 )</v>
          </cell>
          <cell r="F182" t="str">
            <v>3.9.10 )</v>
          </cell>
        </row>
        <row r="183">
          <cell r="B183" t="str">
            <v>180.0 )</v>
          </cell>
          <cell r="C183" t="str">
            <v>9.11 )</v>
          </cell>
          <cell r="D183" t="str">
            <v>1.9.11 )</v>
          </cell>
          <cell r="E183" t="str">
            <v>2.9.11 )</v>
          </cell>
          <cell r="F183" t="str">
            <v>3.9.11 )</v>
          </cell>
        </row>
        <row r="184">
          <cell r="B184" t="str">
            <v>181.0 )</v>
          </cell>
          <cell r="C184" t="str">
            <v>9.12 )</v>
          </cell>
          <cell r="D184" t="str">
            <v>1.9.12 )</v>
          </cell>
          <cell r="E184" t="str">
            <v>2.9.12 )</v>
          </cell>
          <cell r="F184" t="str">
            <v>3.9.12 )</v>
          </cell>
        </row>
        <row r="185">
          <cell r="B185" t="str">
            <v>182.0 )</v>
          </cell>
          <cell r="C185" t="str">
            <v>9.13 )</v>
          </cell>
          <cell r="D185" t="str">
            <v>1.9.13 )</v>
          </cell>
          <cell r="E185" t="str">
            <v>2.9.13 )</v>
          </cell>
          <cell r="F185" t="str">
            <v>3.9.13 )</v>
          </cell>
        </row>
        <row r="186">
          <cell r="B186" t="str">
            <v>183.0 )</v>
          </cell>
          <cell r="C186" t="str">
            <v>9.14 )</v>
          </cell>
          <cell r="D186" t="str">
            <v>1.9.14 )</v>
          </cell>
          <cell r="E186" t="str">
            <v>2.9.14 )</v>
          </cell>
          <cell r="F186" t="str">
            <v>3.9.14 )</v>
          </cell>
        </row>
        <row r="187">
          <cell r="B187" t="str">
            <v>184.0 )</v>
          </cell>
          <cell r="C187" t="str">
            <v>9.15 )</v>
          </cell>
          <cell r="D187" t="str">
            <v>1.9.15 )</v>
          </cell>
          <cell r="E187" t="str">
            <v>2.9.15 )</v>
          </cell>
          <cell r="F187" t="str">
            <v>3.9.15 )</v>
          </cell>
        </row>
        <row r="188">
          <cell r="B188" t="str">
            <v>185.0 )</v>
          </cell>
          <cell r="C188" t="str">
            <v>9.16 )</v>
          </cell>
          <cell r="D188" t="str">
            <v>1.9.16 )</v>
          </cell>
          <cell r="E188" t="str">
            <v>2.9.16 )</v>
          </cell>
          <cell r="F188" t="str">
            <v>3.9.16 )</v>
          </cell>
        </row>
        <row r="189">
          <cell r="B189" t="str">
            <v>186.0 )</v>
          </cell>
          <cell r="C189" t="str">
            <v>9.17 )</v>
          </cell>
          <cell r="D189" t="str">
            <v>1.9.17 )</v>
          </cell>
          <cell r="E189" t="str">
            <v>2.9.17 )</v>
          </cell>
          <cell r="F189" t="str">
            <v>3.9.17 )</v>
          </cell>
        </row>
        <row r="190">
          <cell r="B190" t="str">
            <v>187.0 )</v>
          </cell>
          <cell r="C190" t="str">
            <v>9.18 )</v>
          </cell>
          <cell r="D190" t="str">
            <v>1.9.18 )</v>
          </cell>
          <cell r="E190" t="str">
            <v>2.9.18 )</v>
          </cell>
          <cell r="F190" t="str">
            <v>3.9.18 )</v>
          </cell>
        </row>
        <row r="191">
          <cell r="B191" t="str">
            <v>188.0 )</v>
          </cell>
          <cell r="C191" t="str">
            <v>9.19 )</v>
          </cell>
          <cell r="D191" t="str">
            <v>1.9.19 )</v>
          </cell>
          <cell r="E191" t="str">
            <v>2.9.19 )</v>
          </cell>
          <cell r="F191" t="str">
            <v>3.9.19 )</v>
          </cell>
        </row>
        <row r="192">
          <cell r="B192" t="str">
            <v>189.0 )</v>
          </cell>
          <cell r="C192" t="str">
            <v>9.20 )</v>
          </cell>
          <cell r="D192" t="str">
            <v>1.9.20 )</v>
          </cell>
          <cell r="E192" t="str">
            <v>2.9.20 )</v>
          </cell>
          <cell r="F192" t="str">
            <v>3.9.20 )</v>
          </cell>
        </row>
        <row r="193">
          <cell r="B193" t="str">
            <v>190.0 )</v>
          </cell>
          <cell r="C193" t="str">
            <v>10.0 )</v>
          </cell>
          <cell r="D193" t="str">
            <v>1.10.0 )</v>
          </cell>
          <cell r="E193" t="str">
            <v>2.10.0 )</v>
          </cell>
          <cell r="F193" t="str">
            <v>3.10.0 )</v>
          </cell>
        </row>
        <row r="194">
          <cell r="B194" t="str">
            <v>191.0 )</v>
          </cell>
          <cell r="C194" t="str">
            <v>10.1 )</v>
          </cell>
          <cell r="D194" t="str">
            <v>1.10.1 )</v>
          </cell>
          <cell r="E194" t="str">
            <v>2.10.1 )</v>
          </cell>
          <cell r="F194" t="str">
            <v>3.10.1 )</v>
          </cell>
        </row>
        <row r="195">
          <cell r="B195" t="str">
            <v>192.0 )</v>
          </cell>
          <cell r="C195" t="str">
            <v>10.2 )</v>
          </cell>
          <cell r="D195" t="str">
            <v>1.10.2 )</v>
          </cell>
          <cell r="E195" t="str">
            <v>2.10.2 )</v>
          </cell>
          <cell r="F195" t="str">
            <v>3.10.2 )</v>
          </cell>
        </row>
        <row r="196">
          <cell r="B196" t="str">
            <v>193.0 )</v>
          </cell>
          <cell r="C196" t="str">
            <v>10.3 )</v>
          </cell>
          <cell r="D196" t="str">
            <v>1.10.3 )</v>
          </cell>
          <cell r="E196" t="str">
            <v>2.10.3 )</v>
          </cell>
          <cell r="F196" t="str">
            <v>3.10.3 )</v>
          </cell>
        </row>
        <row r="197">
          <cell r="B197" t="str">
            <v>194.0 )</v>
          </cell>
          <cell r="C197" t="str">
            <v>10.4 )</v>
          </cell>
          <cell r="D197" t="str">
            <v>1.10.4 )</v>
          </cell>
          <cell r="E197" t="str">
            <v>2.10.4 )</v>
          </cell>
          <cell r="F197" t="str">
            <v>3.10.4 )</v>
          </cell>
        </row>
        <row r="198">
          <cell r="B198" t="str">
            <v>195.0 )</v>
          </cell>
          <cell r="C198" t="str">
            <v>10.5 )</v>
          </cell>
          <cell r="D198" t="str">
            <v>1.10.5 )</v>
          </cell>
          <cell r="E198" t="str">
            <v>2.10.5 )</v>
          </cell>
          <cell r="F198" t="str">
            <v>3.10.5 )</v>
          </cell>
        </row>
        <row r="199">
          <cell r="B199" t="str">
            <v>196.0 )</v>
          </cell>
          <cell r="C199" t="str">
            <v>10.6 )</v>
          </cell>
          <cell r="D199" t="str">
            <v>1.10.6 )</v>
          </cell>
          <cell r="E199" t="str">
            <v>2.10.6 )</v>
          </cell>
          <cell r="F199" t="str">
            <v>3.10.6 )</v>
          </cell>
        </row>
        <row r="200">
          <cell r="B200" t="str">
            <v>197.0 )</v>
          </cell>
          <cell r="C200" t="str">
            <v>10.7 )</v>
          </cell>
          <cell r="D200" t="str">
            <v>1.10.7 )</v>
          </cell>
          <cell r="E200" t="str">
            <v>2.10.7 )</v>
          </cell>
          <cell r="F200" t="str">
            <v>3.10.7 )</v>
          </cell>
        </row>
        <row r="201">
          <cell r="B201" t="str">
            <v>198.0 )</v>
          </cell>
          <cell r="C201" t="str">
            <v>10.8 )</v>
          </cell>
          <cell r="D201" t="str">
            <v>1.10.8 )</v>
          </cell>
          <cell r="E201" t="str">
            <v>2.10.8 )</v>
          </cell>
          <cell r="F201" t="str">
            <v>3.10.8 )</v>
          </cell>
        </row>
        <row r="202">
          <cell r="B202" t="str">
            <v>199.0 )</v>
          </cell>
          <cell r="C202" t="str">
            <v>10.9 )</v>
          </cell>
          <cell r="D202" t="str">
            <v>1.10.9 )</v>
          </cell>
          <cell r="E202" t="str">
            <v>2.10.9 )</v>
          </cell>
          <cell r="F202" t="str">
            <v>3.10.9 )</v>
          </cell>
        </row>
        <row r="203">
          <cell r="B203" t="str">
            <v>200.0 )</v>
          </cell>
          <cell r="C203" t="str">
            <v>10.10 )</v>
          </cell>
          <cell r="D203" t="str">
            <v>1.10.10 )</v>
          </cell>
          <cell r="E203" t="str">
            <v>2.10.10 )</v>
          </cell>
          <cell r="F203" t="str">
            <v>3.10.10 )</v>
          </cell>
        </row>
        <row r="204">
          <cell r="B204" t="str">
            <v>201.0 )</v>
          </cell>
          <cell r="C204" t="str">
            <v>10.11 )</v>
          </cell>
          <cell r="D204" t="str">
            <v>1.10.11 )</v>
          </cell>
          <cell r="E204" t="str">
            <v>2.10.11 )</v>
          </cell>
          <cell r="F204" t="str">
            <v>3.10.11 )</v>
          </cell>
        </row>
        <row r="205">
          <cell r="B205" t="str">
            <v>202.0 )</v>
          </cell>
          <cell r="C205" t="str">
            <v>10.12 )</v>
          </cell>
          <cell r="D205" t="str">
            <v>1.10.12 )</v>
          </cell>
          <cell r="E205" t="str">
            <v>2.10.12 )</v>
          </cell>
          <cell r="F205" t="str">
            <v>3.10.12 )</v>
          </cell>
        </row>
        <row r="206">
          <cell r="B206" t="str">
            <v>203.0 )</v>
          </cell>
          <cell r="C206" t="str">
            <v>10.13 )</v>
          </cell>
          <cell r="D206" t="str">
            <v>1.10.13 )</v>
          </cell>
          <cell r="E206" t="str">
            <v>2.10.13 )</v>
          </cell>
          <cell r="F206" t="str">
            <v>3.10.13 )</v>
          </cell>
        </row>
        <row r="207">
          <cell r="B207" t="str">
            <v>204.0 )</v>
          </cell>
          <cell r="C207" t="str">
            <v>10.14 )</v>
          </cell>
          <cell r="D207" t="str">
            <v>1.10.14 )</v>
          </cell>
          <cell r="E207" t="str">
            <v>2.10.14 )</v>
          </cell>
          <cell r="F207" t="str">
            <v>3.10.14 )</v>
          </cell>
        </row>
        <row r="208">
          <cell r="B208" t="str">
            <v>205.0 )</v>
          </cell>
          <cell r="C208" t="str">
            <v>10.15 )</v>
          </cell>
          <cell r="D208" t="str">
            <v>1.10.15 )</v>
          </cell>
          <cell r="E208" t="str">
            <v>2.10.15 )</v>
          </cell>
          <cell r="F208" t="str">
            <v>3.10.15 )</v>
          </cell>
        </row>
        <row r="209">
          <cell r="B209" t="str">
            <v>206.0 )</v>
          </cell>
          <cell r="C209" t="str">
            <v>10.16 )</v>
          </cell>
          <cell r="D209" t="str">
            <v>1.10.16 )</v>
          </cell>
          <cell r="E209" t="str">
            <v>2.10.16 )</v>
          </cell>
          <cell r="F209" t="str">
            <v>3.10.16 )</v>
          </cell>
        </row>
        <row r="210">
          <cell r="B210" t="str">
            <v>207.0 )</v>
          </cell>
          <cell r="C210" t="str">
            <v>10.17 )</v>
          </cell>
          <cell r="D210" t="str">
            <v>1.10.17 )</v>
          </cell>
          <cell r="E210" t="str">
            <v>2.10.17 )</v>
          </cell>
          <cell r="F210" t="str">
            <v>3.10.17 )</v>
          </cell>
        </row>
        <row r="211">
          <cell r="B211" t="str">
            <v>208.0 )</v>
          </cell>
          <cell r="C211" t="str">
            <v>10.18 )</v>
          </cell>
          <cell r="D211" t="str">
            <v>1.10.18 )</v>
          </cell>
          <cell r="E211" t="str">
            <v>2.10.18 )</v>
          </cell>
          <cell r="F211" t="str">
            <v>3.10.18 )</v>
          </cell>
        </row>
        <row r="212">
          <cell r="B212" t="str">
            <v>209.0 )</v>
          </cell>
          <cell r="C212" t="str">
            <v>10.19 )</v>
          </cell>
          <cell r="D212" t="str">
            <v>1.10.19 )</v>
          </cell>
          <cell r="E212" t="str">
            <v>2.10.19 )</v>
          </cell>
          <cell r="F212" t="str">
            <v>3.10.19 )</v>
          </cell>
        </row>
        <row r="213">
          <cell r="B213" t="str">
            <v>210.0 )</v>
          </cell>
          <cell r="C213" t="str">
            <v>10.20 )</v>
          </cell>
          <cell r="D213" t="str">
            <v>1.10.20 )</v>
          </cell>
          <cell r="E213" t="str">
            <v>2.10.20 )</v>
          </cell>
          <cell r="F213" t="str">
            <v>3.10.20 )</v>
          </cell>
        </row>
        <row r="214">
          <cell r="B214" t="str">
            <v>211.0 )</v>
          </cell>
          <cell r="C214" t="str">
            <v>11.0 )</v>
          </cell>
          <cell r="D214" t="str">
            <v>1.11.0 )</v>
          </cell>
          <cell r="E214" t="str">
            <v>2.11.0 )</v>
          </cell>
          <cell r="F214" t="str">
            <v>3.11.0 )</v>
          </cell>
        </row>
        <row r="215">
          <cell r="B215" t="str">
            <v>212.0 )</v>
          </cell>
          <cell r="C215" t="str">
            <v>11.1 )</v>
          </cell>
          <cell r="D215" t="str">
            <v>1.11.1 )</v>
          </cell>
          <cell r="E215" t="str">
            <v>2.11.1 )</v>
          </cell>
          <cell r="F215" t="str">
            <v>3.11.1 )</v>
          </cell>
        </row>
        <row r="216">
          <cell r="B216" t="str">
            <v>213.0 )</v>
          </cell>
          <cell r="C216" t="str">
            <v>11.2 )</v>
          </cell>
          <cell r="D216" t="str">
            <v>1.11.2 )</v>
          </cell>
          <cell r="E216" t="str">
            <v>2.11.2 )</v>
          </cell>
          <cell r="F216" t="str">
            <v>3.11.2 )</v>
          </cell>
        </row>
        <row r="217">
          <cell r="B217" t="str">
            <v>214.0 )</v>
          </cell>
          <cell r="C217" t="str">
            <v>11.3 )</v>
          </cell>
          <cell r="D217" t="str">
            <v>1.11.3 )</v>
          </cell>
          <cell r="E217" t="str">
            <v>2.11.3 )</v>
          </cell>
          <cell r="F217" t="str">
            <v>3.11.3 )</v>
          </cell>
        </row>
        <row r="218">
          <cell r="B218" t="str">
            <v>215.0 )</v>
          </cell>
          <cell r="C218" t="str">
            <v>11.4 )</v>
          </cell>
          <cell r="D218" t="str">
            <v>1.11.4 )</v>
          </cell>
          <cell r="E218" t="str">
            <v>2.11.4 )</v>
          </cell>
          <cell r="F218" t="str">
            <v>3.11.4 )</v>
          </cell>
        </row>
        <row r="219">
          <cell r="B219" t="str">
            <v>216.0 )</v>
          </cell>
          <cell r="C219" t="str">
            <v>11.5 )</v>
          </cell>
          <cell r="D219" t="str">
            <v>1.11.5 )</v>
          </cell>
          <cell r="E219" t="str">
            <v>2.11.5 )</v>
          </cell>
          <cell r="F219" t="str">
            <v>3.11.5 )</v>
          </cell>
        </row>
        <row r="220">
          <cell r="B220" t="str">
            <v>217.0 )</v>
          </cell>
          <cell r="C220" t="str">
            <v>11.6 )</v>
          </cell>
          <cell r="D220" t="str">
            <v>1.11.6 )</v>
          </cell>
          <cell r="E220" t="str">
            <v>2.11.6 )</v>
          </cell>
          <cell r="F220" t="str">
            <v>3.11.6 )</v>
          </cell>
        </row>
        <row r="221">
          <cell r="B221" t="str">
            <v>218.0 )</v>
          </cell>
          <cell r="C221" t="str">
            <v>11.7 )</v>
          </cell>
          <cell r="D221" t="str">
            <v>1.11.7 )</v>
          </cell>
          <cell r="E221" t="str">
            <v>2.11.7 )</v>
          </cell>
          <cell r="F221" t="str">
            <v>3.11.7 )</v>
          </cell>
        </row>
        <row r="222">
          <cell r="B222" t="str">
            <v>219.0 )</v>
          </cell>
          <cell r="C222" t="str">
            <v>11.8 )</v>
          </cell>
          <cell r="D222" t="str">
            <v>1.11.8 )</v>
          </cell>
          <cell r="E222" t="str">
            <v>2.11.8 )</v>
          </cell>
          <cell r="F222" t="str">
            <v>3.11.8 )</v>
          </cell>
        </row>
        <row r="223">
          <cell r="B223" t="str">
            <v>220.0 )</v>
          </cell>
          <cell r="C223" t="str">
            <v>11.9 )</v>
          </cell>
          <cell r="D223" t="str">
            <v>1.11.9 )</v>
          </cell>
          <cell r="E223" t="str">
            <v>2.11.9 )</v>
          </cell>
          <cell r="F223" t="str">
            <v>3.11.9 )</v>
          </cell>
        </row>
        <row r="224">
          <cell r="B224" t="str">
            <v>221.0 )</v>
          </cell>
          <cell r="C224" t="str">
            <v>11.10 )</v>
          </cell>
          <cell r="D224" t="str">
            <v>1.11.10 )</v>
          </cell>
          <cell r="E224" t="str">
            <v>2.11.10 )</v>
          </cell>
          <cell r="F224" t="str">
            <v>3.11.10 )</v>
          </cell>
        </row>
        <row r="225">
          <cell r="B225" t="str">
            <v>222.0 )</v>
          </cell>
          <cell r="C225" t="str">
            <v>11.11 )</v>
          </cell>
          <cell r="D225" t="str">
            <v>1.11.11 )</v>
          </cell>
          <cell r="E225" t="str">
            <v>2.11.11 )</v>
          </cell>
          <cell r="F225" t="str">
            <v>3.11.11 )</v>
          </cell>
        </row>
        <row r="226">
          <cell r="B226" t="str">
            <v>223.0 )</v>
          </cell>
          <cell r="C226" t="str">
            <v>11.12 )</v>
          </cell>
          <cell r="D226" t="str">
            <v>1.11.12 )</v>
          </cell>
          <cell r="E226" t="str">
            <v>2.11.12 )</v>
          </cell>
          <cell r="F226" t="str">
            <v>3.11.12 )</v>
          </cell>
        </row>
        <row r="227">
          <cell r="B227" t="str">
            <v>224.0 )</v>
          </cell>
          <cell r="C227" t="str">
            <v>11.13 )</v>
          </cell>
          <cell r="D227" t="str">
            <v>1.11.13 )</v>
          </cell>
          <cell r="E227" t="str">
            <v>2.11.13 )</v>
          </cell>
          <cell r="F227" t="str">
            <v>3.11.13 )</v>
          </cell>
        </row>
        <row r="228">
          <cell r="B228" t="str">
            <v>225.0 )</v>
          </cell>
          <cell r="C228" t="str">
            <v>11.14 )</v>
          </cell>
          <cell r="D228" t="str">
            <v>1.11.14 )</v>
          </cell>
          <cell r="E228" t="str">
            <v>2.11.14 )</v>
          </cell>
          <cell r="F228" t="str">
            <v>3.11.14 )</v>
          </cell>
        </row>
        <row r="229">
          <cell r="B229" t="str">
            <v>226.0 )</v>
          </cell>
          <cell r="C229" t="str">
            <v>11.15 )</v>
          </cell>
          <cell r="D229" t="str">
            <v>1.11.15 )</v>
          </cell>
          <cell r="E229" t="str">
            <v>2.11.15 )</v>
          </cell>
          <cell r="F229" t="str">
            <v>3.11.15 )</v>
          </cell>
        </row>
        <row r="230">
          <cell r="B230" t="str">
            <v>227.0 )</v>
          </cell>
          <cell r="C230" t="str">
            <v>11.16 )</v>
          </cell>
          <cell r="D230" t="str">
            <v>1.11.16 )</v>
          </cell>
          <cell r="E230" t="str">
            <v>2.11.16 )</v>
          </cell>
          <cell r="F230" t="str">
            <v>3.11.16 )</v>
          </cell>
        </row>
        <row r="231">
          <cell r="B231" t="str">
            <v>228.0 )</v>
          </cell>
          <cell r="C231" t="str">
            <v>11.17 )</v>
          </cell>
          <cell r="D231" t="str">
            <v>1.11.17 )</v>
          </cell>
          <cell r="E231" t="str">
            <v>2.11.17 )</v>
          </cell>
          <cell r="F231" t="str">
            <v>3.11.17 )</v>
          </cell>
        </row>
        <row r="232">
          <cell r="B232" t="str">
            <v>229.0 )</v>
          </cell>
          <cell r="C232" t="str">
            <v>11.18 )</v>
          </cell>
          <cell r="D232" t="str">
            <v>1.11.18 )</v>
          </cell>
          <cell r="E232" t="str">
            <v>2.11.18 )</v>
          </cell>
          <cell r="F232" t="str">
            <v>3.11.18 )</v>
          </cell>
        </row>
        <row r="233">
          <cell r="B233" t="str">
            <v>230.0 )</v>
          </cell>
          <cell r="C233" t="str">
            <v>11.19 )</v>
          </cell>
          <cell r="D233" t="str">
            <v>1.11.19 )</v>
          </cell>
          <cell r="E233" t="str">
            <v>2.11.19 )</v>
          </cell>
          <cell r="F233" t="str">
            <v>3.11.19 )</v>
          </cell>
        </row>
        <row r="234">
          <cell r="B234" t="str">
            <v>231.0 )</v>
          </cell>
          <cell r="C234" t="str">
            <v>11.20 )</v>
          </cell>
          <cell r="D234" t="str">
            <v>1.11.20 )</v>
          </cell>
          <cell r="E234" t="str">
            <v>2.11.20 )</v>
          </cell>
          <cell r="F234" t="str">
            <v>3.11.20 )</v>
          </cell>
        </row>
        <row r="235">
          <cell r="B235" t="str">
            <v>232.0 )</v>
          </cell>
          <cell r="C235" t="str">
            <v>12.0 )</v>
          </cell>
          <cell r="D235" t="str">
            <v>1.12.0 )</v>
          </cell>
          <cell r="E235" t="str">
            <v>2.12.0 )</v>
          </cell>
          <cell r="F235" t="str">
            <v>3.12.0 )</v>
          </cell>
        </row>
        <row r="236">
          <cell r="B236" t="str">
            <v>233.0 )</v>
          </cell>
          <cell r="C236" t="str">
            <v>12.1 )</v>
          </cell>
          <cell r="D236" t="str">
            <v>1.12.1 )</v>
          </cell>
          <cell r="E236" t="str">
            <v>2.12.1 )</v>
          </cell>
          <cell r="F236" t="str">
            <v>3.12.1 )</v>
          </cell>
        </row>
        <row r="237">
          <cell r="B237" t="str">
            <v>234.0 )</v>
          </cell>
          <cell r="C237" t="str">
            <v>12.2 )</v>
          </cell>
          <cell r="D237" t="str">
            <v>1.12.2 )</v>
          </cell>
          <cell r="E237" t="str">
            <v>2.12.2 )</v>
          </cell>
          <cell r="F237" t="str">
            <v>3.12.2 )</v>
          </cell>
        </row>
        <row r="238">
          <cell r="B238" t="str">
            <v>235.0 )</v>
          </cell>
          <cell r="C238" t="str">
            <v>12.3 )</v>
          </cell>
          <cell r="D238" t="str">
            <v>1.12.3 )</v>
          </cell>
          <cell r="E238" t="str">
            <v>2.12.3 )</v>
          </cell>
          <cell r="F238" t="str">
            <v>3.12.3 )</v>
          </cell>
        </row>
        <row r="239">
          <cell r="B239" t="str">
            <v>236.0 )</v>
          </cell>
          <cell r="C239" t="str">
            <v>12.4 )</v>
          </cell>
          <cell r="D239" t="str">
            <v>1.12.4 )</v>
          </cell>
          <cell r="E239" t="str">
            <v>2.12.4 )</v>
          </cell>
          <cell r="F239" t="str">
            <v>3.12.4 )</v>
          </cell>
        </row>
        <row r="240">
          <cell r="B240" t="str">
            <v>237.0 )</v>
          </cell>
          <cell r="C240" t="str">
            <v>12.5 )</v>
          </cell>
          <cell r="D240" t="str">
            <v>1.12.5 )</v>
          </cell>
          <cell r="E240" t="str">
            <v>2.12.5 )</v>
          </cell>
          <cell r="F240" t="str">
            <v>3.12.5 )</v>
          </cell>
        </row>
        <row r="241">
          <cell r="B241" t="str">
            <v>238.0 )</v>
          </cell>
          <cell r="C241" t="str">
            <v>12.6 )</v>
          </cell>
          <cell r="D241" t="str">
            <v>1.12.6 )</v>
          </cell>
          <cell r="E241" t="str">
            <v>2.12.6 )</v>
          </cell>
          <cell r="F241" t="str">
            <v>3.12.6 )</v>
          </cell>
        </row>
        <row r="242">
          <cell r="B242" t="str">
            <v>239.0 )</v>
          </cell>
          <cell r="C242" t="str">
            <v>12.7 )</v>
          </cell>
          <cell r="D242" t="str">
            <v>1.12.7 )</v>
          </cell>
          <cell r="E242" t="str">
            <v>2.12.7 )</v>
          </cell>
          <cell r="F242" t="str">
            <v>3.12.7 )</v>
          </cell>
        </row>
        <row r="243">
          <cell r="B243" t="str">
            <v>240.0 )</v>
          </cell>
          <cell r="C243" t="str">
            <v>12.8 )</v>
          </cell>
          <cell r="D243" t="str">
            <v>1.12.8 )</v>
          </cell>
          <cell r="E243" t="str">
            <v>2.12.8 )</v>
          </cell>
          <cell r="F243" t="str">
            <v>3.12.8 )</v>
          </cell>
        </row>
        <row r="244">
          <cell r="B244" t="str">
            <v>241.0 )</v>
          </cell>
          <cell r="C244" t="str">
            <v>12.9 )</v>
          </cell>
          <cell r="D244" t="str">
            <v>1.12.9 )</v>
          </cell>
          <cell r="E244" t="str">
            <v>2.12.9 )</v>
          </cell>
          <cell r="F244" t="str">
            <v>3.12.9 )</v>
          </cell>
        </row>
        <row r="245">
          <cell r="B245" t="str">
            <v>242.0 )</v>
          </cell>
          <cell r="C245" t="str">
            <v>12.10 )</v>
          </cell>
          <cell r="D245" t="str">
            <v>1.12.10 )</v>
          </cell>
          <cell r="E245" t="str">
            <v>2.12.10 )</v>
          </cell>
          <cell r="F245" t="str">
            <v>3.12.10 )</v>
          </cell>
        </row>
        <row r="246">
          <cell r="B246" t="str">
            <v>243.0 )</v>
          </cell>
          <cell r="C246" t="str">
            <v>12.11 )</v>
          </cell>
          <cell r="D246" t="str">
            <v>1.12.11 )</v>
          </cell>
          <cell r="E246" t="str">
            <v>2.12.11 )</v>
          </cell>
          <cell r="F246" t="str">
            <v>3.12.11 )</v>
          </cell>
        </row>
        <row r="247">
          <cell r="B247" t="str">
            <v>244.0 )</v>
          </cell>
          <cell r="C247" t="str">
            <v>12.12 )</v>
          </cell>
          <cell r="D247" t="str">
            <v>1.12.12 )</v>
          </cell>
          <cell r="E247" t="str">
            <v>2.12.12 )</v>
          </cell>
          <cell r="F247" t="str">
            <v>3.12.12 )</v>
          </cell>
        </row>
        <row r="248">
          <cell r="B248" t="str">
            <v>245.0 )</v>
          </cell>
          <cell r="C248" t="str">
            <v>12.13 )</v>
          </cell>
          <cell r="D248" t="str">
            <v>1.12.13 )</v>
          </cell>
          <cell r="E248" t="str">
            <v>2.12.13 )</v>
          </cell>
          <cell r="F248" t="str">
            <v>3.12.13 )</v>
          </cell>
        </row>
        <row r="249">
          <cell r="B249" t="str">
            <v>246.0 )</v>
          </cell>
          <cell r="C249" t="str">
            <v>12.14 )</v>
          </cell>
          <cell r="D249" t="str">
            <v>1.12.14 )</v>
          </cell>
          <cell r="E249" t="str">
            <v>2.12.14 )</v>
          </cell>
          <cell r="F249" t="str">
            <v>3.12.14 )</v>
          </cell>
        </row>
        <row r="250">
          <cell r="B250" t="str">
            <v>247.0 )</v>
          </cell>
          <cell r="C250" t="str">
            <v>12.15 )</v>
          </cell>
          <cell r="D250" t="str">
            <v>1.12.15 )</v>
          </cell>
          <cell r="E250" t="str">
            <v>2.12.15 )</v>
          </cell>
          <cell r="F250" t="str">
            <v>3.12.15 )</v>
          </cell>
        </row>
        <row r="251">
          <cell r="B251" t="str">
            <v>248.0 )</v>
          </cell>
          <cell r="C251" t="str">
            <v>12.16 )</v>
          </cell>
          <cell r="D251" t="str">
            <v>1.12.16 )</v>
          </cell>
          <cell r="E251" t="str">
            <v>2.12.16 )</v>
          </cell>
          <cell r="F251" t="str">
            <v>3.12.16 )</v>
          </cell>
        </row>
        <row r="252">
          <cell r="B252" t="str">
            <v>249.0 )</v>
          </cell>
          <cell r="C252" t="str">
            <v>12.17 )</v>
          </cell>
          <cell r="D252" t="str">
            <v>1.12.17 )</v>
          </cell>
          <cell r="E252" t="str">
            <v>2.12.17 )</v>
          </cell>
          <cell r="F252" t="str">
            <v>3.12.17 )</v>
          </cell>
        </row>
        <row r="253">
          <cell r="B253" t="str">
            <v>250.0 )</v>
          </cell>
          <cell r="C253" t="str">
            <v>12.18 )</v>
          </cell>
          <cell r="D253" t="str">
            <v>1.12.18 )</v>
          </cell>
          <cell r="E253" t="str">
            <v>2.12.18 )</v>
          </cell>
          <cell r="F253" t="str">
            <v>3.12.18 )</v>
          </cell>
        </row>
        <row r="254">
          <cell r="B254" t="str">
            <v>251.0 )</v>
          </cell>
          <cell r="C254" t="str">
            <v>12.19 )</v>
          </cell>
          <cell r="D254" t="str">
            <v>1.12.19 )</v>
          </cell>
          <cell r="E254" t="str">
            <v>2.12.19 )</v>
          </cell>
          <cell r="F254" t="str">
            <v>3.12.19 )</v>
          </cell>
        </row>
        <row r="255">
          <cell r="B255" t="str">
            <v>252.0 )</v>
          </cell>
          <cell r="C255" t="str">
            <v>12.20 )</v>
          </cell>
          <cell r="D255" t="str">
            <v>1.12.20 )</v>
          </cell>
          <cell r="E255" t="str">
            <v>2.12.20 )</v>
          </cell>
          <cell r="F255" t="str">
            <v>3.12.20 )</v>
          </cell>
        </row>
        <row r="256">
          <cell r="B256" t="str">
            <v>253.0 )</v>
          </cell>
          <cell r="C256" t="str">
            <v>13.0 )</v>
          </cell>
          <cell r="D256" t="str">
            <v>1.13.0 )</v>
          </cell>
          <cell r="E256" t="str">
            <v>2.13.0 )</v>
          </cell>
          <cell r="F256" t="str">
            <v>3.13.0 )</v>
          </cell>
        </row>
        <row r="257">
          <cell r="B257" t="str">
            <v>254.0 )</v>
          </cell>
          <cell r="C257" t="str">
            <v>13.1 )</v>
          </cell>
          <cell r="D257" t="str">
            <v>1.13.1 )</v>
          </cell>
          <cell r="E257" t="str">
            <v>2.13.1 )</v>
          </cell>
          <cell r="F257" t="str">
            <v>3.13.1 )</v>
          </cell>
        </row>
        <row r="258">
          <cell r="B258" t="str">
            <v>255.0 )</v>
          </cell>
          <cell r="C258" t="str">
            <v>13.2 )</v>
          </cell>
          <cell r="D258" t="str">
            <v>1.13.2 )</v>
          </cell>
          <cell r="E258" t="str">
            <v>2.13.2 )</v>
          </cell>
          <cell r="F258" t="str">
            <v>3.13.2 )</v>
          </cell>
        </row>
        <row r="259">
          <cell r="B259" t="str">
            <v>256.0 )</v>
          </cell>
          <cell r="C259" t="str">
            <v>13.3 )</v>
          </cell>
          <cell r="D259" t="str">
            <v>1.13.3 )</v>
          </cell>
          <cell r="E259" t="str">
            <v>2.13.3 )</v>
          </cell>
          <cell r="F259" t="str">
            <v>3.13.3 )</v>
          </cell>
        </row>
        <row r="260">
          <cell r="B260" t="str">
            <v>257.0 )</v>
          </cell>
          <cell r="C260" t="str">
            <v>13.4 )</v>
          </cell>
          <cell r="D260" t="str">
            <v>1.13.4 )</v>
          </cell>
          <cell r="E260" t="str">
            <v>2.13.4 )</v>
          </cell>
          <cell r="F260" t="str">
            <v>3.13.4 )</v>
          </cell>
        </row>
        <row r="261">
          <cell r="B261" t="str">
            <v>258.0 )</v>
          </cell>
          <cell r="C261" t="str">
            <v>13.5 )</v>
          </cell>
          <cell r="D261" t="str">
            <v>1.13.5 )</v>
          </cell>
          <cell r="E261" t="str">
            <v>2.13.5 )</v>
          </cell>
          <cell r="F261" t="str">
            <v>3.13.5 )</v>
          </cell>
        </row>
        <row r="262">
          <cell r="B262" t="str">
            <v>259.0 )</v>
          </cell>
          <cell r="C262" t="str">
            <v>13.6 )</v>
          </cell>
          <cell r="D262" t="str">
            <v>1.13.6 )</v>
          </cell>
          <cell r="E262" t="str">
            <v>2.13.6 )</v>
          </cell>
          <cell r="F262" t="str">
            <v>3.13.6 )</v>
          </cell>
        </row>
        <row r="263">
          <cell r="B263" t="str">
            <v>260.0 )</v>
          </cell>
          <cell r="C263" t="str">
            <v>13.7 )</v>
          </cell>
          <cell r="D263" t="str">
            <v>1.13.7 )</v>
          </cell>
          <cell r="E263" t="str">
            <v>2.13.7 )</v>
          </cell>
          <cell r="F263" t="str">
            <v>3.13.7 )</v>
          </cell>
        </row>
        <row r="264">
          <cell r="B264" t="str">
            <v>261.0 )</v>
          </cell>
          <cell r="C264" t="str">
            <v>13.8 )</v>
          </cell>
          <cell r="D264" t="str">
            <v>1.13.8 )</v>
          </cell>
          <cell r="E264" t="str">
            <v>2.13.8 )</v>
          </cell>
          <cell r="F264" t="str">
            <v>3.13.8 )</v>
          </cell>
        </row>
        <row r="265">
          <cell r="B265" t="str">
            <v>262.0 )</v>
          </cell>
          <cell r="C265" t="str">
            <v>13.9 )</v>
          </cell>
          <cell r="D265" t="str">
            <v>1.13.9 )</v>
          </cell>
          <cell r="E265" t="str">
            <v>2.13.9 )</v>
          </cell>
          <cell r="F265" t="str">
            <v>3.13.9 )</v>
          </cell>
        </row>
        <row r="266">
          <cell r="B266" t="str">
            <v>263.0 )</v>
          </cell>
          <cell r="C266" t="str">
            <v>13.10 )</v>
          </cell>
          <cell r="D266" t="str">
            <v>1.13.10 )</v>
          </cell>
          <cell r="E266" t="str">
            <v>2.13.10 )</v>
          </cell>
          <cell r="F266" t="str">
            <v>3.13.10 )</v>
          </cell>
        </row>
        <row r="267">
          <cell r="B267" t="str">
            <v>264.0 )</v>
          </cell>
          <cell r="C267" t="str">
            <v>13.11 )</v>
          </cell>
          <cell r="D267" t="str">
            <v>1.13.11 )</v>
          </cell>
          <cell r="E267" t="str">
            <v>2.13.11 )</v>
          </cell>
          <cell r="F267" t="str">
            <v>3.13.11 )</v>
          </cell>
        </row>
        <row r="268">
          <cell r="B268" t="str">
            <v>265.0 )</v>
          </cell>
          <cell r="C268" t="str">
            <v>13.12 )</v>
          </cell>
          <cell r="D268" t="str">
            <v>1.13.12 )</v>
          </cell>
          <cell r="E268" t="str">
            <v>2.13.12 )</v>
          </cell>
          <cell r="F268" t="str">
            <v>3.13.12 )</v>
          </cell>
        </row>
        <row r="269">
          <cell r="B269" t="str">
            <v>266.0 )</v>
          </cell>
          <cell r="C269" t="str">
            <v>13.13 )</v>
          </cell>
          <cell r="D269" t="str">
            <v>1.13.13 )</v>
          </cell>
          <cell r="E269" t="str">
            <v>2.13.13 )</v>
          </cell>
          <cell r="F269" t="str">
            <v>3.13.13 )</v>
          </cell>
        </row>
        <row r="270">
          <cell r="B270" t="str">
            <v>267.0 )</v>
          </cell>
          <cell r="C270" t="str">
            <v>13.14 )</v>
          </cell>
          <cell r="D270" t="str">
            <v>1.13.14 )</v>
          </cell>
          <cell r="E270" t="str">
            <v>2.13.14 )</v>
          </cell>
          <cell r="F270" t="str">
            <v>3.13.14 )</v>
          </cell>
        </row>
        <row r="271">
          <cell r="B271" t="str">
            <v>268.0 )</v>
          </cell>
          <cell r="C271" t="str">
            <v>13.15 )</v>
          </cell>
          <cell r="D271" t="str">
            <v>1.13.15 )</v>
          </cell>
          <cell r="E271" t="str">
            <v>2.13.15 )</v>
          </cell>
          <cell r="F271" t="str">
            <v>3.13.15 )</v>
          </cell>
        </row>
        <row r="272">
          <cell r="B272" t="str">
            <v>269.0 )</v>
          </cell>
          <cell r="C272" t="str">
            <v>13.16 )</v>
          </cell>
          <cell r="D272" t="str">
            <v>1.13.16 )</v>
          </cell>
          <cell r="E272" t="str">
            <v>2.13.16 )</v>
          </cell>
          <cell r="F272" t="str">
            <v>3.13.16 )</v>
          </cell>
        </row>
        <row r="273">
          <cell r="B273" t="str">
            <v>270.0 )</v>
          </cell>
          <cell r="C273" t="str">
            <v>13.17 )</v>
          </cell>
          <cell r="D273" t="str">
            <v>1.13.17 )</v>
          </cell>
          <cell r="E273" t="str">
            <v>2.13.17 )</v>
          </cell>
          <cell r="F273" t="str">
            <v>3.13.17 )</v>
          </cell>
        </row>
        <row r="274">
          <cell r="B274" t="str">
            <v>271.0 )</v>
          </cell>
          <cell r="C274" t="str">
            <v>13.18 )</v>
          </cell>
          <cell r="D274" t="str">
            <v>1.13.18 )</v>
          </cell>
          <cell r="E274" t="str">
            <v>2.13.18 )</v>
          </cell>
          <cell r="F274" t="str">
            <v>3.13.18 )</v>
          </cell>
        </row>
        <row r="275">
          <cell r="B275" t="str">
            <v>272.0 )</v>
          </cell>
          <cell r="C275" t="str">
            <v>13.19 )</v>
          </cell>
          <cell r="D275" t="str">
            <v>1.13.19 )</v>
          </cell>
          <cell r="E275" t="str">
            <v>2.13.19 )</v>
          </cell>
          <cell r="F275" t="str">
            <v>3.13.19 )</v>
          </cell>
        </row>
        <row r="276">
          <cell r="B276" t="str">
            <v>273.0 )</v>
          </cell>
          <cell r="C276" t="str">
            <v>13.20 )</v>
          </cell>
          <cell r="D276" t="str">
            <v>1.13.20 )</v>
          </cell>
          <cell r="E276" t="str">
            <v>2.13.20 )</v>
          </cell>
          <cell r="F276" t="str">
            <v>3.13.20 )</v>
          </cell>
        </row>
        <row r="277">
          <cell r="B277" t="str">
            <v>274.0 )</v>
          </cell>
          <cell r="C277" t="str">
            <v>14.0 )</v>
          </cell>
          <cell r="D277" t="str">
            <v>1.14.0 )</v>
          </cell>
          <cell r="E277" t="str">
            <v>2.14.0 )</v>
          </cell>
          <cell r="F277" t="str">
            <v>3.14.0 )</v>
          </cell>
        </row>
        <row r="278">
          <cell r="B278" t="str">
            <v>275.0 )</v>
          </cell>
          <cell r="C278" t="str">
            <v>14.1 )</v>
          </cell>
          <cell r="D278" t="str">
            <v>1.14.1 )</v>
          </cell>
          <cell r="E278" t="str">
            <v>2.14.1 )</v>
          </cell>
          <cell r="F278" t="str">
            <v>3.14.1 )</v>
          </cell>
        </row>
        <row r="279">
          <cell r="B279" t="str">
            <v>276.0 )</v>
          </cell>
          <cell r="C279" t="str">
            <v>14.2 )</v>
          </cell>
          <cell r="D279" t="str">
            <v>1.14.2 )</v>
          </cell>
          <cell r="E279" t="str">
            <v>2.14.2 )</v>
          </cell>
          <cell r="F279" t="str">
            <v>3.14.2 )</v>
          </cell>
        </row>
        <row r="280">
          <cell r="B280" t="str">
            <v>277.0 )</v>
          </cell>
          <cell r="C280" t="str">
            <v>14.3 )</v>
          </cell>
          <cell r="D280" t="str">
            <v>1.14.3 )</v>
          </cell>
          <cell r="E280" t="str">
            <v>2.14.3 )</v>
          </cell>
          <cell r="F280" t="str">
            <v>3.14.3 )</v>
          </cell>
        </row>
        <row r="281">
          <cell r="B281" t="str">
            <v>278.0 )</v>
          </cell>
          <cell r="C281" t="str">
            <v>14.4 )</v>
          </cell>
          <cell r="D281" t="str">
            <v>1.14.4 )</v>
          </cell>
          <cell r="E281" t="str">
            <v>2.14.4 )</v>
          </cell>
          <cell r="F281" t="str">
            <v>3.14.4 )</v>
          </cell>
        </row>
        <row r="282">
          <cell r="B282" t="str">
            <v>279.0 )</v>
          </cell>
          <cell r="C282" t="str">
            <v>14.5 )</v>
          </cell>
          <cell r="D282" t="str">
            <v>1.14.5 )</v>
          </cell>
          <cell r="E282" t="str">
            <v>2.14.5 )</v>
          </cell>
          <cell r="F282" t="str">
            <v>3.14.5 )</v>
          </cell>
        </row>
        <row r="283">
          <cell r="B283" t="str">
            <v>280.0 )</v>
          </cell>
          <cell r="C283" t="str">
            <v>14.6 )</v>
          </cell>
          <cell r="D283" t="str">
            <v>1.14.6 )</v>
          </cell>
          <cell r="E283" t="str">
            <v>2.14.6 )</v>
          </cell>
          <cell r="F283" t="str">
            <v>3.14.6 )</v>
          </cell>
        </row>
        <row r="284">
          <cell r="B284" t="str">
            <v>281.0 )</v>
          </cell>
          <cell r="C284" t="str">
            <v>14.7 )</v>
          </cell>
          <cell r="D284" t="str">
            <v>1.14.7 )</v>
          </cell>
          <cell r="E284" t="str">
            <v>2.14.7 )</v>
          </cell>
          <cell r="F284" t="str">
            <v>3.14.7 )</v>
          </cell>
        </row>
        <row r="285">
          <cell r="B285" t="str">
            <v>282.0 )</v>
          </cell>
          <cell r="C285" t="str">
            <v>14.8 )</v>
          </cell>
          <cell r="D285" t="str">
            <v>1.14.8 )</v>
          </cell>
          <cell r="E285" t="str">
            <v>2.14.8 )</v>
          </cell>
          <cell r="F285" t="str">
            <v>3.14.8 )</v>
          </cell>
        </row>
        <row r="286">
          <cell r="B286" t="str">
            <v>283.0 )</v>
          </cell>
          <cell r="C286" t="str">
            <v>14.9 )</v>
          </cell>
          <cell r="D286" t="str">
            <v>1.14.9 )</v>
          </cell>
          <cell r="E286" t="str">
            <v>2.14.9 )</v>
          </cell>
          <cell r="F286" t="str">
            <v>3.14.9 )</v>
          </cell>
        </row>
        <row r="287">
          <cell r="B287" t="str">
            <v>284.0 )</v>
          </cell>
          <cell r="C287" t="str">
            <v>14.10 )</v>
          </cell>
          <cell r="D287" t="str">
            <v>1.14.10 )</v>
          </cell>
          <cell r="E287" t="str">
            <v>2.14.10 )</v>
          </cell>
          <cell r="F287" t="str">
            <v>3.14.10 )</v>
          </cell>
        </row>
        <row r="288">
          <cell r="B288" t="str">
            <v>285.0 )</v>
          </cell>
          <cell r="C288" t="str">
            <v>14.11 )</v>
          </cell>
          <cell r="D288" t="str">
            <v>1.14.11 )</v>
          </cell>
          <cell r="E288" t="str">
            <v>2.14.11 )</v>
          </cell>
          <cell r="F288" t="str">
            <v>3.14.11 )</v>
          </cell>
        </row>
        <row r="289">
          <cell r="B289" t="str">
            <v>286.0 )</v>
          </cell>
          <cell r="C289" t="str">
            <v>14.12 )</v>
          </cell>
          <cell r="D289" t="str">
            <v>1.14.12 )</v>
          </cell>
          <cell r="E289" t="str">
            <v>2.14.12 )</v>
          </cell>
          <cell r="F289" t="str">
            <v>3.14.12 )</v>
          </cell>
        </row>
        <row r="290">
          <cell r="B290" t="str">
            <v>287.0 )</v>
          </cell>
          <cell r="C290" t="str">
            <v>14.13 )</v>
          </cell>
          <cell r="D290" t="str">
            <v>1.14.13 )</v>
          </cell>
          <cell r="E290" t="str">
            <v>2.14.13 )</v>
          </cell>
          <cell r="F290" t="str">
            <v>3.14.13 )</v>
          </cell>
        </row>
        <row r="291">
          <cell r="B291" t="str">
            <v>288.0 )</v>
          </cell>
          <cell r="C291" t="str">
            <v>14.14 )</v>
          </cell>
          <cell r="D291" t="str">
            <v>1.14.14 )</v>
          </cell>
          <cell r="E291" t="str">
            <v>2.14.14 )</v>
          </cell>
          <cell r="F291" t="str">
            <v>3.14.14 )</v>
          </cell>
        </row>
        <row r="292">
          <cell r="B292" t="str">
            <v>289.0 )</v>
          </cell>
          <cell r="C292" t="str">
            <v>14.15 )</v>
          </cell>
          <cell r="D292" t="str">
            <v>1.14.15 )</v>
          </cell>
          <cell r="E292" t="str">
            <v>2.14.15 )</v>
          </cell>
          <cell r="F292" t="str">
            <v>3.14.15 )</v>
          </cell>
        </row>
        <row r="293">
          <cell r="B293" t="str">
            <v>290.0 )</v>
          </cell>
          <cell r="C293" t="str">
            <v>14.16 )</v>
          </cell>
          <cell r="D293" t="str">
            <v>1.14.16 )</v>
          </cell>
          <cell r="E293" t="str">
            <v>2.14.16 )</v>
          </cell>
          <cell r="F293" t="str">
            <v>3.14.16 )</v>
          </cell>
        </row>
        <row r="294">
          <cell r="B294" t="str">
            <v>291.0 )</v>
          </cell>
          <cell r="C294" t="str">
            <v>14.17 )</v>
          </cell>
          <cell r="D294" t="str">
            <v>1.14.17 )</v>
          </cell>
          <cell r="E294" t="str">
            <v>2.14.17 )</v>
          </cell>
          <cell r="F294" t="str">
            <v>3.14.17 )</v>
          </cell>
        </row>
        <row r="295">
          <cell r="B295" t="str">
            <v>292.0 )</v>
          </cell>
          <cell r="C295" t="str">
            <v>14.18 )</v>
          </cell>
          <cell r="D295" t="str">
            <v>1.14.18 )</v>
          </cell>
          <cell r="E295" t="str">
            <v>2.14.18 )</v>
          </cell>
          <cell r="F295" t="str">
            <v>3.14.18 )</v>
          </cell>
        </row>
        <row r="296">
          <cell r="B296" t="str">
            <v>293.0 )</v>
          </cell>
          <cell r="C296" t="str">
            <v>14.19 )</v>
          </cell>
          <cell r="D296" t="str">
            <v>1.14.19 )</v>
          </cell>
          <cell r="E296" t="str">
            <v>2.14.19 )</v>
          </cell>
          <cell r="F296" t="str">
            <v>3.14.19 )</v>
          </cell>
        </row>
        <row r="297">
          <cell r="B297" t="str">
            <v>294.0 )</v>
          </cell>
          <cell r="C297" t="str">
            <v>14.20 )</v>
          </cell>
          <cell r="D297" t="str">
            <v>1.14.20 )</v>
          </cell>
          <cell r="E297" t="str">
            <v>2.14.20 )</v>
          </cell>
          <cell r="F297" t="str">
            <v>3.14.20 )</v>
          </cell>
        </row>
        <row r="298">
          <cell r="B298" t="str">
            <v>295.0 )</v>
          </cell>
          <cell r="C298" t="str">
            <v>15.0 )</v>
          </cell>
          <cell r="D298" t="str">
            <v>1.15.0 )</v>
          </cell>
          <cell r="E298" t="str">
            <v>2.15.0 )</v>
          </cell>
          <cell r="F298" t="str">
            <v>3.15.0 )</v>
          </cell>
        </row>
        <row r="299">
          <cell r="B299" t="str">
            <v>296.0 )</v>
          </cell>
          <cell r="C299" t="str">
            <v>15.1 )</v>
          </cell>
          <cell r="D299" t="str">
            <v>1.15.1 )</v>
          </cell>
          <cell r="E299" t="str">
            <v>2.15.1 )</v>
          </cell>
          <cell r="F299" t="str">
            <v>3.15.1 )</v>
          </cell>
        </row>
        <row r="300">
          <cell r="B300" t="str">
            <v>297.0 )</v>
          </cell>
          <cell r="C300" t="str">
            <v>15.2 )</v>
          </cell>
          <cell r="D300" t="str">
            <v>1.15.2 )</v>
          </cell>
          <cell r="E300" t="str">
            <v>2.15.2 )</v>
          </cell>
          <cell r="F300" t="str">
            <v>3.15.2 )</v>
          </cell>
        </row>
        <row r="301">
          <cell r="B301" t="str">
            <v>298.0 )</v>
          </cell>
          <cell r="C301" t="str">
            <v>15.3 )</v>
          </cell>
          <cell r="D301" t="str">
            <v>1.15.3 )</v>
          </cell>
          <cell r="E301" t="str">
            <v>2.15.3 )</v>
          </cell>
          <cell r="F301" t="str">
            <v>3.15.3 )</v>
          </cell>
        </row>
        <row r="302">
          <cell r="B302" t="str">
            <v>299.0 )</v>
          </cell>
          <cell r="C302" t="str">
            <v>15.4 )</v>
          </cell>
          <cell r="D302" t="str">
            <v>1.15.4 )</v>
          </cell>
          <cell r="E302" t="str">
            <v>2.15.4 )</v>
          </cell>
          <cell r="F302" t="str">
            <v>3.15.4 )</v>
          </cell>
        </row>
        <row r="303">
          <cell r="B303" t="str">
            <v>300.0 )</v>
          </cell>
          <cell r="C303" t="str">
            <v>15.5 )</v>
          </cell>
          <cell r="D303" t="str">
            <v>1.15.5 )</v>
          </cell>
          <cell r="E303" t="str">
            <v>2.15.5 )</v>
          </cell>
          <cell r="F303" t="str">
            <v>3.15.5 )</v>
          </cell>
        </row>
        <row r="304">
          <cell r="B304" t="str">
            <v>301.0 )</v>
          </cell>
          <cell r="C304" t="str">
            <v>15.6 )</v>
          </cell>
          <cell r="D304" t="str">
            <v>1.15.6 )</v>
          </cell>
          <cell r="E304" t="str">
            <v>2.15.6 )</v>
          </cell>
          <cell r="F304" t="str">
            <v>3.15.6 )</v>
          </cell>
        </row>
        <row r="305">
          <cell r="B305" t="str">
            <v>302.0 )</v>
          </cell>
          <cell r="C305" t="str">
            <v>15.7 )</v>
          </cell>
          <cell r="D305" t="str">
            <v>1.15.7 )</v>
          </cell>
          <cell r="E305" t="str">
            <v>2.15.7 )</v>
          </cell>
          <cell r="F305" t="str">
            <v>3.15.7 )</v>
          </cell>
        </row>
        <row r="306">
          <cell r="B306" t="str">
            <v>303.0 )</v>
          </cell>
          <cell r="C306" t="str">
            <v>15.8 )</v>
          </cell>
          <cell r="D306" t="str">
            <v>1.15.8 )</v>
          </cell>
          <cell r="E306" t="str">
            <v>2.15.8 )</v>
          </cell>
          <cell r="F306" t="str">
            <v>3.15.8 )</v>
          </cell>
        </row>
        <row r="307">
          <cell r="B307" t="str">
            <v>304.0 )</v>
          </cell>
          <cell r="C307" t="str">
            <v>15.9 )</v>
          </cell>
          <cell r="D307" t="str">
            <v>1.15.9 )</v>
          </cell>
          <cell r="E307" t="str">
            <v>2.15.9 )</v>
          </cell>
          <cell r="F307" t="str">
            <v>3.15.9 )</v>
          </cell>
        </row>
        <row r="308">
          <cell r="B308" t="str">
            <v>305.0 )</v>
          </cell>
          <cell r="C308" t="str">
            <v>15.10 )</v>
          </cell>
          <cell r="D308" t="str">
            <v>1.15.10 )</v>
          </cell>
          <cell r="E308" t="str">
            <v>2.15.10 )</v>
          </cell>
          <cell r="F308" t="str">
            <v>3.15.10 )</v>
          </cell>
        </row>
        <row r="309">
          <cell r="B309" t="str">
            <v>306.0 )</v>
          </cell>
          <cell r="C309" t="str">
            <v>15.11 )</v>
          </cell>
          <cell r="D309" t="str">
            <v>1.15.11 )</v>
          </cell>
          <cell r="E309" t="str">
            <v>2.15.11 )</v>
          </cell>
          <cell r="F309" t="str">
            <v>3.15.11 )</v>
          </cell>
        </row>
        <row r="310">
          <cell r="B310" t="str">
            <v>307.0 )</v>
          </cell>
          <cell r="C310" t="str">
            <v>15.12 )</v>
          </cell>
          <cell r="D310" t="str">
            <v>1.15.12 )</v>
          </cell>
          <cell r="E310" t="str">
            <v>2.15.12 )</v>
          </cell>
          <cell r="F310" t="str">
            <v>3.15.12 )</v>
          </cell>
        </row>
        <row r="311">
          <cell r="B311" t="str">
            <v>308.0 )</v>
          </cell>
          <cell r="C311" t="str">
            <v>15.13 )</v>
          </cell>
          <cell r="D311" t="str">
            <v>1.15.13 )</v>
          </cell>
          <cell r="E311" t="str">
            <v>2.15.13 )</v>
          </cell>
          <cell r="F311" t="str">
            <v>3.15.13 )</v>
          </cell>
        </row>
        <row r="312">
          <cell r="B312" t="str">
            <v>309.0 )</v>
          </cell>
          <cell r="C312" t="str">
            <v>15.14 )</v>
          </cell>
          <cell r="D312" t="str">
            <v>1.15.14 )</v>
          </cell>
          <cell r="E312" t="str">
            <v>2.15.14 )</v>
          </cell>
          <cell r="F312" t="str">
            <v>3.15.14 )</v>
          </cell>
        </row>
        <row r="313">
          <cell r="B313" t="str">
            <v>310.0 )</v>
          </cell>
          <cell r="C313" t="str">
            <v>15.15 )</v>
          </cell>
          <cell r="D313" t="str">
            <v>1.15.15 )</v>
          </cell>
          <cell r="E313" t="str">
            <v>2.15.15 )</v>
          </cell>
          <cell r="F313" t="str">
            <v>3.15.15 )</v>
          </cell>
        </row>
        <row r="314">
          <cell r="B314" t="str">
            <v>311.0 )</v>
          </cell>
          <cell r="C314" t="str">
            <v>15.16 )</v>
          </cell>
          <cell r="D314" t="str">
            <v>1.15.16 )</v>
          </cell>
          <cell r="E314" t="str">
            <v>2.15.16 )</v>
          </cell>
          <cell r="F314" t="str">
            <v>3.15.16 )</v>
          </cell>
        </row>
        <row r="315">
          <cell r="B315" t="str">
            <v>312.0 )</v>
          </cell>
          <cell r="C315" t="str">
            <v>15.17 )</v>
          </cell>
          <cell r="D315" t="str">
            <v>1.15.17 )</v>
          </cell>
          <cell r="E315" t="str">
            <v>2.15.17 )</v>
          </cell>
          <cell r="F315" t="str">
            <v>3.15.17 )</v>
          </cell>
        </row>
        <row r="316">
          <cell r="B316" t="str">
            <v>313.0 )</v>
          </cell>
          <cell r="C316" t="str">
            <v>15.18 )</v>
          </cell>
          <cell r="D316" t="str">
            <v>1.15.18 )</v>
          </cell>
          <cell r="E316" t="str">
            <v>2.15.18 )</v>
          </cell>
          <cell r="F316" t="str">
            <v>3.15.18 )</v>
          </cell>
        </row>
        <row r="317">
          <cell r="B317" t="str">
            <v>314.0 )</v>
          </cell>
          <cell r="C317" t="str">
            <v>15.19 )</v>
          </cell>
          <cell r="D317" t="str">
            <v>1.15.19 )</v>
          </cell>
          <cell r="E317" t="str">
            <v>2.15.19 )</v>
          </cell>
          <cell r="F317" t="str">
            <v>3.15.19 )</v>
          </cell>
        </row>
        <row r="318">
          <cell r="B318" t="str">
            <v>315.0 )</v>
          </cell>
          <cell r="C318" t="str">
            <v>15.20 )</v>
          </cell>
          <cell r="D318" t="str">
            <v>1.15.20 )</v>
          </cell>
          <cell r="E318" t="str">
            <v>2.15.20 )</v>
          </cell>
          <cell r="F318" t="str">
            <v>3.15.20 )</v>
          </cell>
        </row>
        <row r="319">
          <cell r="B319" t="str">
            <v>316.0 )</v>
          </cell>
          <cell r="C319" t="str">
            <v>16.0 )</v>
          </cell>
          <cell r="D319" t="str">
            <v>1.16.0 )</v>
          </cell>
          <cell r="E319" t="str">
            <v>2.16.0 )</v>
          </cell>
          <cell r="F319" t="str">
            <v>3.16.0 )</v>
          </cell>
        </row>
        <row r="320">
          <cell r="B320" t="str">
            <v>317.0 )</v>
          </cell>
          <cell r="C320" t="str">
            <v>16.1 )</v>
          </cell>
          <cell r="D320" t="str">
            <v>1.16.1 )</v>
          </cell>
          <cell r="E320" t="str">
            <v>2.16.1 )</v>
          </cell>
          <cell r="F320" t="str">
            <v>3.16.1 )</v>
          </cell>
        </row>
        <row r="321">
          <cell r="B321" t="str">
            <v>318.0 )</v>
          </cell>
          <cell r="C321" t="str">
            <v>16.2 )</v>
          </cell>
          <cell r="D321" t="str">
            <v>1.16.2 )</v>
          </cell>
          <cell r="E321" t="str">
            <v>2.16.2 )</v>
          </cell>
          <cell r="F321" t="str">
            <v>3.16.2 )</v>
          </cell>
        </row>
        <row r="322">
          <cell r="B322" t="str">
            <v>319.0 )</v>
          </cell>
          <cell r="C322" t="str">
            <v>16.3 )</v>
          </cell>
          <cell r="D322" t="str">
            <v>1.16.3 )</v>
          </cell>
          <cell r="E322" t="str">
            <v>2.16.3 )</v>
          </cell>
          <cell r="F322" t="str">
            <v>3.16.3 )</v>
          </cell>
        </row>
        <row r="323">
          <cell r="B323" t="str">
            <v>320.0 )</v>
          </cell>
          <cell r="C323" t="str">
            <v>16.4 )</v>
          </cell>
          <cell r="D323" t="str">
            <v>1.16.4 )</v>
          </cell>
          <cell r="E323" t="str">
            <v>2.16.4 )</v>
          </cell>
          <cell r="F323" t="str">
            <v>3.16.4 )</v>
          </cell>
        </row>
        <row r="324">
          <cell r="B324" t="str">
            <v>321.0 )</v>
          </cell>
          <cell r="C324" t="str">
            <v>16.5 )</v>
          </cell>
          <cell r="D324" t="str">
            <v>1.16.5 )</v>
          </cell>
          <cell r="E324" t="str">
            <v>2.16.5 )</v>
          </cell>
          <cell r="F324" t="str">
            <v>3.16.5 )</v>
          </cell>
        </row>
        <row r="325">
          <cell r="B325" t="str">
            <v>322.0 )</v>
          </cell>
          <cell r="C325" t="str">
            <v>16.6 )</v>
          </cell>
          <cell r="D325" t="str">
            <v>1.16.6 )</v>
          </cell>
          <cell r="E325" t="str">
            <v>2.16.6 )</v>
          </cell>
          <cell r="F325" t="str">
            <v>3.16.6 )</v>
          </cell>
        </row>
        <row r="326">
          <cell r="B326" t="str">
            <v>323.0 )</v>
          </cell>
          <cell r="C326" t="str">
            <v>16.7 )</v>
          </cell>
          <cell r="D326" t="str">
            <v>1.16.7 )</v>
          </cell>
          <cell r="E326" t="str">
            <v>2.16.7 )</v>
          </cell>
          <cell r="F326" t="str">
            <v>3.16.7 )</v>
          </cell>
        </row>
        <row r="327">
          <cell r="B327" t="str">
            <v>324.0 )</v>
          </cell>
          <cell r="C327" t="str">
            <v>16.8 )</v>
          </cell>
          <cell r="D327" t="str">
            <v>1.16.8 )</v>
          </cell>
          <cell r="E327" t="str">
            <v>2.16.8 )</v>
          </cell>
          <cell r="F327" t="str">
            <v>3.16.8 )</v>
          </cell>
        </row>
        <row r="328">
          <cell r="B328" t="str">
            <v>325.0 )</v>
          </cell>
          <cell r="C328" t="str">
            <v>16.9 )</v>
          </cell>
          <cell r="D328" t="str">
            <v>1.16.9 )</v>
          </cell>
          <cell r="E328" t="str">
            <v>2.16.9 )</v>
          </cell>
          <cell r="F328" t="str">
            <v>3.16.9 )</v>
          </cell>
        </row>
        <row r="329">
          <cell r="B329" t="str">
            <v>326.0 )</v>
          </cell>
          <cell r="C329" t="str">
            <v>16.10 )</v>
          </cell>
          <cell r="D329" t="str">
            <v>1.16.10 )</v>
          </cell>
          <cell r="E329" t="str">
            <v>2.16.10 )</v>
          </cell>
          <cell r="F329" t="str">
            <v>3.16.10 )</v>
          </cell>
        </row>
        <row r="330">
          <cell r="B330" t="str">
            <v>327.0 )</v>
          </cell>
          <cell r="C330" t="str">
            <v>16.11 )</v>
          </cell>
          <cell r="D330" t="str">
            <v>1.16.11 )</v>
          </cell>
          <cell r="E330" t="str">
            <v>2.16.11 )</v>
          </cell>
          <cell r="F330" t="str">
            <v>3.16.11 )</v>
          </cell>
        </row>
        <row r="331">
          <cell r="B331" t="str">
            <v>328.0 )</v>
          </cell>
          <cell r="C331" t="str">
            <v>16.12 )</v>
          </cell>
          <cell r="D331" t="str">
            <v>1.16.12 )</v>
          </cell>
          <cell r="E331" t="str">
            <v>2.16.12 )</v>
          </cell>
          <cell r="F331" t="str">
            <v>3.16.12 )</v>
          </cell>
        </row>
        <row r="332">
          <cell r="B332" t="str">
            <v>329.0 )</v>
          </cell>
          <cell r="C332" t="str">
            <v>16.13 )</v>
          </cell>
          <cell r="D332" t="str">
            <v>1.16.13 )</v>
          </cell>
          <cell r="E332" t="str">
            <v>2.16.13 )</v>
          </cell>
          <cell r="F332" t="str">
            <v>3.16.13 )</v>
          </cell>
        </row>
        <row r="333">
          <cell r="B333" t="str">
            <v>330.0 )</v>
          </cell>
          <cell r="C333" t="str">
            <v>16.14 )</v>
          </cell>
          <cell r="D333" t="str">
            <v>1.16.14 )</v>
          </cell>
          <cell r="E333" t="str">
            <v>2.16.14 )</v>
          </cell>
          <cell r="F333" t="str">
            <v>3.16.14 )</v>
          </cell>
        </row>
        <row r="334">
          <cell r="B334" t="str">
            <v>331.0 )</v>
          </cell>
          <cell r="C334" t="str">
            <v>16.15 )</v>
          </cell>
          <cell r="D334" t="str">
            <v>1.16.15 )</v>
          </cell>
          <cell r="E334" t="str">
            <v>2.16.15 )</v>
          </cell>
          <cell r="F334" t="str">
            <v>3.16.15 )</v>
          </cell>
        </row>
        <row r="335">
          <cell r="B335" t="str">
            <v>332.0 )</v>
          </cell>
          <cell r="C335" t="str">
            <v>16.16 )</v>
          </cell>
          <cell r="D335" t="str">
            <v>1.16.16 )</v>
          </cell>
          <cell r="E335" t="str">
            <v>2.16.16 )</v>
          </cell>
          <cell r="F335" t="str">
            <v>3.16.16 )</v>
          </cell>
        </row>
        <row r="336">
          <cell r="B336" t="str">
            <v>333.0 )</v>
          </cell>
          <cell r="C336" t="str">
            <v>16.17 )</v>
          </cell>
          <cell r="D336" t="str">
            <v>1.16.17 )</v>
          </cell>
          <cell r="E336" t="str">
            <v>2.16.17 )</v>
          </cell>
          <cell r="F336" t="str">
            <v>3.16.17 )</v>
          </cell>
        </row>
        <row r="337">
          <cell r="B337" t="str">
            <v>334.0 )</v>
          </cell>
          <cell r="C337" t="str">
            <v>16.18 )</v>
          </cell>
          <cell r="D337" t="str">
            <v>1.16.18 )</v>
          </cell>
          <cell r="E337" t="str">
            <v>2.16.18 )</v>
          </cell>
          <cell r="F337" t="str">
            <v>3.16.18 )</v>
          </cell>
        </row>
        <row r="338">
          <cell r="B338" t="str">
            <v>335.0 )</v>
          </cell>
          <cell r="C338" t="str">
            <v>16.19 )</v>
          </cell>
          <cell r="D338" t="str">
            <v>1.16.19 )</v>
          </cell>
          <cell r="E338" t="str">
            <v>2.16.19 )</v>
          </cell>
          <cell r="F338" t="str">
            <v>3.16.19 )</v>
          </cell>
        </row>
        <row r="339">
          <cell r="B339" t="str">
            <v>336.0 )</v>
          </cell>
          <cell r="C339" t="str">
            <v>16.20 )</v>
          </cell>
          <cell r="D339" t="str">
            <v>1.16.20 )</v>
          </cell>
          <cell r="E339" t="str">
            <v>2.16.20 )</v>
          </cell>
          <cell r="F339" t="str">
            <v>3.16.20 )</v>
          </cell>
        </row>
        <row r="340">
          <cell r="B340" t="str">
            <v>337.0 )</v>
          </cell>
          <cell r="C340" t="str">
            <v>17.0 )</v>
          </cell>
          <cell r="D340" t="str">
            <v>1.17.0 )</v>
          </cell>
          <cell r="E340" t="str">
            <v>2.17.0 )</v>
          </cell>
          <cell r="F340" t="str">
            <v>3.17.0 )</v>
          </cell>
        </row>
        <row r="341">
          <cell r="B341" t="str">
            <v>338.0 )</v>
          </cell>
          <cell r="C341" t="str">
            <v>17.1 )</v>
          </cell>
          <cell r="D341" t="str">
            <v>1.17.1 )</v>
          </cell>
          <cell r="E341" t="str">
            <v>2.17.1 )</v>
          </cell>
          <cell r="F341" t="str">
            <v>3.17.1 )</v>
          </cell>
        </row>
        <row r="342">
          <cell r="B342" t="str">
            <v>339.0 )</v>
          </cell>
          <cell r="C342" t="str">
            <v>17.2 )</v>
          </cell>
          <cell r="D342" t="str">
            <v>1.17.2 )</v>
          </cell>
          <cell r="E342" t="str">
            <v>2.17.2 )</v>
          </cell>
          <cell r="F342" t="str">
            <v>3.17.2 )</v>
          </cell>
        </row>
        <row r="343">
          <cell r="B343" t="str">
            <v>340.0 )</v>
          </cell>
          <cell r="C343" t="str">
            <v>17.3 )</v>
          </cell>
          <cell r="D343" t="str">
            <v>1.17.3 )</v>
          </cell>
          <cell r="E343" t="str">
            <v>2.17.3 )</v>
          </cell>
          <cell r="F343" t="str">
            <v>3.17.3 )</v>
          </cell>
        </row>
        <row r="344">
          <cell r="B344" t="str">
            <v>341.0 )</v>
          </cell>
          <cell r="C344" t="str">
            <v>17.4 )</v>
          </cell>
          <cell r="D344" t="str">
            <v>1.17.4 )</v>
          </cell>
          <cell r="E344" t="str">
            <v>2.17.4 )</v>
          </cell>
          <cell r="F344" t="str">
            <v>3.17.4 )</v>
          </cell>
        </row>
        <row r="345">
          <cell r="B345" t="str">
            <v>342.0 )</v>
          </cell>
          <cell r="C345" t="str">
            <v>17.5 )</v>
          </cell>
          <cell r="D345" t="str">
            <v>1.17.5 )</v>
          </cell>
          <cell r="E345" t="str">
            <v>2.17.5 )</v>
          </cell>
          <cell r="F345" t="str">
            <v>3.17.5 )</v>
          </cell>
        </row>
        <row r="346">
          <cell r="B346" t="str">
            <v>343.0 )</v>
          </cell>
          <cell r="C346" t="str">
            <v>17.6 )</v>
          </cell>
          <cell r="D346" t="str">
            <v>1.17.6 )</v>
          </cell>
          <cell r="E346" t="str">
            <v>2.17.6 )</v>
          </cell>
          <cell r="F346" t="str">
            <v>3.17.6 )</v>
          </cell>
        </row>
        <row r="347">
          <cell r="B347" t="str">
            <v>344.0 )</v>
          </cell>
          <cell r="C347" t="str">
            <v>17.7 )</v>
          </cell>
          <cell r="D347" t="str">
            <v>1.17.7 )</v>
          </cell>
          <cell r="E347" t="str">
            <v>2.17.7 )</v>
          </cell>
          <cell r="F347" t="str">
            <v>3.17.7 )</v>
          </cell>
        </row>
        <row r="348">
          <cell r="B348" t="str">
            <v>345.0 )</v>
          </cell>
          <cell r="C348" t="str">
            <v>17.8 )</v>
          </cell>
          <cell r="D348" t="str">
            <v>1.17.8 )</v>
          </cell>
          <cell r="E348" t="str">
            <v>2.17.8 )</v>
          </cell>
          <cell r="F348" t="str">
            <v>3.17.8 )</v>
          </cell>
        </row>
        <row r="349">
          <cell r="B349" t="str">
            <v>346.0 )</v>
          </cell>
          <cell r="C349" t="str">
            <v>17.9 )</v>
          </cell>
          <cell r="D349" t="str">
            <v>1.17.9 )</v>
          </cell>
          <cell r="E349" t="str">
            <v>2.17.9 )</v>
          </cell>
          <cell r="F349" t="str">
            <v>3.17.9 )</v>
          </cell>
        </row>
        <row r="350">
          <cell r="B350" t="str">
            <v>347.0 )</v>
          </cell>
          <cell r="C350" t="str">
            <v>17.10 )</v>
          </cell>
          <cell r="D350" t="str">
            <v>1.17.10 )</v>
          </cell>
          <cell r="E350" t="str">
            <v>2.17.10 )</v>
          </cell>
          <cell r="F350" t="str">
            <v>3.17.10 )</v>
          </cell>
        </row>
        <row r="351">
          <cell r="B351" t="str">
            <v>348.0 )</v>
          </cell>
          <cell r="C351" t="str">
            <v>17.11 )</v>
          </cell>
          <cell r="D351" t="str">
            <v>1.17.11 )</v>
          </cell>
          <cell r="E351" t="str">
            <v>2.17.11 )</v>
          </cell>
          <cell r="F351" t="str">
            <v>3.17.11 )</v>
          </cell>
        </row>
        <row r="352">
          <cell r="B352" t="str">
            <v>349.0 )</v>
          </cell>
          <cell r="C352" t="str">
            <v>17.12 )</v>
          </cell>
          <cell r="D352" t="str">
            <v>1.17.12 )</v>
          </cell>
          <cell r="E352" t="str">
            <v>2.17.12 )</v>
          </cell>
          <cell r="F352" t="str">
            <v>3.17.12 )</v>
          </cell>
        </row>
        <row r="353">
          <cell r="B353" t="str">
            <v>350.0 )</v>
          </cell>
          <cell r="C353" t="str">
            <v>17.13 )</v>
          </cell>
          <cell r="D353" t="str">
            <v>1.17.13 )</v>
          </cell>
          <cell r="E353" t="str">
            <v>2.17.13 )</v>
          </cell>
          <cell r="F353" t="str">
            <v>3.17.13 )</v>
          </cell>
        </row>
        <row r="354">
          <cell r="B354" t="str">
            <v>351.0 )</v>
          </cell>
          <cell r="C354" t="str">
            <v>17.14 )</v>
          </cell>
          <cell r="D354" t="str">
            <v>1.17.14 )</v>
          </cell>
          <cell r="E354" t="str">
            <v>2.17.14 )</v>
          </cell>
          <cell r="F354" t="str">
            <v>3.17.14 )</v>
          </cell>
        </row>
        <row r="355">
          <cell r="B355" t="str">
            <v>352.0 )</v>
          </cell>
          <cell r="C355" t="str">
            <v>17.15 )</v>
          </cell>
          <cell r="D355" t="str">
            <v>1.17.15 )</v>
          </cell>
          <cell r="E355" t="str">
            <v>2.17.15 )</v>
          </cell>
          <cell r="F355" t="str">
            <v>3.17.15 )</v>
          </cell>
        </row>
        <row r="356">
          <cell r="B356" t="str">
            <v>353.0 )</v>
          </cell>
          <cell r="C356" t="str">
            <v>17.16 )</v>
          </cell>
          <cell r="D356" t="str">
            <v>1.17.16 )</v>
          </cell>
          <cell r="E356" t="str">
            <v>2.17.16 )</v>
          </cell>
          <cell r="F356" t="str">
            <v>3.17.16 )</v>
          </cell>
        </row>
        <row r="357">
          <cell r="B357" t="str">
            <v>354.0 )</v>
          </cell>
          <cell r="C357" t="str">
            <v>17.17 )</v>
          </cell>
          <cell r="D357" t="str">
            <v>1.17.17 )</v>
          </cell>
          <cell r="E357" t="str">
            <v>2.17.17 )</v>
          </cell>
          <cell r="F357" t="str">
            <v>3.17.17 )</v>
          </cell>
        </row>
        <row r="358">
          <cell r="B358" t="str">
            <v>355.0 )</v>
          </cell>
          <cell r="C358" t="str">
            <v>17.18 )</v>
          </cell>
          <cell r="D358" t="str">
            <v>1.17.18 )</v>
          </cell>
          <cell r="E358" t="str">
            <v>2.17.18 )</v>
          </cell>
          <cell r="F358" t="str">
            <v>3.17.18 )</v>
          </cell>
        </row>
        <row r="359">
          <cell r="B359" t="str">
            <v>356.0 )</v>
          </cell>
          <cell r="C359" t="str">
            <v>17.19 )</v>
          </cell>
          <cell r="D359" t="str">
            <v>1.17.19 )</v>
          </cell>
          <cell r="E359" t="str">
            <v>2.17.19 )</v>
          </cell>
          <cell r="F359" t="str">
            <v>3.17.19 )</v>
          </cell>
        </row>
        <row r="360">
          <cell r="B360" t="str">
            <v>357.0 )</v>
          </cell>
          <cell r="C360" t="str">
            <v>17.20 )</v>
          </cell>
          <cell r="D360" t="str">
            <v>1.17.20 )</v>
          </cell>
          <cell r="E360" t="str">
            <v>2.17.20 )</v>
          </cell>
          <cell r="F360" t="str">
            <v>3.17.20 )</v>
          </cell>
        </row>
        <row r="361">
          <cell r="B361" t="str">
            <v>358.0 )</v>
          </cell>
          <cell r="C361" t="str">
            <v>18.0 )</v>
          </cell>
          <cell r="D361" t="str">
            <v>1.18.0 )</v>
          </cell>
          <cell r="E361" t="str">
            <v>2.18.0 )</v>
          </cell>
          <cell r="F361" t="str">
            <v>3.18.0 )</v>
          </cell>
        </row>
        <row r="362">
          <cell r="B362" t="str">
            <v>359.0 )</v>
          </cell>
          <cell r="C362" t="str">
            <v>18.1 )</v>
          </cell>
          <cell r="D362" t="str">
            <v>1.18.1 )</v>
          </cell>
          <cell r="E362" t="str">
            <v>2.18.1 )</v>
          </cell>
          <cell r="F362" t="str">
            <v>3.18.1 )</v>
          </cell>
        </row>
        <row r="363">
          <cell r="B363" t="str">
            <v>360.0 )</v>
          </cell>
          <cell r="C363" t="str">
            <v>18.2 )</v>
          </cell>
          <cell r="D363" t="str">
            <v>1.18.2 )</v>
          </cell>
          <cell r="E363" t="str">
            <v>2.18.2 )</v>
          </cell>
          <cell r="F363" t="str">
            <v>3.18.2 )</v>
          </cell>
        </row>
        <row r="364">
          <cell r="B364" t="str">
            <v>361.0 )</v>
          </cell>
          <cell r="C364" t="str">
            <v>18.3 )</v>
          </cell>
          <cell r="D364" t="str">
            <v>1.18.3 )</v>
          </cell>
          <cell r="E364" t="str">
            <v>2.18.3 )</v>
          </cell>
          <cell r="F364" t="str">
            <v>3.18.3 )</v>
          </cell>
        </row>
        <row r="365">
          <cell r="B365" t="str">
            <v>362.0 )</v>
          </cell>
          <cell r="C365" t="str">
            <v>18.4 )</v>
          </cell>
          <cell r="D365" t="str">
            <v>1.18.4 )</v>
          </cell>
          <cell r="E365" t="str">
            <v>2.18.4 )</v>
          </cell>
          <cell r="F365" t="str">
            <v>3.18.4 )</v>
          </cell>
        </row>
        <row r="366">
          <cell r="B366" t="str">
            <v>363.0 )</v>
          </cell>
          <cell r="C366" t="str">
            <v>18.5 )</v>
          </cell>
          <cell r="D366" t="str">
            <v>1.18.5 )</v>
          </cell>
          <cell r="E366" t="str">
            <v>2.18.5 )</v>
          </cell>
          <cell r="F366" t="str">
            <v>3.18.5 )</v>
          </cell>
        </row>
        <row r="367">
          <cell r="B367" t="str">
            <v>364.0 )</v>
          </cell>
          <cell r="C367" t="str">
            <v>18.6 )</v>
          </cell>
          <cell r="D367" t="str">
            <v>1.18.6 )</v>
          </cell>
          <cell r="E367" t="str">
            <v>2.18.6 )</v>
          </cell>
          <cell r="F367" t="str">
            <v>3.18.6 )</v>
          </cell>
        </row>
        <row r="368">
          <cell r="B368" t="str">
            <v>365.0 )</v>
          </cell>
          <cell r="C368" t="str">
            <v>18.7 )</v>
          </cell>
          <cell r="D368" t="str">
            <v>1.18.7 )</v>
          </cell>
          <cell r="E368" t="str">
            <v>2.18.7 )</v>
          </cell>
          <cell r="F368" t="str">
            <v>3.18.7 )</v>
          </cell>
        </row>
        <row r="369">
          <cell r="B369" t="str">
            <v>366.0 )</v>
          </cell>
          <cell r="C369" t="str">
            <v>18.8 )</v>
          </cell>
          <cell r="D369" t="str">
            <v>1.18.8 )</v>
          </cell>
          <cell r="E369" t="str">
            <v>2.18.8 )</v>
          </cell>
          <cell r="F369" t="str">
            <v>3.18.8 )</v>
          </cell>
        </row>
        <row r="370">
          <cell r="B370" t="str">
            <v>367.0 )</v>
          </cell>
          <cell r="C370" t="str">
            <v>18.9 )</v>
          </cell>
          <cell r="D370" t="str">
            <v>1.18.9 )</v>
          </cell>
          <cell r="E370" t="str">
            <v>2.18.9 )</v>
          </cell>
          <cell r="F370" t="str">
            <v>3.18.9 )</v>
          </cell>
        </row>
        <row r="371">
          <cell r="B371" t="str">
            <v>368.0 )</v>
          </cell>
          <cell r="C371" t="str">
            <v>18.10 )</v>
          </cell>
          <cell r="D371" t="str">
            <v>1.18.10 )</v>
          </cell>
          <cell r="E371" t="str">
            <v>2.18.10 )</v>
          </cell>
          <cell r="F371" t="str">
            <v>3.18.10 )</v>
          </cell>
        </row>
        <row r="372">
          <cell r="B372" t="str">
            <v>369.0 )</v>
          </cell>
          <cell r="C372" t="str">
            <v>18.11 )</v>
          </cell>
          <cell r="D372" t="str">
            <v>1.18.11 )</v>
          </cell>
          <cell r="E372" t="str">
            <v>2.18.11 )</v>
          </cell>
          <cell r="F372" t="str">
            <v>3.18.11 )</v>
          </cell>
        </row>
        <row r="373">
          <cell r="B373" t="str">
            <v>370.0 )</v>
          </cell>
          <cell r="C373" t="str">
            <v>18.12 )</v>
          </cell>
          <cell r="D373" t="str">
            <v>1.18.12 )</v>
          </cell>
          <cell r="E373" t="str">
            <v>2.18.12 )</v>
          </cell>
          <cell r="F373" t="str">
            <v>3.18.12 )</v>
          </cell>
        </row>
        <row r="374">
          <cell r="B374" t="str">
            <v>371.0 )</v>
          </cell>
          <cell r="C374" t="str">
            <v>18.13 )</v>
          </cell>
          <cell r="D374" t="str">
            <v>1.18.13 )</v>
          </cell>
          <cell r="E374" t="str">
            <v>2.18.13 )</v>
          </cell>
          <cell r="F374" t="str">
            <v>3.18.13 )</v>
          </cell>
        </row>
        <row r="375">
          <cell r="B375" t="str">
            <v>372.0 )</v>
          </cell>
          <cell r="C375" t="str">
            <v>18.14 )</v>
          </cell>
          <cell r="D375" t="str">
            <v>1.18.14 )</v>
          </cell>
          <cell r="E375" t="str">
            <v>2.18.14 )</v>
          </cell>
          <cell r="F375" t="str">
            <v>3.18.14 )</v>
          </cell>
        </row>
        <row r="376">
          <cell r="B376" t="str">
            <v>373.0 )</v>
          </cell>
          <cell r="C376" t="str">
            <v>18.15 )</v>
          </cell>
          <cell r="D376" t="str">
            <v>1.18.15 )</v>
          </cell>
          <cell r="E376" t="str">
            <v>2.18.15 )</v>
          </cell>
          <cell r="F376" t="str">
            <v>3.18.15 )</v>
          </cell>
        </row>
        <row r="377">
          <cell r="B377" t="str">
            <v>374.0 )</v>
          </cell>
          <cell r="C377" t="str">
            <v>18.16 )</v>
          </cell>
          <cell r="D377" t="str">
            <v>1.18.16 )</v>
          </cell>
          <cell r="E377" t="str">
            <v>2.18.16 )</v>
          </cell>
          <cell r="F377" t="str">
            <v>3.18.16 )</v>
          </cell>
        </row>
        <row r="378">
          <cell r="B378" t="str">
            <v>375.0 )</v>
          </cell>
          <cell r="C378" t="str">
            <v>18.17 )</v>
          </cell>
          <cell r="D378" t="str">
            <v>1.18.17 )</v>
          </cell>
          <cell r="E378" t="str">
            <v>2.18.17 )</v>
          </cell>
          <cell r="F378" t="str">
            <v>3.18.17 )</v>
          </cell>
        </row>
        <row r="379">
          <cell r="B379" t="str">
            <v>376.0 )</v>
          </cell>
          <cell r="C379" t="str">
            <v>18.18 )</v>
          </cell>
          <cell r="D379" t="str">
            <v>1.18.18 )</v>
          </cell>
          <cell r="E379" t="str">
            <v>2.18.18 )</v>
          </cell>
          <cell r="F379" t="str">
            <v>3.18.18 )</v>
          </cell>
        </row>
        <row r="380">
          <cell r="B380" t="str">
            <v>377.0 )</v>
          </cell>
          <cell r="C380" t="str">
            <v>18.19 )</v>
          </cell>
          <cell r="D380" t="str">
            <v>1.18.19 )</v>
          </cell>
          <cell r="E380" t="str">
            <v>2.18.19 )</v>
          </cell>
          <cell r="F380" t="str">
            <v>3.18.19 )</v>
          </cell>
        </row>
        <row r="381">
          <cell r="B381" t="str">
            <v>378.0 )</v>
          </cell>
          <cell r="C381" t="str">
            <v>18.20 )</v>
          </cell>
          <cell r="D381" t="str">
            <v>1.18.20 )</v>
          </cell>
          <cell r="E381" t="str">
            <v>2.18.20 )</v>
          </cell>
          <cell r="F381" t="str">
            <v>3.18.20 )</v>
          </cell>
        </row>
        <row r="382">
          <cell r="B382" t="str">
            <v>379.0 )</v>
          </cell>
          <cell r="C382" t="str">
            <v>19.0 )</v>
          </cell>
          <cell r="D382" t="str">
            <v>1.19.0 )</v>
          </cell>
          <cell r="E382" t="str">
            <v>2.19.0 )</v>
          </cell>
          <cell r="F382" t="str">
            <v>3.19.0 )</v>
          </cell>
        </row>
        <row r="383">
          <cell r="B383" t="str">
            <v>380.0 )</v>
          </cell>
          <cell r="C383" t="str">
            <v>19.1 )</v>
          </cell>
          <cell r="D383" t="str">
            <v>1.19.1 )</v>
          </cell>
          <cell r="E383" t="str">
            <v>2.19.1 )</v>
          </cell>
          <cell r="F383" t="str">
            <v>3.19.1 )</v>
          </cell>
        </row>
        <row r="384">
          <cell r="B384" t="str">
            <v>381.0 )</v>
          </cell>
          <cell r="C384" t="str">
            <v>19.2 )</v>
          </cell>
          <cell r="D384" t="str">
            <v>1.19.2 )</v>
          </cell>
          <cell r="E384" t="str">
            <v>2.19.2 )</v>
          </cell>
          <cell r="F384" t="str">
            <v>3.19.2 )</v>
          </cell>
        </row>
        <row r="385">
          <cell r="B385" t="str">
            <v>382.0 )</v>
          </cell>
          <cell r="C385" t="str">
            <v>19.3 )</v>
          </cell>
          <cell r="D385" t="str">
            <v>1.19.3 )</v>
          </cell>
          <cell r="E385" t="str">
            <v>2.19.3 )</v>
          </cell>
          <cell r="F385" t="str">
            <v>3.19.3 )</v>
          </cell>
        </row>
        <row r="386">
          <cell r="B386" t="str">
            <v>383.0 )</v>
          </cell>
          <cell r="C386" t="str">
            <v>19.4 )</v>
          </cell>
          <cell r="D386" t="str">
            <v>1.19.4 )</v>
          </cell>
          <cell r="E386" t="str">
            <v>2.19.4 )</v>
          </cell>
          <cell r="F386" t="str">
            <v>3.19.4 )</v>
          </cell>
        </row>
        <row r="387">
          <cell r="B387" t="str">
            <v>384.0 )</v>
          </cell>
          <cell r="C387" t="str">
            <v>19.5 )</v>
          </cell>
          <cell r="D387" t="str">
            <v>1.19.5 )</v>
          </cell>
          <cell r="E387" t="str">
            <v>2.19.5 )</v>
          </cell>
          <cell r="F387" t="str">
            <v>3.19.5 )</v>
          </cell>
        </row>
        <row r="388">
          <cell r="B388" t="str">
            <v>385.0 )</v>
          </cell>
          <cell r="C388" t="str">
            <v>19.6 )</v>
          </cell>
          <cell r="D388" t="str">
            <v>1.19.6 )</v>
          </cell>
          <cell r="E388" t="str">
            <v>2.19.6 )</v>
          </cell>
          <cell r="F388" t="str">
            <v>3.19.6 )</v>
          </cell>
        </row>
        <row r="389">
          <cell r="B389" t="str">
            <v>386.0 )</v>
          </cell>
          <cell r="C389" t="str">
            <v>19.7 )</v>
          </cell>
          <cell r="D389" t="str">
            <v>1.19.7 )</v>
          </cell>
          <cell r="E389" t="str">
            <v>2.19.7 )</v>
          </cell>
          <cell r="F389" t="str">
            <v>3.19.7 )</v>
          </cell>
        </row>
        <row r="390">
          <cell r="B390" t="str">
            <v>387.0 )</v>
          </cell>
          <cell r="C390" t="str">
            <v>19.8 )</v>
          </cell>
          <cell r="D390" t="str">
            <v>1.19.8 )</v>
          </cell>
          <cell r="E390" t="str">
            <v>2.19.8 )</v>
          </cell>
          <cell r="F390" t="str">
            <v>3.19.8 )</v>
          </cell>
        </row>
        <row r="391">
          <cell r="B391" t="str">
            <v>388.0 )</v>
          </cell>
          <cell r="C391" t="str">
            <v>19.9 )</v>
          </cell>
          <cell r="D391" t="str">
            <v>1.19.9 )</v>
          </cell>
          <cell r="E391" t="str">
            <v>2.19.9 )</v>
          </cell>
          <cell r="F391" t="str">
            <v>3.19.9 )</v>
          </cell>
        </row>
        <row r="392">
          <cell r="B392" t="str">
            <v>389.0 )</v>
          </cell>
          <cell r="C392" t="str">
            <v>19.10 )</v>
          </cell>
          <cell r="D392" t="str">
            <v>1.19.10 )</v>
          </cell>
          <cell r="E392" t="str">
            <v>2.19.10 )</v>
          </cell>
          <cell r="F392" t="str">
            <v>3.19.10 )</v>
          </cell>
        </row>
        <row r="393">
          <cell r="B393" t="str">
            <v>390.0 )</v>
          </cell>
          <cell r="C393" t="str">
            <v>19.11 )</v>
          </cell>
          <cell r="D393" t="str">
            <v>1.19.11 )</v>
          </cell>
          <cell r="E393" t="str">
            <v>2.19.11 )</v>
          </cell>
          <cell r="F393" t="str">
            <v>3.19.11 )</v>
          </cell>
        </row>
        <row r="394">
          <cell r="B394" t="str">
            <v>391.0 )</v>
          </cell>
          <cell r="C394" t="str">
            <v>19.12 )</v>
          </cell>
          <cell r="D394" t="str">
            <v>1.19.12 )</v>
          </cell>
          <cell r="E394" t="str">
            <v>2.19.12 )</v>
          </cell>
          <cell r="F394" t="str">
            <v>3.19.12 )</v>
          </cell>
        </row>
        <row r="395">
          <cell r="B395" t="str">
            <v>392.0 )</v>
          </cell>
          <cell r="C395" t="str">
            <v>19.13 )</v>
          </cell>
          <cell r="D395" t="str">
            <v>1.19.13 )</v>
          </cell>
          <cell r="E395" t="str">
            <v>2.19.13 )</v>
          </cell>
          <cell r="F395" t="str">
            <v>3.19.13 )</v>
          </cell>
        </row>
        <row r="396">
          <cell r="B396" t="str">
            <v>393.0 )</v>
          </cell>
          <cell r="C396" t="str">
            <v>19.14 )</v>
          </cell>
          <cell r="D396" t="str">
            <v>1.19.14 )</v>
          </cell>
          <cell r="E396" t="str">
            <v>2.19.14 )</v>
          </cell>
          <cell r="F396" t="str">
            <v>3.19.14 )</v>
          </cell>
        </row>
        <row r="397">
          <cell r="B397" t="str">
            <v>394.0 )</v>
          </cell>
          <cell r="C397" t="str">
            <v>19.15 )</v>
          </cell>
          <cell r="D397" t="str">
            <v>1.19.15 )</v>
          </cell>
          <cell r="E397" t="str">
            <v>2.19.15 )</v>
          </cell>
          <cell r="F397" t="str">
            <v>3.19.15 )</v>
          </cell>
        </row>
        <row r="398">
          <cell r="B398" t="str">
            <v>395.0 )</v>
          </cell>
          <cell r="C398" t="str">
            <v>19.16 )</v>
          </cell>
          <cell r="D398" t="str">
            <v>1.19.16 )</v>
          </cell>
          <cell r="E398" t="str">
            <v>2.19.16 )</v>
          </cell>
          <cell r="F398" t="str">
            <v>3.19.16 )</v>
          </cell>
        </row>
        <row r="399">
          <cell r="B399" t="str">
            <v>396.0 )</v>
          </cell>
          <cell r="C399" t="str">
            <v>19.17 )</v>
          </cell>
          <cell r="D399" t="str">
            <v>1.19.17 )</v>
          </cell>
          <cell r="E399" t="str">
            <v>2.19.17 )</v>
          </cell>
          <cell r="F399" t="str">
            <v>3.19.17 )</v>
          </cell>
        </row>
        <row r="400">
          <cell r="B400" t="str">
            <v>397.0 )</v>
          </cell>
          <cell r="C400" t="str">
            <v>19.18 )</v>
          </cell>
          <cell r="D400" t="str">
            <v>1.19.18 )</v>
          </cell>
          <cell r="E400" t="str">
            <v>2.19.18 )</v>
          </cell>
          <cell r="F400" t="str">
            <v>3.19.18 )</v>
          </cell>
        </row>
        <row r="401">
          <cell r="B401" t="str">
            <v>398.0 )</v>
          </cell>
          <cell r="C401" t="str">
            <v>19.19 )</v>
          </cell>
          <cell r="D401" t="str">
            <v>1.19.19 )</v>
          </cell>
          <cell r="E401" t="str">
            <v>2.19.19 )</v>
          </cell>
          <cell r="F401" t="str">
            <v>3.19.19 )</v>
          </cell>
        </row>
        <row r="402">
          <cell r="B402" t="str">
            <v>399.0 )</v>
          </cell>
          <cell r="C402" t="str">
            <v>19.20 )</v>
          </cell>
          <cell r="D402" t="str">
            <v>1.19.20 )</v>
          </cell>
          <cell r="E402" t="str">
            <v>2.19.20 )</v>
          </cell>
          <cell r="F402" t="str">
            <v>3.19.20 )</v>
          </cell>
        </row>
        <row r="403">
          <cell r="B403" t="str">
            <v>400.0 )</v>
          </cell>
          <cell r="C403" t="str">
            <v>20.0 )</v>
          </cell>
          <cell r="D403" t="str">
            <v>1.20.0 )</v>
          </cell>
          <cell r="E403" t="str">
            <v>2.20.0 )</v>
          </cell>
          <cell r="F403" t="str">
            <v>3.20.0 )</v>
          </cell>
        </row>
        <row r="404">
          <cell r="B404" t="str">
            <v>401.0 )</v>
          </cell>
          <cell r="C404" t="str">
            <v>20.1 )</v>
          </cell>
          <cell r="D404" t="str">
            <v>1.20.1 )</v>
          </cell>
          <cell r="E404" t="str">
            <v>2.20.1 )</v>
          </cell>
          <cell r="F404" t="str">
            <v>3.20.1 )</v>
          </cell>
        </row>
        <row r="405">
          <cell r="B405" t="str">
            <v>402.0 )</v>
          </cell>
          <cell r="C405" t="str">
            <v>20.2 )</v>
          </cell>
          <cell r="D405" t="str">
            <v>1.20.2 )</v>
          </cell>
          <cell r="E405" t="str">
            <v>2.20.2 )</v>
          </cell>
          <cell r="F405" t="str">
            <v>3.20.2 )</v>
          </cell>
        </row>
        <row r="406">
          <cell r="B406" t="str">
            <v>403.0 )</v>
          </cell>
          <cell r="C406" t="str">
            <v>20.3 )</v>
          </cell>
          <cell r="D406" t="str">
            <v>1.20.3 )</v>
          </cell>
          <cell r="E406" t="str">
            <v>2.20.3 )</v>
          </cell>
          <cell r="F406" t="str">
            <v>3.20.3 )</v>
          </cell>
        </row>
        <row r="407">
          <cell r="B407" t="str">
            <v>404.0 )</v>
          </cell>
          <cell r="C407" t="str">
            <v>20.4 )</v>
          </cell>
          <cell r="D407" t="str">
            <v>1.20.4 )</v>
          </cell>
          <cell r="E407" t="str">
            <v>2.20.4 )</v>
          </cell>
          <cell r="F407" t="str">
            <v>3.20.4 )</v>
          </cell>
        </row>
        <row r="408">
          <cell r="B408" t="str">
            <v>405.0 )</v>
          </cell>
          <cell r="C408" t="str">
            <v>20.5 )</v>
          </cell>
          <cell r="D408" t="str">
            <v>1.20.5 )</v>
          </cell>
          <cell r="E408" t="str">
            <v>2.20.5 )</v>
          </cell>
          <cell r="F408" t="str">
            <v>3.20.5 )</v>
          </cell>
        </row>
        <row r="409">
          <cell r="B409" t="str">
            <v>406.0 )</v>
          </cell>
          <cell r="C409" t="str">
            <v>20.6 )</v>
          </cell>
          <cell r="D409" t="str">
            <v>1.20.6 )</v>
          </cell>
          <cell r="E409" t="str">
            <v>2.20.6 )</v>
          </cell>
          <cell r="F409" t="str">
            <v>3.20.6 )</v>
          </cell>
        </row>
        <row r="410">
          <cell r="B410" t="str">
            <v>407.0 )</v>
          </cell>
          <cell r="C410" t="str">
            <v>20.7 )</v>
          </cell>
          <cell r="D410" t="str">
            <v>1.20.7 )</v>
          </cell>
          <cell r="E410" t="str">
            <v>2.20.7 )</v>
          </cell>
          <cell r="F410" t="str">
            <v>3.20.7 )</v>
          </cell>
        </row>
        <row r="411">
          <cell r="B411" t="str">
            <v>408.0 )</v>
          </cell>
          <cell r="C411" t="str">
            <v>20.8 )</v>
          </cell>
          <cell r="D411" t="str">
            <v>1.20.8 )</v>
          </cell>
          <cell r="E411" t="str">
            <v>2.20.8 )</v>
          </cell>
          <cell r="F411" t="str">
            <v>3.20.8 )</v>
          </cell>
        </row>
        <row r="412">
          <cell r="B412" t="str">
            <v>409.0 )</v>
          </cell>
          <cell r="C412" t="str">
            <v>20.9 )</v>
          </cell>
          <cell r="D412" t="str">
            <v>1.20.9 )</v>
          </cell>
          <cell r="E412" t="str">
            <v>2.20.9 )</v>
          </cell>
          <cell r="F412" t="str">
            <v>3.20.9 )</v>
          </cell>
        </row>
        <row r="413">
          <cell r="B413" t="str">
            <v>410.0 )</v>
          </cell>
          <cell r="C413" t="str">
            <v>20.10 )</v>
          </cell>
          <cell r="D413" t="str">
            <v>1.20.10 )</v>
          </cell>
          <cell r="E413" t="str">
            <v>2.20.10 )</v>
          </cell>
          <cell r="F413" t="str">
            <v>3.20.10 )</v>
          </cell>
        </row>
        <row r="414">
          <cell r="B414" t="str">
            <v>411.0 )</v>
          </cell>
          <cell r="C414" t="str">
            <v>20.11 )</v>
          </cell>
          <cell r="D414" t="str">
            <v>1.20.11 )</v>
          </cell>
          <cell r="E414" t="str">
            <v>2.20.11 )</v>
          </cell>
          <cell r="F414" t="str">
            <v>3.20.11 )</v>
          </cell>
        </row>
        <row r="415">
          <cell r="B415" t="str">
            <v>412.0 )</v>
          </cell>
          <cell r="C415" t="str">
            <v>20.12 )</v>
          </cell>
          <cell r="D415" t="str">
            <v>1.20.12 )</v>
          </cell>
          <cell r="E415" t="str">
            <v>2.20.12 )</v>
          </cell>
          <cell r="F415" t="str">
            <v>3.20.12 )</v>
          </cell>
        </row>
        <row r="416">
          <cell r="B416" t="str">
            <v>413.0 )</v>
          </cell>
          <cell r="C416" t="str">
            <v>20.13 )</v>
          </cell>
          <cell r="D416" t="str">
            <v>1.20.13 )</v>
          </cell>
          <cell r="E416" t="str">
            <v>2.20.13 )</v>
          </cell>
          <cell r="F416" t="str">
            <v>3.20.13 )</v>
          </cell>
        </row>
        <row r="417">
          <cell r="B417" t="str">
            <v>414.0 )</v>
          </cell>
          <cell r="C417" t="str">
            <v>20.14 )</v>
          </cell>
          <cell r="D417" t="str">
            <v>1.20.14 )</v>
          </cell>
          <cell r="E417" t="str">
            <v>2.20.14 )</v>
          </cell>
          <cell r="F417" t="str">
            <v>3.20.14 )</v>
          </cell>
        </row>
        <row r="418">
          <cell r="B418" t="str">
            <v>415.0 )</v>
          </cell>
          <cell r="C418" t="str">
            <v>20.15 )</v>
          </cell>
          <cell r="D418" t="str">
            <v>1.20.15 )</v>
          </cell>
          <cell r="E418" t="str">
            <v>2.20.15 )</v>
          </cell>
          <cell r="F418" t="str">
            <v>3.20.15 )</v>
          </cell>
        </row>
        <row r="419">
          <cell r="B419" t="str">
            <v>416.0 )</v>
          </cell>
          <cell r="C419" t="str">
            <v>20.16 )</v>
          </cell>
          <cell r="D419" t="str">
            <v>1.20.16 )</v>
          </cell>
          <cell r="E419" t="str">
            <v>2.20.16 )</v>
          </cell>
          <cell r="F419" t="str">
            <v>3.20.16 )</v>
          </cell>
        </row>
        <row r="420">
          <cell r="B420" t="str">
            <v>417.0 )</v>
          </cell>
          <cell r="C420" t="str">
            <v>20.17 )</v>
          </cell>
          <cell r="D420" t="str">
            <v>1.20.17 )</v>
          </cell>
          <cell r="E420" t="str">
            <v>2.20.17 )</v>
          </cell>
          <cell r="F420" t="str">
            <v>3.20.17 )</v>
          </cell>
        </row>
        <row r="421">
          <cell r="B421" t="str">
            <v>418.0 )</v>
          </cell>
          <cell r="C421" t="str">
            <v>20.18 )</v>
          </cell>
          <cell r="D421" t="str">
            <v>1.20.18 )</v>
          </cell>
          <cell r="E421" t="str">
            <v>2.20.18 )</v>
          </cell>
          <cell r="F421" t="str">
            <v>3.20.18 )</v>
          </cell>
        </row>
        <row r="422">
          <cell r="B422" t="str">
            <v>419.0 )</v>
          </cell>
          <cell r="C422" t="str">
            <v>20.19 )</v>
          </cell>
          <cell r="D422" t="str">
            <v>1.20.19 )</v>
          </cell>
          <cell r="E422" t="str">
            <v>2.20.19 )</v>
          </cell>
          <cell r="F422" t="str">
            <v>3.20.19 )</v>
          </cell>
        </row>
        <row r="423">
          <cell r="B423" t="str">
            <v>420.0 )</v>
          </cell>
          <cell r="C423" t="str">
            <v>20.20 )</v>
          </cell>
          <cell r="D423" t="str">
            <v>1.20.20 )</v>
          </cell>
          <cell r="E423" t="str">
            <v>2.20.20 )</v>
          </cell>
          <cell r="F423" t="str">
            <v>3.20.20 )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 ITEMS"/>
      <sheetName val="PRELIM"/>
      <sheetName val="QTY"/>
      <sheetName val="POW"/>
      <sheetName val="Annex A"/>
      <sheetName val="Annex B"/>
      <sheetName val="Annex C"/>
      <sheetName val="ABC"/>
      <sheetName val="PART A"/>
      <sheetName val="PART B"/>
      <sheetName val="PART C"/>
      <sheetName val="PART D"/>
      <sheetName val="PART E"/>
      <sheetName val="PART F"/>
      <sheetName val="PART G"/>
      <sheetName val="PART H"/>
      <sheetName val="Source"/>
    </sheetNames>
    <sheetDataSet>
      <sheetData sheetId="0">
        <row r="3">
          <cell r="A3" t="str">
            <v>Pay Items</v>
          </cell>
          <cell r="B3" t="str">
            <v>Description</v>
          </cell>
          <cell r="C3" t="str">
            <v>Unit</v>
          </cell>
          <cell r="D3" t="str">
            <v>Unit</v>
          </cell>
        </row>
        <row r="4">
          <cell r="A4" t="str">
            <v>PART A</v>
          </cell>
          <cell r="B4" t="str">
            <v>FACILITIES FOR THE ENGINEER</v>
          </cell>
          <cell r="C4">
            <v>0</v>
          </cell>
        </row>
        <row r="5">
          <cell r="A5" t="str">
            <v>A.1.1 (1)</v>
          </cell>
          <cell r="B5" t="str">
            <v xml:space="preserve">Construction of Combined Field Office, Laboratory and Living Quarters Building for the Engineer </v>
          </cell>
          <cell r="C5" t="str">
            <v>Lump Sum</v>
          </cell>
          <cell r="D5" t="str">
            <v>ls</v>
          </cell>
        </row>
        <row r="6">
          <cell r="A6" t="str">
            <v>A.1.1 (2)</v>
          </cell>
          <cell r="B6" t="str">
            <v>Construction of Combined Field Office and Laboratory Building for the Engineer</v>
          </cell>
          <cell r="C6" t="str">
            <v>Lump Sum</v>
          </cell>
          <cell r="D6" t="str">
            <v>ls</v>
          </cell>
        </row>
        <row r="7">
          <cell r="A7" t="str">
            <v>A.1.1 (3)</v>
          </cell>
          <cell r="B7" t="str">
            <v>Construction of Field Office for the Engineer</v>
          </cell>
          <cell r="C7" t="str">
            <v>Lump Sum</v>
          </cell>
          <cell r="D7" t="str">
            <v>ls</v>
          </cell>
        </row>
        <row r="8">
          <cell r="A8" t="str">
            <v>A.1.1 (4)</v>
          </cell>
          <cell r="B8" t="str">
            <v>Construction of Field Laboratory for the Engineer</v>
          </cell>
          <cell r="C8" t="str">
            <v>Lump Sum</v>
          </cell>
          <cell r="D8" t="str">
            <v>ls</v>
          </cell>
        </row>
        <row r="9">
          <cell r="A9" t="str">
            <v>A.1.1 (5)</v>
          </cell>
          <cell r="B9" t="str">
            <v>Construction of Living Quarters for the Engineer</v>
          </cell>
          <cell r="C9" t="str">
            <v>Lump Sum</v>
          </cell>
          <cell r="D9" t="str">
            <v>ls</v>
          </cell>
        </row>
        <row r="10">
          <cell r="A10" t="str">
            <v>A.1.1 (6)</v>
          </cell>
          <cell r="B10" t="str">
            <v>Provision of Combined Field Office, Laboratory and Living Quarters Building for the Engineer (Rental Basis)</v>
          </cell>
          <cell r="C10" t="str">
            <v>Month</v>
          </cell>
          <cell r="D10" t="str">
            <v>mo.</v>
          </cell>
        </row>
        <row r="11">
          <cell r="A11" t="str">
            <v>A.1.1 (7)</v>
          </cell>
          <cell r="B11" t="str">
            <v>Provision of Combined Field Office and Laboratory Building for the Engineer (Rental Basis)</v>
          </cell>
          <cell r="C11" t="str">
            <v>Month</v>
          </cell>
          <cell r="D11" t="str">
            <v>mo.</v>
          </cell>
        </row>
        <row r="12">
          <cell r="A12" t="str">
            <v>A.1.1 (8)</v>
          </cell>
          <cell r="B12" t="str">
            <v>Provision of Field Office for the Engineer (Rental Basis)</v>
          </cell>
          <cell r="C12" t="str">
            <v>Month</v>
          </cell>
          <cell r="D12" t="str">
            <v>mo.</v>
          </cell>
        </row>
        <row r="13">
          <cell r="A13" t="str">
            <v>A.1.1 (9)</v>
          </cell>
          <cell r="B13" t="str">
            <v>Provision of Laboratory for the Engineer (Rental Basis)</v>
          </cell>
          <cell r="C13" t="str">
            <v>Month</v>
          </cell>
          <cell r="D13" t="str">
            <v>mo.</v>
          </cell>
        </row>
        <row r="14">
          <cell r="A14" t="str">
            <v>A.1.1 (10)</v>
          </cell>
          <cell r="B14" t="str">
            <v>Provision of Living Quarters for the Engineer (Rental Basis)</v>
          </cell>
          <cell r="C14" t="str">
            <v>Month</v>
          </cell>
          <cell r="D14" t="str">
            <v>mo.</v>
          </cell>
        </row>
        <row r="15">
          <cell r="A15" t="str">
            <v>A.1.1 (11)</v>
          </cell>
          <cell r="B15" t="str">
            <v>Provision of Furnitures/Fixtures, Equipment &amp; Appliances for the Field Office for the Engineer</v>
          </cell>
          <cell r="C15" t="str">
            <v>Lump Sum</v>
          </cell>
          <cell r="D15" t="str">
            <v>ls</v>
          </cell>
        </row>
        <row r="16">
          <cell r="A16" t="str">
            <v>A.1.1 (12)</v>
          </cell>
          <cell r="B16" t="str">
            <v xml:space="preserve">Provision of Furnitures/Fixtures, Equipment &amp; Appliances for Laboratory Building for the Engineer </v>
          </cell>
          <cell r="C16" t="str">
            <v>Lump Sum</v>
          </cell>
          <cell r="D16" t="str">
            <v>ls</v>
          </cell>
        </row>
        <row r="17">
          <cell r="A17" t="str">
            <v>A.1.1 (13)</v>
          </cell>
          <cell r="B17" t="str">
            <v>Provision of Furnitures/Fixtures &amp; Appliances for the Living Quarters for the Engineer</v>
          </cell>
          <cell r="C17" t="str">
            <v>Lump Sum</v>
          </cell>
          <cell r="D17" t="str">
            <v>ls</v>
          </cell>
        </row>
        <row r="18">
          <cell r="A18" t="str">
            <v>A.1.1 (14)</v>
          </cell>
          <cell r="B18" t="str">
            <v>Provision of Laboratory Testing Equipment, Apparatus and Publications for the Engineer</v>
          </cell>
          <cell r="C18" t="str">
            <v>Lump Sum</v>
          </cell>
          <cell r="D18" t="str">
            <v>ls</v>
          </cell>
        </row>
        <row r="19">
          <cell r="A19" t="str">
            <v>A.1.1 (15)</v>
          </cell>
          <cell r="B19" t="str">
            <v>Operation &amp; Maintenance of Temporary Field Office, Laboratory and Living Quarters Building for the Engineer</v>
          </cell>
          <cell r="C19" t="str">
            <v>Month</v>
          </cell>
          <cell r="D19" t="str">
            <v>mo.</v>
          </cell>
        </row>
        <row r="20">
          <cell r="A20" t="str">
            <v>A.1.1 (16)</v>
          </cell>
          <cell r="B20" t="str">
            <v>Operation &amp; Maintenance of Field Office for the Engineer</v>
          </cell>
          <cell r="C20" t="str">
            <v>Month</v>
          </cell>
          <cell r="D20" t="str">
            <v>mo.</v>
          </cell>
        </row>
        <row r="21">
          <cell r="A21" t="str">
            <v>A.1.1 (17)</v>
          </cell>
          <cell r="B21" t="str">
            <v>Operation &amp; Maintenance of Laboratory Building for the Engineer</v>
          </cell>
          <cell r="C21" t="str">
            <v>Month</v>
          </cell>
          <cell r="D21" t="str">
            <v>mo.</v>
          </cell>
        </row>
        <row r="22">
          <cell r="A22" t="str">
            <v>A.1.1 (18)</v>
          </cell>
          <cell r="B22" t="str">
            <v>Operation &amp; Maintenance of Living Quarters for the Engineer</v>
          </cell>
          <cell r="C22" t="str">
            <v>Month</v>
          </cell>
          <cell r="D22" t="str">
            <v>mo.</v>
          </cell>
        </row>
        <row r="23">
          <cell r="A23" t="str">
            <v>A.1.2 (1)</v>
          </cell>
          <cell r="B23" t="str">
            <v>Provision of 4x4 Pick Up Type Service Vehicle for the Engineer</v>
          </cell>
          <cell r="C23" t="str">
            <v>Each</v>
          </cell>
          <cell r="D23" t="str">
            <v>each</v>
          </cell>
        </row>
        <row r="24">
          <cell r="A24" t="str">
            <v>A.1.2 (2)</v>
          </cell>
          <cell r="B24" t="str">
            <v>Provision of 4x4 Pick Up Type Service Vehicle for the Engineer on Bare Rental Basis</v>
          </cell>
          <cell r="C24" t="str">
            <v>Month</v>
          </cell>
          <cell r="D24" t="str">
            <v>mo.</v>
          </cell>
        </row>
        <row r="25">
          <cell r="A25" t="str">
            <v>A.1.2 (3)</v>
          </cell>
          <cell r="B25" t="str">
            <v>Provision of 4x2 Pick Up Type Service Vehicle for the Engineer</v>
          </cell>
          <cell r="C25" t="str">
            <v>Each</v>
          </cell>
          <cell r="D25" t="str">
            <v>each</v>
          </cell>
        </row>
        <row r="26">
          <cell r="A26" t="str">
            <v>A.1.2 (4)</v>
          </cell>
          <cell r="B26" t="str">
            <v>Provision of 4x2 Pick Up Type Service Vehicle for the Engineer on Bare Rental Basis</v>
          </cell>
          <cell r="C26" t="str">
            <v>Month</v>
          </cell>
          <cell r="D26" t="str">
            <v>mo.</v>
          </cell>
        </row>
        <row r="27">
          <cell r="A27" t="str">
            <v>A.1.2 (5)</v>
          </cell>
          <cell r="B27" t="str">
            <v>Operation and Maintenance of 4x4 Pick Up Type Service Vehicle for the Engineer</v>
          </cell>
          <cell r="C27" t="str">
            <v>Month</v>
          </cell>
          <cell r="D27" t="str">
            <v>mo.</v>
          </cell>
        </row>
        <row r="28">
          <cell r="A28" t="str">
            <v>A.1.2 (6)</v>
          </cell>
          <cell r="B28" t="str">
            <v>Operation and Maintenance of 4x2 Pick Up Type Service Vehicle for the Engineer</v>
          </cell>
          <cell r="C28" t="str">
            <v>Month</v>
          </cell>
          <cell r="D28" t="str">
            <v>mo.</v>
          </cell>
        </row>
        <row r="29">
          <cell r="A29" t="str">
            <v>A.1.2 (7)</v>
          </cell>
          <cell r="B29" t="str">
            <v>Provision of 4x4 Van Type Service Vehicle (12-seater)</v>
          </cell>
          <cell r="C29" t="str">
            <v>Each</v>
          </cell>
          <cell r="D29" t="str">
            <v>each</v>
          </cell>
        </row>
        <row r="30">
          <cell r="A30" t="str">
            <v>A.1.2 (8)</v>
          </cell>
          <cell r="B30" t="str">
            <v>Provision of 4x4 Van Type Service Vehicle on Rental Basis (12 Seater)</v>
          </cell>
          <cell r="C30" t="str">
            <v>Month</v>
          </cell>
          <cell r="D30" t="str">
            <v>mo.</v>
          </cell>
        </row>
        <row r="31">
          <cell r="A31" t="str">
            <v>A.1.2 (9)</v>
          </cell>
          <cell r="B31" t="str">
            <v>Operation and Maintenance of 4x4 Van Type Service
Vehicle (12-seater)</v>
          </cell>
          <cell r="C31" t="str">
            <v>Month</v>
          </cell>
          <cell r="D31" t="str">
            <v>mo.</v>
          </cell>
        </row>
        <row r="32">
          <cell r="A32" t="str">
            <v>A.1.3 (1)</v>
          </cell>
          <cell r="B32" t="str">
            <v>Provision of Field Office Staff for the Assistance to the Engineer</v>
          </cell>
          <cell r="C32" t="str">
            <v>Month</v>
          </cell>
          <cell r="D32" t="str">
            <v>mo.</v>
          </cell>
        </row>
        <row r="33">
          <cell r="A33" t="str">
            <v>A.1.3 (2)</v>
          </cell>
          <cell r="B33" t="str">
            <v>Provision of Survey Equipment for the Assistance to the Engineer</v>
          </cell>
          <cell r="C33" t="str">
            <v>Lump Sum</v>
          </cell>
          <cell r="D33" t="str">
            <v>ls</v>
          </cell>
        </row>
        <row r="34">
          <cell r="A34" t="str">
            <v>A.1.3 (3)</v>
          </cell>
          <cell r="B34" t="str">
            <v>Provision of Survey Personnel for the Assistance to the Engineer</v>
          </cell>
          <cell r="C34" t="str">
            <v>Month</v>
          </cell>
          <cell r="D34" t="str">
            <v>mo.</v>
          </cell>
        </row>
        <row r="35">
          <cell r="A35" t="str">
            <v>A.1.3 (4)</v>
          </cell>
          <cell r="B35" t="str">
            <v>Provision of Laboratory Personnel for the Assistance to the Engineer</v>
          </cell>
          <cell r="C35" t="str">
            <v>Month</v>
          </cell>
          <cell r="D35" t="str">
            <v>mo.</v>
          </cell>
        </row>
        <row r="36">
          <cell r="A36" t="str">
            <v>A.1.4 (1)</v>
          </cell>
          <cell r="B36" t="str">
            <v>Provision of Progress Photographs</v>
          </cell>
          <cell r="C36" t="str">
            <v>Each</v>
          </cell>
          <cell r="D36" t="str">
            <v>each</v>
          </cell>
        </row>
        <row r="37">
          <cell r="A37" t="str">
            <v>A.1.5 (1)</v>
          </cell>
          <cell r="B37" t="str">
            <v>Provision of Communication Facility for the Engineer</v>
          </cell>
          <cell r="C37" t="str">
            <v>Each</v>
          </cell>
          <cell r="D37" t="str">
            <v>each</v>
          </cell>
        </row>
        <row r="38">
          <cell r="A38" t="str">
            <v>A.1.5 (2)</v>
          </cell>
          <cell r="B38" t="str">
            <v>Operation and Maintenance of Communication Facility for the Engineer</v>
          </cell>
          <cell r="C38" t="str">
            <v>Each</v>
          </cell>
          <cell r="D38" t="str">
            <v>each</v>
          </cell>
        </row>
        <row r="39">
          <cell r="A39" t="str">
            <v>PART B</v>
          </cell>
          <cell r="B39" t="str">
            <v>OTHER GENERAL REQUIREMENTS</v>
          </cell>
          <cell r="C39">
            <v>0</v>
          </cell>
        </row>
        <row r="40">
          <cell r="A40" t="str">
            <v>B.1</v>
          </cell>
          <cell r="B40" t="str">
            <v>Offices, Shops, Stores and Workmens Accommodation for Contractor</v>
          </cell>
          <cell r="C40" t="str">
            <v>Lump sum</v>
          </cell>
          <cell r="D40" t="str">
            <v>ls</v>
          </cell>
        </row>
        <row r="41">
          <cell r="A41" t="str">
            <v>B.2</v>
          </cell>
          <cell r="B41" t="str">
            <v>Medical Room and First Aid Facilities</v>
          </cell>
          <cell r="C41" t="str">
            <v>Lump sum</v>
          </cell>
          <cell r="D41" t="str">
            <v>ls</v>
          </cell>
        </row>
        <row r="42">
          <cell r="A42" t="str">
            <v>B.3</v>
          </cell>
          <cell r="B42" t="str">
            <v>Permits and Clearances</v>
          </cell>
          <cell r="C42" t="str">
            <v>Lump sum</v>
          </cell>
          <cell r="D42" t="str">
            <v>ls</v>
          </cell>
        </row>
        <row r="43">
          <cell r="A43" t="str">
            <v>B.4 (1)</v>
          </cell>
          <cell r="B43" t="str">
            <v>Construction survey and staking</v>
          </cell>
          <cell r="C43" t="str">
            <v>Kilometer</v>
          </cell>
          <cell r="D43" t="str">
            <v>km.</v>
          </cell>
        </row>
        <row r="44">
          <cell r="A44" t="str">
            <v>B.4 (2)</v>
          </cell>
          <cell r="B44" t="str">
            <v>Slope, reference, and clearing and grubbing stakes</v>
          </cell>
          <cell r="C44" t="str">
            <v>Kilometer</v>
          </cell>
          <cell r="D44" t="str">
            <v>km.</v>
          </cell>
        </row>
        <row r="45">
          <cell r="A45" t="str">
            <v>B.4 (3)</v>
          </cell>
          <cell r="B45" t="str">
            <v>Centerline reestablishment</v>
          </cell>
          <cell r="C45" t="str">
            <v>Kilometer</v>
          </cell>
          <cell r="D45" t="str">
            <v>km.</v>
          </cell>
        </row>
        <row r="46">
          <cell r="A46" t="str">
            <v>B.4 (4)</v>
          </cell>
          <cell r="B46" t="str">
            <v>Culvert survey and staking</v>
          </cell>
          <cell r="C46" t="str">
            <v>Each</v>
          </cell>
          <cell r="D46" t="str">
            <v>each</v>
          </cell>
        </row>
        <row r="47">
          <cell r="A47" t="str">
            <v>B.4 (5)</v>
          </cell>
          <cell r="B47" t="str">
            <v>Bridge survey and staking</v>
          </cell>
          <cell r="C47" t="str">
            <v>Lump sum</v>
          </cell>
          <cell r="D47" t="str">
            <v>ls</v>
          </cell>
        </row>
        <row r="48">
          <cell r="A48" t="str">
            <v>B.4 (6)</v>
          </cell>
          <cell r="B48" t="str">
            <v>Retaining wall survey and staking</v>
          </cell>
          <cell r="C48" t="str">
            <v>Lump sum</v>
          </cell>
          <cell r="D48" t="str">
            <v>ls</v>
          </cell>
        </row>
        <row r="49">
          <cell r="A49" t="str">
            <v>B.4 (7)</v>
          </cell>
          <cell r="B49" t="str">
            <v>Grade finishing stakes</v>
          </cell>
          <cell r="C49" t="str">
            <v>Kilometer</v>
          </cell>
          <cell r="D49" t="str">
            <v>km.</v>
          </cell>
        </row>
        <row r="50">
          <cell r="A50" t="str">
            <v>B.4 (8)</v>
          </cell>
          <cell r="B50" t="str">
            <v>Permanent monuments and markers</v>
          </cell>
          <cell r="C50" t="str">
            <v>Each</v>
          </cell>
          <cell r="D50" t="str">
            <v>each</v>
          </cell>
        </row>
        <row r="51">
          <cell r="A51" t="str">
            <v>B.4 (9)</v>
          </cell>
          <cell r="B51" t="str">
            <v>Miscellaneous survey and staking</v>
          </cell>
          <cell r="C51" t="str">
            <v>Hour</v>
          </cell>
          <cell r="D51" t="str">
            <v>hr.</v>
          </cell>
        </row>
        <row r="52">
          <cell r="A52" t="str">
            <v>B.4 (10)</v>
          </cell>
          <cell r="B52" t="str">
            <v>Miscellaneous survey and staking</v>
          </cell>
          <cell r="C52" t="str">
            <v>Lump sum</v>
          </cell>
          <cell r="D52" t="str">
            <v>ls</v>
          </cell>
        </row>
        <row r="53">
          <cell r="A53" t="str">
            <v>B.5</v>
          </cell>
          <cell r="B53" t="str">
            <v>Project Billboard / Signboard</v>
          </cell>
          <cell r="C53" t="str">
            <v>Each</v>
          </cell>
          <cell r="D53" t="str">
            <v>each</v>
          </cell>
        </row>
        <row r="54">
          <cell r="A54" t="str">
            <v>B.6</v>
          </cell>
          <cell r="B54" t="str">
            <v>Installation of ODA Recognition Plate</v>
          </cell>
          <cell r="C54" t="str">
            <v>Lump sum</v>
          </cell>
          <cell r="D54" t="str">
            <v>ls</v>
          </cell>
        </row>
        <row r="55">
          <cell r="A55" t="str">
            <v>B.7 (1)</v>
          </cell>
          <cell r="B55" t="str">
            <v>Occupational Safety and Health Program</v>
          </cell>
          <cell r="C55" t="str">
            <v>Month</v>
          </cell>
          <cell r="D55" t="str">
            <v>mo.</v>
          </cell>
        </row>
        <row r="56">
          <cell r="A56" t="str">
            <v>B.7 (2)</v>
          </cell>
          <cell r="B56" t="str">
            <v>Occupational Safety and Health Program</v>
          </cell>
          <cell r="C56" t="str">
            <v>Lump sum</v>
          </cell>
          <cell r="D56" t="str">
            <v>ls</v>
          </cell>
        </row>
        <row r="57">
          <cell r="A57" t="str">
            <v>B.8 (1)</v>
          </cell>
          <cell r="B57" t="str">
            <v>Traffic Management</v>
          </cell>
          <cell r="C57" t="str">
            <v>Month</v>
          </cell>
          <cell r="D57" t="str">
            <v>mo.</v>
          </cell>
        </row>
        <row r="58">
          <cell r="A58" t="str">
            <v>B.8 (2)</v>
          </cell>
          <cell r="B58" t="str">
            <v>Traffic Management</v>
          </cell>
          <cell r="C58" t="str">
            <v>Lump sum</v>
          </cell>
          <cell r="D58" t="str">
            <v>ls</v>
          </cell>
        </row>
        <row r="59">
          <cell r="A59" t="str">
            <v>B.9</v>
          </cell>
          <cell r="B59" t="str">
            <v>Mobilization / Demobilization</v>
          </cell>
          <cell r="C59" t="str">
            <v>Lump sum</v>
          </cell>
          <cell r="D59" t="str">
            <v>ls</v>
          </cell>
        </row>
        <row r="60">
          <cell r="A60" t="str">
            <v>B.10</v>
          </cell>
          <cell r="B60" t="str">
            <v>Dayworks</v>
          </cell>
          <cell r="C60" t="str">
            <v>PS</v>
          </cell>
          <cell r="D60" t="str">
            <v>PS.</v>
          </cell>
        </row>
        <row r="61">
          <cell r="A61" t="str">
            <v>B.11</v>
          </cell>
          <cell r="B61" t="str">
            <v>Provisional Sum</v>
          </cell>
          <cell r="C61" t="str">
            <v>PS</v>
          </cell>
          <cell r="D61" t="str">
            <v>PS.</v>
          </cell>
        </row>
        <row r="62">
          <cell r="A62" t="str">
            <v>B.12</v>
          </cell>
          <cell r="B62" t="str">
            <v>Removal and Relocation of Utilities</v>
          </cell>
          <cell r="C62" t="str">
            <v>Lump sum</v>
          </cell>
          <cell r="D62" t="str">
            <v>ls</v>
          </cell>
        </row>
        <row r="63">
          <cell r="A63" t="str">
            <v>B.13</v>
          </cell>
          <cell r="B63" t="str">
            <v>Additional Geotechnical Investigation</v>
          </cell>
          <cell r="C63" t="str">
            <v>Lump sum</v>
          </cell>
          <cell r="D63" t="str">
            <v>ls</v>
          </cell>
        </row>
        <row r="64">
          <cell r="A64" t="str">
            <v>B.14</v>
          </cell>
          <cell r="B64" t="str">
            <v>Environmental Management and Monitoring</v>
          </cell>
          <cell r="C64" t="str">
            <v>Month</v>
          </cell>
          <cell r="D64" t="str">
            <v>mo.</v>
          </cell>
        </row>
        <row r="65">
          <cell r="A65" t="str">
            <v>B.15 (1)</v>
          </cell>
          <cell r="B65" t="str">
            <v>Detour/Access Road</v>
          </cell>
          <cell r="C65" t="str">
            <v>Lump sum</v>
          </cell>
          <cell r="D65" t="str">
            <v>ls</v>
          </cell>
        </row>
        <row r="66">
          <cell r="A66" t="str">
            <v>B.15 (2)</v>
          </cell>
          <cell r="B66" t="str">
            <v>Detour/Access Road</v>
          </cell>
          <cell r="C66" t="str">
            <v>Linear Meter</v>
          </cell>
          <cell r="D66" t="str">
            <v>l.m.</v>
          </cell>
        </row>
        <row r="67">
          <cell r="A67" t="str">
            <v>B.16</v>
          </cell>
          <cell r="B67" t="str">
            <v>Recognition Plate/Project Marker</v>
          </cell>
          <cell r="C67" t="str">
            <v>Each</v>
          </cell>
          <cell r="D67" t="str">
            <v>each</v>
          </cell>
        </row>
        <row r="68">
          <cell r="A68" t="str">
            <v>B.17</v>
          </cell>
          <cell r="B68" t="str">
            <v>Temporary Diversion of Waterway</v>
          </cell>
          <cell r="C68" t="str">
            <v>Lump Sum</v>
          </cell>
          <cell r="D68" t="str">
            <v>ls</v>
          </cell>
        </row>
        <row r="69">
          <cell r="A69" t="str">
            <v>B.18 (1)</v>
          </cell>
          <cell r="B69" t="str">
            <v>Craneway</v>
          </cell>
          <cell r="C69" t="str">
            <v>Lump sum</v>
          </cell>
          <cell r="D69" t="str">
            <v>ls</v>
          </cell>
        </row>
        <row r="70">
          <cell r="A70" t="str">
            <v>B.18 (2)</v>
          </cell>
          <cell r="B70" t="str">
            <v>Craneway</v>
          </cell>
          <cell r="C70" t="str">
            <v>Linear Meter</v>
          </cell>
          <cell r="D70" t="str">
            <v>l.m.</v>
          </cell>
        </row>
        <row r="71">
          <cell r="A71" t="str">
            <v>B.19</v>
          </cell>
          <cell r="B71" t="str">
            <v>Geotechnical Exploration</v>
          </cell>
          <cell r="C71" t="str">
            <v>Linear Meter</v>
          </cell>
          <cell r="D71" t="str">
            <v>l.m.</v>
          </cell>
        </row>
        <row r="72">
          <cell r="A72" t="str">
            <v>B.20</v>
          </cell>
          <cell r="B72" t="str">
            <v>Temporary Fence</v>
          </cell>
          <cell r="C72" t="str">
            <v>Lump sum</v>
          </cell>
          <cell r="D72" t="str">
            <v>ls</v>
          </cell>
        </row>
        <row r="73">
          <cell r="A73" t="str">
            <v>B.21</v>
          </cell>
          <cell r="B73" t="str">
            <v>Temporary Bridge</v>
          </cell>
          <cell r="C73" t="str">
            <v>Lump sum</v>
          </cell>
          <cell r="D73" t="str">
            <v>ls</v>
          </cell>
        </row>
        <row r="74">
          <cell r="A74" t="str">
            <v>B.22</v>
          </cell>
          <cell r="B74" t="str">
            <v>Support Equipment</v>
          </cell>
          <cell r="C74" t="str">
            <v>Lump sum</v>
          </cell>
          <cell r="D74" t="str">
            <v>ls</v>
          </cell>
        </row>
        <row r="75">
          <cell r="A75" t="str">
            <v>B.23</v>
          </cell>
          <cell r="B75" t="str">
            <v>Staging Area</v>
          </cell>
          <cell r="C75" t="str">
            <v>Lump sum</v>
          </cell>
          <cell r="D75" t="str">
            <v>ls</v>
          </cell>
        </row>
        <row r="76">
          <cell r="A76" t="str">
            <v>B.24</v>
          </cell>
          <cell r="B76" t="str">
            <v>General Scaffolding and Shoring</v>
          </cell>
          <cell r="C76" t="str">
            <v>Lump sum</v>
          </cell>
          <cell r="D76" t="str">
            <v>ls</v>
          </cell>
        </row>
        <row r="77">
          <cell r="A77" t="str">
            <v>B.25</v>
          </cell>
          <cell r="B77" t="str">
            <v>Detailed Engineering and Architectural Design</v>
          </cell>
          <cell r="C77" t="str">
            <v>Lump sum</v>
          </cell>
          <cell r="D77" t="str">
            <v>ls</v>
          </cell>
        </row>
        <row r="78">
          <cell r="A78" t="str">
            <v>PART C</v>
          </cell>
          <cell r="B78" t="str">
            <v>EARTHWORKS</v>
          </cell>
          <cell r="D78" t="e">
            <v>#N/A</v>
          </cell>
        </row>
        <row r="79">
          <cell r="A79" t="str">
            <v>100 (1)</v>
          </cell>
          <cell r="B79" t="str">
            <v>Clearing and Grubbing</v>
          </cell>
          <cell r="C79" t="str">
            <v>Hectare</v>
          </cell>
          <cell r="D79" t="str">
            <v>ha.</v>
          </cell>
        </row>
        <row r="80">
          <cell r="A80" t="str">
            <v>100 (2)</v>
          </cell>
          <cell r="B80" t="str">
            <v>Clearing and Grubbing</v>
          </cell>
          <cell r="C80" t="str">
            <v>Lump Sum</v>
          </cell>
          <cell r="D80" t="str">
            <v>ls</v>
          </cell>
        </row>
        <row r="81">
          <cell r="A81" t="str">
            <v>100 (3) a1</v>
          </cell>
          <cell r="B81" t="str">
            <v>Individual Removal of Trees (150 - 300 mm dia.) Small</v>
          </cell>
          <cell r="C81" t="str">
            <v>Each</v>
          </cell>
          <cell r="D81" t="str">
            <v>each</v>
          </cell>
        </row>
        <row r="82">
          <cell r="A82" t="str">
            <v>100 (3) a2</v>
          </cell>
          <cell r="B82" t="str">
            <v>Individual Removal of Trees (301 - 500 mm.dia) Small</v>
          </cell>
          <cell r="C82" t="str">
            <v>Each</v>
          </cell>
          <cell r="D82" t="str">
            <v>each</v>
          </cell>
        </row>
        <row r="83">
          <cell r="A83" t="str">
            <v>100 (3) a3</v>
          </cell>
          <cell r="B83" t="str">
            <v>Individual Removal of Trees (501 - 750 mm.dia) Small</v>
          </cell>
          <cell r="C83" t="str">
            <v>Each</v>
          </cell>
          <cell r="D83" t="str">
            <v>each</v>
          </cell>
        </row>
        <row r="84">
          <cell r="A84" t="str">
            <v>100 (3) a4</v>
          </cell>
          <cell r="B84" t="str">
            <v>Individual Removal of Trees (751 - 900 mm.dia) Small</v>
          </cell>
          <cell r="C84" t="str">
            <v>Each</v>
          </cell>
          <cell r="D84" t="str">
            <v>each</v>
          </cell>
        </row>
        <row r="85">
          <cell r="A85" t="str">
            <v>100 (4)</v>
          </cell>
          <cell r="B85" t="str">
            <v>Individual Removal of Trees (above 900 mm.dia) Large</v>
          </cell>
          <cell r="C85" t="str">
            <v>Each</v>
          </cell>
          <cell r="D85" t="str">
            <v>each</v>
          </cell>
        </row>
        <row r="86">
          <cell r="A86" t="str">
            <v>101 (1)</v>
          </cell>
          <cell r="B86" t="str">
            <v>Removal of Structures and Obstruction</v>
          </cell>
          <cell r="C86" t="str">
            <v>Lump Sum</v>
          </cell>
          <cell r="D86" t="str">
            <v>ls</v>
          </cell>
        </row>
        <row r="87">
          <cell r="A87" t="str">
            <v>101 (2)</v>
          </cell>
          <cell r="B87" t="str">
            <v>Removal of Actual Structures/Obstruction</v>
          </cell>
          <cell r="C87" t="str">
            <v>Each</v>
          </cell>
          <cell r="D87" t="str">
            <v>each</v>
          </cell>
        </row>
        <row r="88">
          <cell r="A88" t="str">
            <v>101 (3) a1</v>
          </cell>
          <cell r="B88" t="str">
            <v>Removal of Actual Structures/Obstruction 0.15 m thick PCCP (Reinforced)</v>
          </cell>
          <cell r="C88" t="str">
            <v>Square Meter</v>
          </cell>
          <cell r="D88" t="str">
            <v>sq. m.</v>
          </cell>
        </row>
        <row r="89">
          <cell r="A89" t="str">
            <v>101 (3) a2</v>
          </cell>
          <cell r="B89" t="str">
            <v>Removal of Actual Structures/Obstruction 0.20 m thick PCCP (Reinforced)</v>
          </cell>
          <cell r="C89" t="str">
            <v>Square Meter</v>
          </cell>
          <cell r="D89" t="str">
            <v>sq. m.</v>
          </cell>
        </row>
        <row r="90">
          <cell r="A90" t="str">
            <v>101 (3) a3</v>
          </cell>
          <cell r="B90" t="str">
            <v>Removal of Actual Structures/Obstruction 0.23 m thick PCCP (Reinforced)</v>
          </cell>
          <cell r="C90" t="str">
            <v>Square Meter</v>
          </cell>
          <cell r="D90" t="str">
            <v>sq. m.</v>
          </cell>
        </row>
        <row r="91">
          <cell r="A91" t="str">
            <v>101 (3) a4</v>
          </cell>
          <cell r="B91" t="str">
            <v>Removal of Actual Structures/Obstruction 0.25 m thick PCCP (Reinforced)</v>
          </cell>
          <cell r="C91" t="str">
            <v>Square Meter</v>
          </cell>
          <cell r="D91" t="str">
            <v>sq. m.</v>
          </cell>
        </row>
        <row r="92">
          <cell r="A92" t="str">
            <v>101 (3) a5</v>
          </cell>
          <cell r="B92" t="str">
            <v>Removal of Actual Structures/Obstruction 0.28 m thick PCCP (Reinforced)</v>
          </cell>
          <cell r="C92" t="str">
            <v>Square Meter</v>
          </cell>
          <cell r="D92" t="str">
            <v>sq. m.</v>
          </cell>
        </row>
        <row r="93">
          <cell r="A93" t="str">
            <v>101 (3) a6</v>
          </cell>
          <cell r="B93" t="str">
            <v>Removal of Actual Structures/Obstruction 0.30 m thick PCCP (Reinforced)</v>
          </cell>
          <cell r="C93" t="str">
            <v>Square Meter</v>
          </cell>
          <cell r="D93" t="str">
            <v>sq. m.</v>
          </cell>
        </row>
        <row r="94">
          <cell r="A94" t="str">
            <v>101 (3) a7</v>
          </cell>
          <cell r="B94" t="str">
            <v>Removal of Actual Structures/Obstruction 0.33 m thick PCCP (Reinforced)</v>
          </cell>
          <cell r="C94" t="str">
            <v>Square Meter</v>
          </cell>
          <cell r="D94" t="str">
            <v>sq. m.</v>
          </cell>
        </row>
        <row r="95">
          <cell r="A95" t="str">
            <v>101 (3) a8</v>
          </cell>
          <cell r="B95" t="str">
            <v>Removal of Actual Structures/Obstruction 0.35 m thick PCCP (Reinforced)</v>
          </cell>
          <cell r="C95" t="str">
            <v>Square Meter</v>
          </cell>
          <cell r="D95" t="str">
            <v>sq. m.</v>
          </cell>
        </row>
        <row r="96">
          <cell r="A96" t="str">
            <v>101 (3) a9</v>
          </cell>
          <cell r="B96" t="str">
            <v>Removal of Actual Structures/Obstruction 0.38 m thick PCCP (Reinforced)</v>
          </cell>
          <cell r="C96" t="str">
            <v>Square Meter</v>
          </cell>
          <cell r="D96" t="str">
            <v>sq. m.</v>
          </cell>
        </row>
        <row r="97">
          <cell r="A97" t="str">
            <v>101 (3) b1</v>
          </cell>
          <cell r="B97" t="str">
            <v>Removal of Actual Structures/Obstruction 0.15 m thick PCCP (Unreinforced)</v>
          </cell>
          <cell r="C97" t="str">
            <v>Square Meter</v>
          </cell>
          <cell r="D97" t="str">
            <v>sq. m.</v>
          </cell>
        </row>
        <row r="98">
          <cell r="A98" t="str">
            <v>101 (3) b2</v>
          </cell>
          <cell r="B98" t="str">
            <v>Removal of Actual Structures/Obstruction 0.20 m thick PCCP (Unreinforced)</v>
          </cell>
          <cell r="C98" t="str">
            <v>Square Meter</v>
          </cell>
          <cell r="D98" t="str">
            <v>sq. m.</v>
          </cell>
        </row>
        <row r="99">
          <cell r="A99" t="str">
            <v>101 (3) b3</v>
          </cell>
          <cell r="B99" t="str">
            <v>Removal of Actual Structures/Obstruction 0.23 m thick PCCP (Unreinforced)</v>
          </cell>
          <cell r="C99" t="str">
            <v>Square Meter</v>
          </cell>
          <cell r="D99" t="str">
            <v>sq. m.</v>
          </cell>
        </row>
        <row r="100">
          <cell r="A100" t="str">
            <v>101 (3) b4</v>
          </cell>
          <cell r="B100" t="str">
            <v>Removal of Actual Structures/Obstruction 0.25 m thick PCCP (Unreinforced)</v>
          </cell>
          <cell r="C100" t="str">
            <v>Square Meter</v>
          </cell>
          <cell r="D100" t="str">
            <v>sq. m.</v>
          </cell>
        </row>
        <row r="101">
          <cell r="A101" t="str">
            <v>101 (3) b5</v>
          </cell>
          <cell r="B101" t="str">
            <v>Removal of Actual Structures/Obstruction 0.28 m thick PCCP (Unreinforced)</v>
          </cell>
          <cell r="C101" t="str">
            <v>Square Meter</v>
          </cell>
          <cell r="D101" t="str">
            <v>sq. m.</v>
          </cell>
        </row>
        <row r="102">
          <cell r="A102" t="str">
            <v>101 (3) b6</v>
          </cell>
          <cell r="B102" t="str">
            <v>Removal of Actual Structures/Obstruction 0.30 m thick PCCP (Unreinforced)</v>
          </cell>
          <cell r="C102" t="str">
            <v>Square Meter</v>
          </cell>
          <cell r="D102" t="str">
            <v>sq. m.</v>
          </cell>
        </row>
        <row r="103">
          <cell r="A103" t="str">
            <v>101 (3) b7</v>
          </cell>
          <cell r="B103" t="str">
            <v>Removal of Actual Structures/Obstruction 0.33 m thick PCCP (Unreinforced)</v>
          </cell>
          <cell r="C103" t="str">
            <v>Square Meter</v>
          </cell>
          <cell r="D103" t="str">
            <v>sq. m.</v>
          </cell>
        </row>
        <row r="104">
          <cell r="A104" t="str">
            <v>101 (3) b8</v>
          </cell>
          <cell r="B104" t="str">
            <v>Removal of Actual Structures/Obstruction 0.35 m thick PCCP (Unreinforced)</v>
          </cell>
          <cell r="C104" t="str">
            <v>Square Meter</v>
          </cell>
          <cell r="D104" t="str">
            <v>sq. m.</v>
          </cell>
        </row>
        <row r="105">
          <cell r="A105" t="str">
            <v>101 (3) b9</v>
          </cell>
          <cell r="B105" t="str">
            <v>Removal of Actual Structures/Obstruction 0.38 m thick PCCP (Unreinforced)</v>
          </cell>
          <cell r="C105" t="str">
            <v>Square Meter</v>
          </cell>
          <cell r="D105" t="str">
            <v>sq. m.</v>
          </cell>
        </row>
        <row r="106">
          <cell r="A106" t="str">
            <v>101 (3) c1</v>
          </cell>
          <cell r="B106" t="str">
            <v>Removal of Actual Structures/Obstruction 0.05 m thick ACP</v>
          </cell>
          <cell r="C106" t="str">
            <v>Square Meter</v>
          </cell>
          <cell r="D106" t="str">
            <v>sq. m.</v>
          </cell>
        </row>
        <row r="107">
          <cell r="A107" t="str">
            <v>101 (3) c2</v>
          </cell>
          <cell r="B107" t="str">
            <v>Removal of Actual Structures/Obstruction 0.10 m thick ACP</v>
          </cell>
          <cell r="C107" t="str">
            <v>Square Meter</v>
          </cell>
          <cell r="D107" t="str">
            <v>sq. m.</v>
          </cell>
        </row>
        <row r="108">
          <cell r="A108" t="str">
            <v>101 (3) d</v>
          </cell>
          <cell r="B108" t="str">
            <v>Removal of Actual Structures/Obstruction 0.10 m thick Sidewalk</v>
          </cell>
          <cell r="C108" t="str">
            <v>Square Meter</v>
          </cell>
          <cell r="D108" t="str">
            <v>sq. m.</v>
          </cell>
        </row>
        <row r="109">
          <cell r="A109" t="str">
            <v>101 (4) a1</v>
          </cell>
          <cell r="B109" t="str">
            <v>Removal of Actual Structures/Obstruction 610 mm dia. RCPC</v>
          </cell>
          <cell r="C109" t="str">
            <v>Linear Meter</v>
          </cell>
          <cell r="D109" t="str">
            <v>l.m.</v>
          </cell>
        </row>
        <row r="110">
          <cell r="A110" t="str">
            <v>101 (4) a2</v>
          </cell>
          <cell r="B110" t="str">
            <v>Removal of Actual Structures/Obstruction 760 mm dia. RCPC</v>
          </cell>
          <cell r="C110" t="str">
            <v>Linear Meter</v>
          </cell>
          <cell r="D110" t="str">
            <v>l.m.</v>
          </cell>
        </row>
        <row r="111">
          <cell r="A111" t="str">
            <v>101 (4) a3</v>
          </cell>
          <cell r="B111" t="str">
            <v>Removal of Actual Structures/Obstruction 910 mm dia. RCPC</v>
          </cell>
          <cell r="C111" t="str">
            <v>Linear Meter</v>
          </cell>
          <cell r="D111" t="str">
            <v>l.m.</v>
          </cell>
        </row>
        <row r="112">
          <cell r="A112" t="str">
            <v>101 (4) a4</v>
          </cell>
          <cell r="B112" t="str">
            <v>Removal of Actual Structures/Obstruction 1070 mm dia. RCPC</v>
          </cell>
          <cell r="C112" t="str">
            <v>Linear Meter</v>
          </cell>
          <cell r="D112" t="str">
            <v>l.m.</v>
          </cell>
        </row>
        <row r="113">
          <cell r="A113" t="str">
            <v>101 (4) a5</v>
          </cell>
          <cell r="B113" t="str">
            <v>Removal of Actual Structures/Obstruction 1220 mm dia. RCPC</v>
          </cell>
          <cell r="C113" t="str">
            <v>Linear Meter</v>
          </cell>
          <cell r="D113" t="str">
            <v>l.m.</v>
          </cell>
        </row>
        <row r="114">
          <cell r="A114" t="str">
            <v>101 (4) a6</v>
          </cell>
          <cell r="B114" t="str">
            <v>Removal of Actual Structures/Obstruction 1520 mm dia. RCPC</v>
          </cell>
          <cell r="C114" t="str">
            <v>Linear Meter</v>
          </cell>
          <cell r="D114" t="str">
            <v>l.m.</v>
          </cell>
        </row>
        <row r="115">
          <cell r="A115" t="str">
            <v>101 (4) a7</v>
          </cell>
          <cell r="B115" t="str">
            <v>Removal of Actual Structures/Obstruction 1830 mm dia. RCPC</v>
          </cell>
          <cell r="C115" t="str">
            <v>Linear Meter</v>
          </cell>
          <cell r="D115" t="str">
            <v>l.m.</v>
          </cell>
        </row>
        <row r="116">
          <cell r="A116" t="str">
            <v>101 (4) b</v>
          </cell>
          <cell r="B116" t="str">
            <v>Removal of Actual Structures/Obstruction Curb</v>
          </cell>
          <cell r="C116" t="str">
            <v>Linear Meter</v>
          </cell>
          <cell r="D116" t="str">
            <v>l.m.</v>
          </cell>
        </row>
        <row r="117">
          <cell r="A117" t="str">
            <v>101 (4) c</v>
          </cell>
          <cell r="B117" t="str">
            <v>Removal of Actual Structures/Obstruction Curb and Gutter</v>
          </cell>
          <cell r="C117" t="str">
            <v>Linear Meter</v>
          </cell>
          <cell r="D117" t="str">
            <v>l.m.</v>
          </cell>
        </row>
        <row r="118">
          <cell r="A118" t="str">
            <v>101 (5) a1</v>
          </cell>
          <cell r="B118" t="str">
            <v>Removal of Pipes other than Pipe Culverts 50 mm dia. PVC</v>
          </cell>
          <cell r="C118" t="str">
            <v>Linear Meter</v>
          </cell>
          <cell r="D118" t="str">
            <v>l.m.</v>
          </cell>
        </row>
        <row r="119">
          <cell r="A119" t="str">
            <v>101 (5) a2</v>
          </cell>
          <cell r="B119" t="str">
            <v>Removal of Pipes other than Pipe Culverts 75 mm dia. PVC</v>
          </cell>
          <cell r="C119" t="str">
            <v>Linear Meter</v>
          </cell>
          <cell r="D119" t="str">
            <v>l.m.</v>
          </cell>
        </row>
        <row r="120">
          <cell r="A120" t="str">
            <v>101 (5) a3</v>
          </cell>
          <cell r="B120" t="str">
            <v>Removal of Pipes other than Pipe Culverts 100 mm dia. PVC</v>
          </cell>
          <cell r="C120" t="str">
            <v>Linear Meter</v>
          </cell>
          <cell r="D120" t="str">
            <v>l.m.</v>
          </cell>
        </row>
        <row r="121">
          <cell r="A121" t="str">
            <v>101 (5) a4</v>
          </cell>
          <cell r="B121" t="str">
            <v>Removal of Pipes other than Pipe Culverts 150 mm dia. PVC</v>
          </cell>
          <cell r="C121" t="str">
            <v>Linear Meter</v>
          </cell>
          <cell r="D121" t="str">
            <v>l.m.</v>
          </cell>
        </row>
        <row r="122">
          <cell r="A122" t="str">
            <v>101 (5) a5</v>
          </cell>
          <cell r="B122" t="str">
            <v>Removal of Pipes other than Pipe Culverts 200 mm dia. PVC</v>
          </cell>
          <cell r="C122" t="str">
            <v>Linear Meter</v>
          </cell>
          <cell r="D122" t="str">
            <v>l.m.</v>
          </cell>
        </row>
        <row r="123">
          <cell r="A123" t="str">
            <v>101 (5) a6</v>
          </cell>
          <cell r="B123" t="str">
            <v>Removal of Pipes other than Pipe Culverts 250 mm dia. PVC</v>
          </cell>
          <cell r="C123" t="str">
            <v>Linear Meter</v>
          </cell>
          <cell r="D123" t="str">
            <v>l.m.</v>
          </cell>
        </row>
        <row r="124">
          <cell r="A124" t="str">
            <v>101 (5) a7</v>
          </cell>
          <cell r="B124" t="str">
            <v>Removal of Pipes other than Pipe Culverts 300 mm dia. PVC</v>
          </cell>
          <cell r="C124" t="str">
            <v>Linear Meter</v>
          </cell>
          <cell r="D124" t="str">
            <v>l.m.</v>
          </cell>
        </row>
        <row r="125">
          <cell r="A125" t="str">
            <v>101 (5) b1</v>
          </cell>
          <cell r="B125" t="str">
            <v>Removal of Pipes other than Pipe Culverts 150 mm dia. Concrete</v>
          </cell>
          <cell r="C125" t="str">
            <v>Linear Meter</v>
          </cell>
          <cell r="D125" t="str">
            <v>l.m.</v>
          </cell>
        </row>
        <row r="126">
          <cell r="A126" t="str">
            <v>101 (5) b2</v>
          </cell>
          <cell r="B126" t="str">
            <v>Removal of Pipes other than Pipe Culverts 200 mm dia. Concrete</v>
          </cell>
          <cell r="C126" t="str">
            <v>Linear Meter</v>
          </cell>
          <cell r="D126" t="str">
            <v>l.m.</v>
          </cell>
        </row>
        <row r="127">
          <cell r="A127" t="str">
            <v>101 (5) b3</v>
          </cell>
          <cell r="B127" t="str">
            <v>Removal of Pipes other than Pipe Culverts 250 mm dia. Concrete</v>
          </cell>
          <cell r="C127" t="str">
            <v>Linear Meter</v>
          </cell>
          <cell r="D127" t="str">
            <v>l.m.</v>
          </cell>
        </row>
        <row r="128">
          <cell r="A128" t="str">
            <v>101 (5) b4</v>
          </cell>
          <cell r="B128" t="str">
            <v>Removal of Pipes other than Pipe Culverts 300 mm dia. Concrete</v>
          </cell>
          <cell r="C128" t="str">
            <v>Linear Meter</v>
          </cell>
          <cell r="D128" t="str">
            <v>l.m.</v>
          </cell>
        </row>
        <row r="129">
          <cell r="A129" t="str">
            <v>101 (5) b5</v>
          </cell>
          <cell r="B129" t="str">
            <v>Removal of Pipes other than Pipe Culverts 350 mm dia. Concrete</v>
          </cell>
          <cell r="C129" t="str">
            <v>Linear Meter</v>
          </cell>
          <cell r="D129" t="str">
            <v>l.m.</v>
          </cell>
        </row>
        <row r="130">
          <cell r="A130" t="str">
            <v>101 (5) c1</v>
          </cell>
          <cell r="B130" t="str">
            <v>Removal of Pipes other than Pipe Culverts 50 mm dia. HDPE</v>
          </cell>
          <cell r="C130" t="str">
            <v>Linear Meter</v>
          </cell>
          <cell r="D130" t="str">
            <v>l.m.</v>
          </cell>
        </row>
        <row r="131">
          <cell r="A131" t="str">
            <v>101 (5) c2</v>
          </cell>
          <cell r="B131" t="str">
            <v>Removal of Pipes other than Pipe Culverts 75 mm dia. HDPE</v>
          </cell>
          <cell r="C131" t="str">
            <v>Linear Meter</v>
          </cell>
          <cell r="D131" t="str">
            <v>l.m.</v>
          </cell>
        </row>
        <row r="132">
          <cell r="A132" t="str">
            <v>101 (5) c3</v>
          </cell>
          <cell r="B132" t="str">
            <v>Removal of Pipes other than Pipe Culverts 100 mm dia. HDPE</v>
          </cell>
          <cell r="C132" t="str">
            <v>Linear Meter</v>
          </cell>
          <cell r="D132" t="str">
            <v>l.m.</v>
          </cell>
        </row>
        <row r="133">
          <cell r="A133" t="str">
            <v>101 (5) c4</v>
          </cell>
          <cell r="B133" t="str">
            <v>Removal of Pipes other than Pipe Culverts 150 mm dia. HDPE</v>
          </cell>
          <cell r="C133" t="str">
            <v>Linear Meter</v>
          </cell>
          <cell r="D133" t="str">
            <v>l.m.</v>
          </cell>
        </row>
        <row r="134">
          <cell r="A134" t="str">
            <v>101 (5) c5</v>
          </cell>
          <cell r="B134" t="str">
            <v>Removal of Pipes other than Pipe Culverts 200 mm dia. HDPE</v>
          </cell>
          <cell r="C134" t="str">
            <v>Linear Meter</v>
          </cell>
          <cell r="D134" t="str">
            <v>l.m.</v>
          </cell>
        </row>
        <row r="135">
          <cell r="A135" t="str">
            <v>101 (5) c6</v>
          </cell>
          <cell r="B135" t="str">
            <v>Removal of Pipes other than Pipe Culverts 250 mm dia. HDPE</v>
          </cell>
          <cell r="C135" t="str">
            <v>Linear Meter</v>
          </cell>
          <cell r="D135" t="str">
            <v>l.m.</v>
          </cell>
        </row>
        <row r="136">
          <cell r="A136" t="str">
            <v>101 (5) c7</v>
          </cell>
          <cell r="B136" t="str">
            <v>Removal of Pipes other than Pipe Culverts 300 mm dia. HDPE</v>
          </cell>
          <cell r="C136" t="str">
            <v>Linear Meter</v>
          </cell>
          <cell r="D136" t="str">
            <v>l.m.</v>
          </cell>
        </row>
        <row r="137">
          <cell r="A137" t="str">
            <v>101 (6)</v>
          </cell>
          <cell r="B137" t="str">
            <v>Removal of Structures and Obstruction Concrete</v>
          </cell>
          <cell r="C137" t="str">
            <v>Cubic Meter</v>
          </cell>
          <cell r="D137" t="str">
            <v>cu. m.</v>
          </cell>
        </row>
        <row r="138">
          <cell r="A138" t="str">
            <v>101 (7) a</v>
          </cell>
          <cell r="B138" t="str">
            <v>Removal of Structures and Obstruction Steel</v>
          </cell>
          <cell r="C138" t="str">
            <v>Kilogram</v>
          </cell>
          <cell r="D138" t="str">
            <v>kg.</v>
          </cell>
        </row>
        <row r="139">
          <cell r="A139" t="str">
            <v>101 (7) b</v>
          </cell>
          <cell r="B139" t="str">
            <v>Removal of Structures and Obstruction Steel H-Piles</v>
          </cell>
          <cell r="C139" t="str">
            <v>Kilogram</v>
          </cell>
          <cell r="D139" t="str">
            <v>kg.</v>
          </cell>
        </row>
        <row r="140">
          <cell r="A140" t="str">
            <v>101 (7) c</v>
          </cell>
          <cell r="B140" t="str">
            <v>Removal of Structures and Obstruction RSB</v>
          </cell>
          <cell r="C140" t="str">
            <v>Kilogram</v>
          </cell>
          <cell r="D140" t="str">
            <v>kg.</v>
          </cell>
        </row>
        <row r="141">
          <cell r="A141" t="str">
            <v>101 (8)</v>
          </cell>
          <cell r="B141" t="str">
            <v>Removal of Existing Guardrails</v>
          </cell>
          <cell r="C141" t="str">
            <v>Linear Meter</v>
          </cell>
          <cell r="D141" t="str">
            <v>l.m.</v>
          </cell>
        </row>
        <row r="142">
          <cell r="A142" t="str">
            <v>101 (9)</v>
          </cell>
          <cell r="B142" t="str">
            <v>Removal of Existing Guardrail Posts</v>
          </cell>
          <cell r="C142" t="str">
            <v>Each</v>
          </cell>
          <cell r="D142" t="str">
            <v>each</v>
          </cell>
        </row>
        <row r="143">
          <cell r="A143" t="str">
            <v>101 (10)</v>
          </cell>
          <cell r="B143" t="str">
            <v>Removal of Existing Road Signs</v>
          </cell>
          <cell r="C143" t="str">
            <v>Each</v>
          </cell>
          <cell r="D143" t="str">
            <v>each</v>
          </cell>
        </row>
        <row r="144">
          <cell r="A144" t="str">
            <v>102 (1)</v>
          </cell>
          <cell r="B144" t="str">
            <v>Unsuitable Excavation</v>
          </cell>
          <cell r="C144" t="str">
            <v>Cubic Meter</v>
          </cell>
          <cell r="D144" t="str">
            <v>cu. m.</v>
          </cell>
        </row>
        <row r="145">
          <cell r="A145" t="str">
            <v>102 (2)</v>
          </cell>
          <cell r="B145" t="str">
            <v>Surplus Common Excavation</v>
          </cell>
          <cell r="C145" t="str">
            <v>Cubic Meter</v>
          </cell>
          <cell r="D145" t="str">
            <v>cu. m.</v>
          </cell>
        </row>
        <row r="146">
          <cell r="A146" t="str">
            <v>102 (3) a</v>
          </cell>
          <cell r="B146" t="str">
            <v>Surplus Rock Excavation (Soft)</v>
          </cell>
          <cell r="C146" t="str">
            <v>Cubic Meter</v>
          </cell>
          <cell r="D146" t="str">
            <v>cu. m.</v>
          </cell>
        </row>
        <row r="147">
          <cell r="A147" t="str">
            <v>102 (3) b</v>
          </cell>
          <cell r="B147" t="str">
            <v>Surplus Rock Excavation (Hard)</v>
          </cell>
          <cell r="C147" t="str">
            <v>Cubic Meter</v>
          </cell>
          <cell r="D147" t="str">
            <v>cu. m.</v>
          </cell>
        </row>
        <row r="148">
          <cell r="A148" t="str">
            <v>102 (4)</v>
          </cell>
          <cell r="B148" t="str">
            <v>Surplus Unclassified Excavation</v>
          </cell>
          <cell r="C148" t="str">
            <v>Cubic Meter</v>
          </cell>
          <cell r="D148" t="str">
            <v>cu. m.</v>
          </cell>
        </row>
        <row r="149">
          <cell r="A149" t="str">
            <v>103 (1) a</v>
          </cell>
          <cell r="B149" t="str">
            <v>Structure Excavation (Common Soil)</v>
          </cell>
          <cell r="C149" t="str">
            <v>Cubic Meter</v>
          </cell>
          <cell r="D149" t="str">
            <v>cu. m.</v>
          </cell>
        </row>
        <row r="150">
          <cell r="A150" t="str">
            <v>103 (1) b</v>
          </cell>
          <cell r="B150" t="str">
            <v>Structure Excavation (Soft Rock)</v>
          </cell>
          <cell r="C150" t="str">
            <v>Cubic Meter</v>
          </cell>
          <cell r="D150" t="str">
            <v>cu. m.</v>
          </cell>
        </row>
        <row r="151">
          <cell r="A151" t="str">
            <v>103 (1) c</v>
          </cell>
          <cell r="B151" t="str">
            <v>Structure Excavation (Hard Rock)</v>
          </cell>
          <cell r="C151" t="str">
            <v>Cubic Meter</v>
          </cell>
          <cell r="D151" t="str">
            <v>cu. m.</v>
          </cell>
        </row>
        <row r="152">
          <cell r="A152" t="str">
            <v>103 (2) a</v>
          </cell>
          <cell r="B152" t="str">
            <v>Bridge Excavation (Common Soil)</v>
          </cell>
          <cell r="C152" t="str">
            <v>Cubic Meter</v>
          </cell>
          <cell r="D152" t="str">
            <v>cu. m.</v>
          </cell>
        </row>
        <row r="153">
          <cell r="A153" t="str">
            <v>103 (2) b</v>
          </cell>
          <cell r="B153" t="str">
            <v>Bridge Excavation (Soft Rock)</v>
          </cell>
          <cell r="C153" t="str">
            <v>Cubic Meter</v>
          </cell>
          <cell r="D153" t="str">
            <v>cu. m.</v>
          </cell>
        </row>
        <row r="154">
          <cell r="A154" t="str">
            <v>103 (2) c</v>
          </cell>
          <cell r="B154" t="str">
            <v>Bridge Excavation (Hard Rock)</v>
          </cell>
          <cell r="C154" t="str">
            <v>Cubic Meter</v>
          </cell>
          <cell r="D154" t="str">
            <v>cu. m.</v>
          </cell>
        </row>
        <row r="155">
          <cell r="A155" t="str">
            <v>103 (3)</v>
          </cell>
          <cell r="B155" t="str">
            <v>Foundation Fill</v>
          </cell>
          <cell r="C155" t="str">
            <v>Cubic Meter</v>
          </cell>
          <cell r="D155" t="str">
            <v>cu. m.</v>
          </cell>
        </row>
        <row r="156">
          <cell r="A156" t="str">
            <v>103 (4)</v>
          </cell>
          <cell r="B156" t="str">
            <v>Excavation ordered below Plan elevation</v>
          </cell>
          <cell r="C156" t="str">
            <v>Cubic Meter</v>
          </cell>
          <cell r="D156" t="str">
            <v>cu. m.</v>
          </cell>
        </row>
        <row r="157">
          <cell r="A157" t="str">
            <v>103 (5) a</v>
          </cell>
          <cell r="B157" t="str">
            <v>Shoring, cribbing and related works (Shoring)</v>
          </cell>
          <cell r="C157" t="str">
            <v>Lump sum</v>
          </cell>
          <cell r="D157" t="str">
            <v>ls</v>
          </cell>
        </row>
        <row r="158">
          <cell r="A158" t="str">
            <v>103 (5) b</v>
          </cell>
          <cell r="B158" t="str">
            <v>Shoring, cribbing and related works (Cribbing/Cofferdamming)</v>
          </cell>
          <cell r="C158" t="str">
            <v>Lump sum</v>
          </cell>
          <cell r="D158" t="str">
            <v>ls</v>
          </cell>
        </row>
        <row r="159">
          <cell r="A159" t="str">
            <v>103 (6) a</v>
          </cell>
          <cell r="B159" t="str">
            <v>Pipe culverts and drain excavation (Common Soil)</v>
          </cell>
          <cell r="C159" t="str">
            <v>Cubic Meter</v>
          </cell>
          <cell r="D159" t="str">
            <v>cu. m.</v>
          </cell>
        </row>
        <row r="160">
          <cell r="A160" t="str">
            <v>103 (6) b</v>
          </cell>
          <cell r="B160" t="str">
            <v>Pipe culverts and drain excavation (Soft Rock)</v>
          </cell>
          <cell r="C160" t="str">
            <v>Cubic Meter</v>
          </cell>
          <cell r="D160" t="str">
            <v>cu. m.</v>
          </cell>
        </row>
        <row r="161">
          <cell r="A161" t="str">
            <v>103 (6) c</v>
          </cell>
          <cell r="B161" t="str">
            <v>Pipe culverts and drain excavation (Hard Rock)</v>
          </cell>
          <cell r="C161" t="str">
            <v>Cubic Meter</v>
          </cell>
          <cell r="D161" t="str">
            <v>cu. m.</v>
          </cell>
        </row>
        <row r="162">
          <cell r="A162" t="str">
            <v>104 (1) a</v>
          </cell>
          <cell r="B162" t="str">
            <v>Embankment from roadway excavation (Common Soil)</v>
          </cell>
          <cell r="C162" t="str">
            <v>Cubic Meter</v>
          </cell>
          <cell r="D162" t="str">
            <v>cu. m.</v>
          </cell>
        </row>
        <row r="163">
          <cell r="A163" t="str">
            <v>104 (1) b</v>
          </cell>
          <cell r="B163" t="str">
            <v>Embankment from roadway excavation (Soft Rock)</v>
          </cell>
          <cell r="C163" t="str">
            <v>Cubic Meter</v>
          </cell>
          <cell r="D163" t="str">
            <v>cu. m.</v>
          </cell>
        </row>
        <row r="164">
          <cell r="A164" t="str">
            <v>104 (1) c</v>
          </cell>
          <cell r="B164" t="str">
            <v>Embankment from roadway excavation (Hard Rock)</v>
          </cell>
          <cell r="C164" t="str">
            <v>Cubic Meter</v>
          </cell>
          <cell r="D164" t="str">
            <v>cu. m.</v>
          </cell>
        </row>
        <row r="165">
          <cell r="A165" t="str">
            <v>104 (2) a</v>
          </cell>
          <cell r="B165" t="str">
            <v>Embankment from borrow (Common Soil)</v>
          </cell>
          <cell r="C165" t="str">
            <v>Cubic Meter</v>
          </cell>
          <cell r="D165" t="str">
            <v>cu. m.</v>
          </cell>
        </row>
        <row r="166">
          <cell r="A166" t="str">
            <v>104 (2) b</v>
          </cell>
          <cell r="B166" t="str">
            <v>Embankment from borrow (Soft Rock)</v>
          </cell>
          <cell r="C166" t="str">
            <v>Cubic Meter</v>
          </cell>
          <cell r="D166" t="str">
            <v>cu. m.</v>
          </cell>
        </row>
        <row r="167">
          <cell r="A167" t="str">
            <v>104 (2) c</v>
          </cell>
          <cell r="B167" t="str">
            <v>Embankment from borrow (Hard Rock)</v>
          </cell>
          <cell r="C167" t="str">
            <v>Cubic Meter</v>
          </cell>
          <cell r="D167" t="str">
            <v>cu. m.</v>
          </cell>
        </row>
        <row r="168">
          <cell r="A168" t="str">
            <v>104 (2) d</v>
          </cell>
          <cell r="B168" t="str">
            <v>Embankment from borrow (Granular Coarse Material)</v>
          </cell>
          <cell r="C168" t="str">
            <v>Cubic Meter</v>
          </cell>
          <cell r="D168" t="str">
            <v>cu. m.</v>
          </cell>
        </row>
        <row r="169">
          <cell r="A169" t="str">
            <v>104 (2) e</v>
          </cell>
          <cell r="B169" t="str">
            <v>Embankment from borrow (Granular Fine Material)</v>
          </cell>
          <cell r="C169" t="str">
            <v>Cubic Meter</v>
          </cell>
          <cell r="D169" t="str">
            <v>cu. m.</v>
          </cell>
        </row>
        <row r="170">
          <cell r="A170" t="str">
            <v>104 (3) a</v>
          </cell>
          <cell r="B170" t="str">
            <v>Selected Borrow for topping (Case 1)</v>
          </cell>
          <cell r="C170" t="str">
            <v>Cubic Meter</v>
          </cell>
          <cell r="D170" t="str">
            <v>cu. m.</v>
          </cell>
        </row>
        <row r="171">
          <cell r="A171" t="str">
            <v>104 (3) b</v>
          </cell>
          <cell r="B171" t="str">
            <v>Selected Borrow for topping (Case 2)</v>
          </cell>
          <cell r="C171" t="str">
            <v>Cubic Meter</v>
          </cell>
          <cell r="D171" t="str">
            <v>cu. m.</v>
          </cell>
        </row>
        <row r="172">
          <cell r="A172" t="str">
            <v>104 (4)</v>
          </cell>
          <cell r="B172" t="str">
            <v>Earth Berm</v>
          </cell>
          <cell r="C172" t="str">
            <v>Cubic Meter</v>
          </cell>
          <cell r="D172" t="str">
            <v>cu. m.</v>
          </cell>
        </row>
        <row r="173">
          <cell r="A173" t="str">
            <v>104 (5)</v>
          </cell>
          <cell r="B173" t="str">
            <v>Boulder Fill</v>
          </cell>
          <cell r="C173" t="str">
            <v>Cubic Meter</v>
          </cell>
          <cell r="D173" t="str">
            <v>cu. m.</v>
          </cell>
        </row>
        <row r="174">
          <cell r="A174" t="str">
            <v>104 (6)</v>
          </cell>
          <cell r="B174" t="str">
            <v>Preload, relocated, and compacted</v>
          </cell>
          <cell r="C174" t="str">
            <v>Cubic Meter</v>
          </cell>
          <cell r="D174" t="str">
            <v>cu. m.</v>
          </cell>
        </row>
        <row r="175">
          <cell r="A175" t="str">
            <v>104 (7)</v>
          </cell>
          <cell r="B175" t="str">
            <v>Embankment from structure excavation</v>
          </cell>
          <cell r="C175" t="str">
            <v>Cubic Meter</v>
          </cell>
          <cell r="D175" t="str">
            <v>cu. m.</v>
          </cell>
        </row>
        <row r="176">
          <cell r="A176" t="str">
            <v>105 (1) a</v>
          </cell>
          <cell r="B176" t="str">
            <v>Subgrade Preparation (Common Material)</v>
          </cell>
          <cell r="C176" t="str">
            <v>Square Meter</v>
          </cell>
          <cell r="D176" t="str">
            <v>sq. m.</v>
          </cell>
        </row>
        <row r="177">
          <cell r="A177" t="str">
            <v>105 (1) b</v>
          </cell>
          <cell r="B177" t="str">
            <v>Subgrade Preparation (Existing Pavement)</v>
          </cell>
          <cell r="C177" t="str">
            <v>Square Meter</v>
          </cell>
          <cell r="D177" t="str">
            <v>sq. m.</v>
          </cell>
        </row>
        <row r="178">
          <cell r="A178" t="str">
            <v>105 (1) c</v>
          </cell>
          <cell r="B178" t="str">
            <v>Subgrade Preparation (Unsuitable Material)</v>
          </cell>
          <cell r="C178" t="str">
            <v>Square Meter</v>
          </cell>
          <cell r="D178" t="str">
            <v>sq. m.</v>
          </cell>
        </row>
        <row r="179">
          <cell r="A179" t="str">
            <v xml:space="preserve">105 (1) d </v>
          </cell>
          <cell r="B179" t="str">
            <v>Subgrade Preparation (Hard Rock Material)</v>
          </cell>
          <cell r="C179" t="str">
            <v>Square Meter</v>
          </cell>
          <cell r="D179" t="str">
            <v>sq. m.</v>
          </cell>
        </row>
        <row r="180">
          <cell r="A180" t="str">
            <v>105 (1) e</v>
          </cell>
          <cell r="B180" t="str">
            <v>Subgrade Preparation (Soft Rock Material)</v>
          </cell>
          <cell r="C180" t="str">
            <v>Square Meter</v>
          </cell>
          <cell r="D180" t="str">
            <v>sq. m.</v>
          </cell>
        </row>
        <row r="181">
          <cell r="A181" t="str">
            <v>105 (1) f</v>
          </cell>
          <cell r="B181" t="str">
            <v>Subgrade Preparation (Unclassified Material)</v>
          </cell>
          <cell r="C181" t="str">
            <v>Square Meter</v>
          </cell>
          <cell r="D181" t="str">
            <v>sq. m.</v>
          </cell>
        </row>
        <row r="182">
          <cell r="A182" t="str">
            <v>106 (1)</v>
          </cell>
          <cell r="B182" t="str">
            <v>Compaction Equipment and Density Controls Strips (Common Material)</v>
          </cell>
          <cell r="C182" t="str">
            <v>Square Meter</v>
          </cell>
          <cell r="D182" t="str">
            <v>sq. m.</v>
          </cell>
        </row>
        <row r="183">
          <cell r="A183" t="str">
            <v>107 (1)</v>
          </cell>
          <cell r="B183" t="str">
            <v>Overhaul</v>
          </cell>
          <cell r="C183" t="str">
            <v>Cubic Meter</v>
          </cell>
          <cell r="D183" t="str">
            <v>cu. m.</v>
          </cell>
        </row>
        <row r="184">
          <cell r="A184" t="str">
            <v>107 (2)</v>
          </cell>
          <cell r="B184" t="str">
            <v>Overhaul</v>
          </cell>
          <cell r="C184" t="str">
            <v>Kilometer</v>
          </cell>
          <cell r="D184" t="str">
            <v>km.</v>
          </cell>
        </row>
        <row r="185">
          <cell r="A185" t="str">
            <v>107 (3)</v>
          </cell>
          <cell r="B185" t="str">
            <v>Overhaul of Borrow (Case 1)</v>
          </cell>
          <cell r="C185" t="str">
            <v>Cubic Meter</v>
          </cell>
          <cell r="D185" t="str">
            <v>cu. m.</v>
          </cell>
        </row>
        <row r="186">
          <cell r="A186" t="str">
            <v>107 (4)</v>
          </cell>
          <cell r="B186" t="str">
            <v>Overhaul of Borrow (Case 2)</v>
          </cell>
          <cell r="C186" t="str">
            <v>Kilometer</v>
          </cell>
          <cell r="D186" t="str">
            <v>km.</v>
          </cell>
        </row>
        <row r="187">
          <cell r="A187" t="str">
            <v>PART D</v>
          </cell>
          <cell r="B187" t="str">
            <v>SUBBASE AND BASE COURSES</v>
          </cell>
          <cell r="D187" t="e">
            <v>#N/A</v>
          </cell>
        </row>
        <row r="188">
          <cell r="A188" t="str">
            <v>200 (1)</v>
          </cell>
          <cell r="B188" t="str">
            <v>Aggregate Subbase Course</v>
          </cell>
          <cell r="C188" t="str">
            <v>Cubic Meter</v>
          </cell>
          <cell r="D188" t="str">
            <v>cu. m.</v>
          </cell>
        </row>
        <row r="189">
          <cell r="A189" t="str">
            <v>201 (1)</v>
          </cell>
          <cell r="B189" t="str">
            <v>Aggregate Base Course</v>
          </cell>
          <cell r="C189" t="str">
            <v>Cubic Meter</v>
          </cell>
          <cell r="D189" t="str">
            <v>cu. m.</v>
          </cell>
        </row>
        <row r="190">
          <cell r="A190" t="str">
            <v>202 (1)</v>
          </cell>
          <cell r="B190" t="str">
            <v>Crushed Aggregate Base Course</v>
          </cell>
          <cell r="C190" t="str">
            <v>Cubic Meter</v>
          </cell>
          <cell r="D190" t="str">
            <v>cu. m.</v>
          </cell>
        </row>
        <row r="191">
          <cell r="A191" t="str">
            <v>203 (1) a</v>
          </cell>
          <cell r="B191" t="str">
            <v>Lime Stabilized Road Mix Base Course (New Soil Aggregate)</v>
          </cell>
          <cell r="C191" t="str">
            <v>Cubic Meter</v>
          </cell>
          <cell r="D191" t="str">
            <v>cu. m.</v>
          </cell>
        </row>
        <row r="192">
          <cell r="A192" t="str">
            <v>203 (1) b</v>
          </cell>
          <cell r="B192" t="str">
            <v>Lime Stabilized Road Mix Base Course (Salvaged Soil Aggregate)</v>
          </cell>
          <cell r="C192" t="str">
            <v>Cubic Meter</v>
          </cell>
          <cell r="D192" t="str">
            <v>cu. m.</v>
          </cell>
        </row>
        <row r="193">
          <cell r="A193" t="str">
            <v>204 (1) a</v>
          </cell>
          <cell r="B193" t="str">
            <v>Portland Cement Stabilized Road Mix Base Course (New Soil Aggregate)</v>
          </cell>
          <cell r="C193" t="str">
            <v>Cubic Meter</v>
          </cell>
          <cell r="D193" t="str">
            <v>cu. m.</v>
          </cell>
        </row>
        <row r="194">
          <cell r="A194" t="str">
            <v>204 (1) b</v>
          </cell>
          <cell r="B194" t="str">
            <v>Portland Cement Stabilized Road Mix Base Course (Salvaged Soil Aggregate)</v>
          </cell>
          <cell r="C194" t="str">
            <v>Cubic Meter</v>
          </cell>
          <cell r="D194" t="str">
            <v>cu. m.</v>
          </cell>
        </row>
        <row r="195">
          <cell r="A195" t="str">
            <v>205 (1) a</v>
          </cell>
          <cell r="B195" t="str">
            <v>Asphalt Stabilized Road Mix Base Course (New Soil Aggregate)</v>
          </cell>
          <cell r="C195" t="str">
            <v>Cubic Meter</v>
          </cell>
          <cell r="D195" t="str">
            <v>cu. m.</v>
          </cell>
        </row>
        <row r="196">
          <cell r="A196" t="str">
            <v>205 (1) b</v>
          </cell>
          <cell r="B196" t="str">
            <v>Asphalt Stabilized Road Mix Base Course (Salvaged Soil Aggregate)</v>
          </cell>
          <cell r="C196" t="str">
            <v>Cubic Meter</v>
          </cell>
          <cell r="D196" t="str">
            <v>cu. m.</v>
          </cell>
        </row>
        <row r="197">
          <cell r="A197" t="str">
            <v>206 (1)</v>
          </cell>
          <cell r="B197" t="str">
            <v>Polymer-Based Chemical Soil Additive</v>
          </cell>
          <cell r="C197" t="str">
            <v>Liter</v>
          </cell>
          <cell r="D197" t="str">
            <v>L</v>
          </cell>
        </row>
        <row r="198">
          <cell r="A198" t="str">
            <v>207 (1) a</v>
          </cell>
          <cell r="B198" t="str">
            <v>Portland Cement treated Plant Mix Course (New Soil Aggregate)</v>
          </cell>
          <cell r="C198" t="str">
            <v>Cubic Meter</v>
          </cell>
          <cell r="D198" t="str">
            <v>cu. m.</v>
          </cell>
        </row>
        <row r="199">
          <cell r="A199" t="str">
            <v>207 (1) b</v>
          </cell>
          <cell r="B199" t="str">
            <v>Portland Cement treated Plant Mix Course (Salvaged Soil Aggregate)</v>
          </cell>
          <cell r="C199" t="str">
            <v>Cubic Meter</v>
          </cell>
          <cell r="D199" t="str">
            <v>cu. m.</v>
          </cell>
        </row>
        <row r="200">
          <cell r="A200" t="str">
            <v>208 (1)</v>
          </cell>
          <cell r="B200" t="str">
            <v>Aggregate Stockpile</v>
          </cell>
          <cell r="C200" t="str">
            <v>Cubic Meter</v>
          </cell>
          <cell r="D200" t="str">
            <v>cu. m.</v>
          </cell>
        </row>
        <row r="201">
          <cell r="A201" t="str">
            <v>209 (1)</v>
          </cell>
          <cell r="B201" t="str">
            <v>Asphalt Treated Plant Mix Base Course</v>
          </cell>
          <cell r="C201" t="str">
            <v>Cubic Meter</v>
          </cell>
          <cell r="D201" t="str">
            <v>cu. m.</v>
          </cell>
        </row>
        <row r="202">
          <cell r="A202" t="str">
            <v>210 (1)</v>
          </cell>
          <cell r="B202" t="str">
            <v>Crack and Seat</v>
          </cell>
          <cell r="C202" t="str">
            <v>Square Meter</v>
          </cell>
          <cell r="D202" t="str">
            <v>sq. m.</v>
          </cell>
        </row>
        <row r="203">
          <cell r="A203" t="str">
            <v>PART E</v>
          </cell>
          <cell r="B203" t="str">
            <v>SURFACE COURSES</v>
          </cell>
          <cell r="D203" t="e">
            <v>#N/A</v>
          </cell>
        </row>
        <row r="204">
          <cell r="A204" t="str">
            <v>300 (1)</v>
          </cell>
          <cell r="B204" t="str">
            <v>Gravel Surface Course</v>
          </cell>
          <cell r="C204" t="str">
            <v>Cubic Meter</v>
          </cell>
          <cell r="D204" t="str">
            <v>cu. m.</v>
          </cell>
        </row>
        <row r="205">
          <cell r="A205" t="str">
            <v>300 (2)</v>
          </cell>
          <cell r="B205" t="str">
            <v>Crushed Aggregate Surface Course</v>
          </cell>
          <cell r="C205" t="str">
            <v>Cubic Meter</v>
          </cell>
          <cell r="D205" t="str">
            <v>cu. m.</v>
          </cell>
        </row>
        <row r="206">
          <cell r="A206" t="str">
            <v>301 (1) a</v>
          </cell>
          <cell r="B206" t="str">
            <v>Bituminous Prime Coat - MC– Cut-back Asphalt (Grade 30)</v>
          </cell>
          <cell r="C206" t="str">
            <v>Square Meter</v>
          </cell>
          <cell r="D206" t="str">
            <v>sq. m.</v>
          </cell>
        </row>
        <row r="207">
          <cell r="A207" t="str">
            <v>301 (1) b</v>
          </cell>
          <cell r="B207" t="str">
            <v>Bituminous Prime Coat - MC– Cut-back Asphalt (Grade 70)</v>
          </cell>
          <cell r="C207" t="str">
            <v>Square Meter</v>
          </cell>
          <cell r="D207" t="str">
            <v>sq. m.</v>
          </cell>
        </row>
        <row r="208">
          <cell r="A208" t="str">
            <v>301 (1) c</v>
          </cell>
          <cell r="B208" t="str">
            <v>Bituminous Prime Coat - MC– Cut-back Asphalt (Grade 250)</v>
          </cell>
          <cell r="C208" t="str">
            <v>Square Meter</v>
          </cell>
          <cell r="D208" t="str">
            <v>sq. m.</v>
          </cell>
        </row>
        <row r="209">
          <cell r="A209" t="str">
            <v>301 (1) d</v>
          </cell>
          <cell r="B209" t="str">
            <v>Bituminous Prime Coat - MC– Cut-back Asphalt (Grade 800)</v>
          </cell>
          <cell r="C209" t="str">
            <v>Square Meter</v>
          </cell>
          <cell r="D209" t="str">
            <v>sq. m.</v>
          </cell>
        </row>
        <row r="210">
          <cell r="A210" t="str">
            <v>301 (1) e</v>
          </cell>
          <cell r="B210" t="str">
            <v>Bituminous Prime Coat - MC– Cut-back Asphalt (Grade 3000)</v>
          </cell>
          <cell r="C210" t="str">
            <v>Square Meter</v>
          </cell>
          <cell r="D210" t="str">
            <v>sq. m.</v>
          </cell>
        </row>
        <row r="211">
          <cell r="A211" t="str">
            <v>301 (2) a</v>
          </cell>
          <cell r="B211" t="str">
            <v>Bituminous Prime Coat - RC – Cut-back Asphalt (Grade 70)</v>
          </cell>
          <cell r="C211" t="str">
            <v>Square Meter</v>
          </cell>
          <cell r="D211" t="str">
            <v>sq. m.</v>
          </cell>
        </row>
        <row r="212">
          <cell r="A212" t="str">
            <v>301 (2) b</v>
          </cell>
          <cell r="B212" t="str">
            <v>Bituminous Prime Coat - RC – Cut-back Asphalt (Grade 250)</v>
          </cell>
          <cell r="C212" t="str">
            <v>Square Meter</v>
          </cell>
          <cell r="D212" t="str">
            <v>sq. m.</v>
          </cell>
        </row>
        <row r="213">
          <cell r="A213" t="str">
            <v>301 (2) c</v>
          </cell>
          <cell r="B213" t="str">
            <v>Bituminous Prime Coat - RC – Cut-back Asphalt (Grade 800)</v>
          </cell>
          <cell r="C213" t="str">
            <v>Square Meter</v>
          </cell>
          <cell r="D213" t="str">
            <v>sq. m.</v>
          </cell>
        </row>
        <row r="214">
          <cell r="A214" t="str">
            <v>301 (2) d</v>
          </cell>
          <cell r="B214" t="str">
            <v>Bituminous Prime Coat - RC – Cut-back Asphalt (Grade 3000)</v>
          </cell>
          <cell r="C214" t="str">
            <v>Square Meter</v>
          </cell>
          <cell r="D214" t="str">
            <v>sq. m.</v>
          </cell>
        </row>
        <row r="215">
          <cell r="A215" t="str">
            <v>302 (2) a</v>
          </cell>
          <cell r="B215" t="str">
            <v>Bituminous Tack Coat - RC – Cut-back Asphalt (Grade 70)</v>
          </cell>
          <cell r="C215" t="str">
            <v>Square Meter</v>
          </cell>
          <cell r="D215" t="str">
            <v>sq. m.</v>
          </cell>
        </row>
        <row r="216">
          <cell r="A216" t="str">
            <v>302 (2) b</v>
          </cell>
          <cell r="B216" t="str">
            <v>Bituminous Tack Coat - RC – Cut-back Asphalt (Grade 250)</v>
          </cell>
          <cell r="C216" t="str">
            <v>Square Meter</v>
          </cell>
          <cell r="D216" t="str">
            <v>sq. m.</v>
          </cell>
        </row>
        <row r="217">
          <cell r="A217" t="str">
            <v>302 (2) c</v>
          </cell>
          <cell r="B217" t="str">
            <v>Bituminous Tack Coat - RC – Cut-back Asphalt (Grade 800)</v>
          </cell>
          <cell r="C217" t="str">
            <v>Square Meter</v>
          </cell>
          <cell r="D217" t="str">
            <v>sq. m.</v>
          </cell>
        </row>
        <row r="218">
          <cell r="A218" t="str">
            <v>302 (2) d</v>
          </cell>
          <cell r="B218" t="str">
            <v>Bituminous Tack Coat - RC – Cut-back Asphalt (Grade 3000)</v>
          </cell>
          <cell r="C218" t="str">
            <v>Square Meter</v>
          </cell>
          <cell r="D218" t="str">
            <v>sq. m.</v>
          </cell>
        </row>
        <row r="219">
          <cell r="A219" t="str">
            <v>303 (1) a</v>
          </cell>
          <cell r="B219" t="str">
            <v>Cover Aggregate (Type 2)</v>
          </cell>
          <cell r="C219" t="str">
            <v>Tonne</v>
          </cell>
          <cell r="D219" t="str">
            <v>tonne</v>
          </cell>
        </row>
        <row r="220">
          <cell r="A220" t="str">
            <v>303 (1) b</v>
          </cell>
          <cell r="B220" t="str">
            <v>Cover Aggregate (Type 3A)</v>
          </cell>
          <cell r="C220" t="str">
            <v>Tonne</v>
          </cell>
          <cell r="D220" t="str">
            <v>tonne</v>
          </cell>
        </row>
        <row r="221">
          <cell r="A221" t="str">
            <v>303 (1) c</v>
          </cell>
          <cell r="B221" t="str">
            <v>Cover Aggregate (Type 3B)</v>
          </cell>
          <cell r="C221" t="str">
            <v>Tonne</v>
          </cell>
          <cell r="D221" t="str">
            <v>tonne</v>
          </cell>
        </row>
        <row r="222">
          <cell r="A222" t="str">
            <v>303 (2) a</v>
          </cell>
          <cell r="B222" t="str">
            <v>Bituminous Seal Coat - MC– Cut-back Asphalt (Grade 30)</v>
          </cell>
          <cell r="C222" t="str">
            <v>Tonne</v>
          </cell>
          <cell r="D222" t="str">
            <v>tonne</v>
          </cell>
        </row>
        <row r="223">
          <cell r="A223" t="str">
            <v>303 (2) b</v>
          </cell>
          <cell r="B223" t="str">
            <v>Bituminous Seal Coat - MC– Cut-back Asphalt (Grade 70)</v>
          </cell>
          <cell r="C223" t="str">
            <v>Tonne</v>
          </cell>
          <cell r="D223" t="str">
            <v>tonne</v>
          </cell>
        </row>
        <row r="224">
          <cell r="A224" t="str">
            <v>303 (2) c</v>
          </cell>
          <cell r="B224" t="str">
            <v>Bituminous Seal Coat - MC– Cut-back Asphalt (Grade 250)</v>
          </cell>
          <cell r="C224" t="str">
            <v>Tonne</v>
          </cell>
          <cell r="D224" t="str">
            <v>tonne</v>
          </cell>
        </row>
        <row r="225">
          <cell r="A225" t="str">
            <v>303 (2) d</v>
          </cell>
          <cell r="B225" t="str">
            <v>Bituminous Seal Coat - MC– Cut-back Asphalt (Grade 800)</v>
          </cell>
          <cell r="C225" t="str">
            <v>Tonne</v>
          </cell>
          <cell r="D225" t="str">
            <v>tonne</v>
          </cell>
        </row>
        <row r="226">
          <cell r="A226" t="str">
            <v>303 (2) e</v>
          </cell>
          <cell r="B226" t="str">
            <v>Bituminous Seal Coat - MC– Cut-back Asphalt (Grade 3000)</v>
          </cell>
          <cell r="C226" t="str">
            <v>Tonne</v>
          </cell>
          <cell r="D226" t="str">
            <v>tonne</v>
          </cell>
        </row>
        <row r="227">
          <cell r="A227" t="str">
            <v>303 (3) a</v>
          </cell>
          <cell r="B227" t="str">
            <v>Bituminous Seal Coat - RC– Cut-back Asphalt (Grade 70)</v>
          </cell>
          <cell r="C227" t="str">
            <v>Tonne</v>
          </cell>
          <cell r="D227" t="str">
            <v>tonne</v>
          </cell>
        </row>
        <row r="228">
          <cell r="A228" t="str">
            <v>303 (3) b</v>
          </cell>
          <cell r="B228" t="str">
            <v>Bituminous Seal Coat - RC– Cut-back Asphalt (Grade 250)</v>
          </cell>
          <cell r="C228" t="str">
            <v>Tonne</v>
          </cell>
          <cell r="D228" t="str">
            <v>tonne</v>
          </cell>
        </row>
        <row r="229">
          <cell r="A229" t="str">
            <v>303 (3) c</v>
          </cell>
          <cell r="B229" t="str">
            <v>Bituminous Seal Coat - RC– Cut-back Asphalt (Grade 800)</v>
          </cell>
          <cell r="C229" t="str">
            <v>Tonne</v>
          </cell>
          <cell r="D229" t="str">
            <v>tonne</v>
          </cell>
        </row>
        <row r="230">
          <cell r="A230" t="str">
            <v>303 (3) d</v>
          </cell>
          <cell r="B230" t="str">
            <v>Bituminous Seal Coat - RC– Cut-back Asphalt (Grade 3000)</v>
          </cell>
          <cell r="C230" t="str">
            <v>Tonne</v>
          </cell>
          <cell r="D230" t="str">
            <v>tonne</v>
          </cell>
        </row>
        <row r="231">
          <cell r="A231" t="str">
            <v>303 (4)</v>
          </cell>
          <cell r="B231" t="str">
            <v>Asphalt Cement Penetration Grade</v>
          </cell>
          <cell r="C231" t="str">
            <v>Tonne</v>
          </cell>
          <cell r="D231" t="str">
            <v>tonne</v>
          </cell>
        </row>
        <row r="232">
          <cell r="A232" t="str">
            <v>304 (1)</v>
          </cell>
          <cell r="B232" t="str">
            <v>Aggregate Grading</v>
          </cell>
          <cell r="C232" t="str">
            <v>Tonne</v>
          </cell>
          <cell r="D232" t="str">
            <v>tonne</v>
          </cell>
        </row>
        <row r="233">
          <cell r="A233" t="str">
            <v>304 (2)</v>
          </cell>
          <cell r="B233" t="str">
            <v>Asphalt Cement Penetration Grade</v>
          </cell>
          <cell r="C233" t="str">
            <v>Tonne</v>
          </cell>
          <cell r="D233" t="str">
            <v>tonne</v>
          </cell>
        </row>
        <row r="234">
          <cell r="A234" t="str">
            <v>304 (3) a</v>
          </cell>
          <cell r="B234" t="str">
            <v>Bituminous Surface Treatment - RC-Cut-back Asphalt (Grade 70)</v>
          </cell>
          <cell r="C234" t="str">
            <v>Tonne</v>
          </cell>
          <cell r="D234" t="str">
            <v>tonne</v>
          </cell>
        </row>
        <row r="235">
          <cell r="A235" t="str">
            <v>304 (3) b</v>
          </cell>
          <cell r="B235" t="str">
            <v>Bituminous Surface Treatment - RC-Cut-back Asphalt (Grade 250)</v>
          </cell>
          <cell r="C235" t="str">
            <v>Tonne</v>
          </cell>
          <cell r="D235" t="str">
            <v>tonne</v>
          </cell>
        </row>
        <row r="236">
          <cell r="A236" t="str">
            <v>304 (3) c</v>
          </cell>
          <cell r="B236" t="str">
            <v>Bituminous Surface Treatment - RC-Cut-back Asphalt (Grade 800)</v>
          </cell>
          <cell r="C236" t="str">
            <v>Tonne</v>
          </cell>
          <cell r="D236" t="str">
            <v>tonne</v>
          </cell>
        </row>
        <row r="237">
          <cell r="A237" t="str">
            <v>304 (3) d</v>
          </cell>
          <cell r="B237" t="str">
            <v>Bituminous Surface Treatment - RC-Cut-back Asphalt (Grade 3000)</v>
          </cell>
          <cell r="C237" t="str">
            <v>Tonne</v>
          </cell>
          <cell r="D237" t="str">
            <v>tonne</v>
          </cell>
        </row>
        <row r="238">
          <cell r="A238" t="str">
            <v>304 (3) a</v>
          </cell>
          <cell r="B238" t="str">
            <v>Bituminous Surface Treatment - MC-Cut-back Asphalt (Grade 30)</v>
          </cell>
          <cell r="C238" t="str">
            <v>Tonne</v>
          </cell>
          <cell r="D238" t="str">
            <v>tonne</v>
          </cell>
        </row>
        <row r="239">
          <cell r="A239" t="str">
            <v>304 (3) b</v>
          </cell>
          <cell r="B239" t="str">
            <v>Bituminous Surface Treatment - MC-Cut-back Asphalt (Grade 70)</v>
          </cell>
          <cell r="C239" t="str">
            <v>Tonne</v>
          </cell>
          <cell r="D239" t="str">
            <v>tonne</v>
          </cell>
        </row>
        <row r="240">
          <cell r="A240" t="str">
            <v>304 (3) c</v>
          </cell>
          <cell r="B240" t="str">
            <v>Bituminous Surface Treatment - MC-Cut-back Asphalt (Grade 250)</v>
          </cell>
          <cell r="C240" t="str">
            <v>Tonne</v>
          </cell>
          <cell r="D240" t="str">
            <v>tonne</v>
          </cell>
        </row>
        <row r="241">
          <cell r="A241" t="str">
            <v>304 (3) d</v>
          </cell>
          <cell r="B241" t="str">
            <v>Bituminous Surface Treatment - MC-Cut-back Asphalt (Grade 800)</v>
          </cell>
          <cell r="C241" t="str">
            <v>Tonne</v>
          </cell>
          <cell r="D241" t="str">
            <v>tonne</v>
          </cell>
        </row>
        <row r="242">
          <cell r="A242" t="str">
            <v>304 (3) e</v>
          </cell>
          <cell r="B242" t="str">
            <v>Bituminous Surface Treatment - MC-Cut-back Asphalt (Grade 3000)</v>
          </cell>
          <cell r="C242" t="str">
            <v>Tonne</v>
          </cell>
          <cell r="D242" t="str">
            <v>tonne</v>
          </cell>
        </row>
        <row r="243">
          <cell r="A243" t="str">
            <v>304 (5)</v>
          </cell>
          <cell r="B243" t="str">
            <v>Emulsified Asphalt</v>
          </cell>
          <cell r="C243" t="str">
            <v>Tonne</v>
          </cell>
          <cell r="D243" t="str">
            <v>tonne</v>
          </cell>
        </row>
        <row r="244">
          <cell r="A244" t="str">
            <v>304A (1)</v>
          </cell>
          <cell r="B244" t="str">
            <v>Slurry Surface Treatment (SST)</v>
          </cell>
          <cell r="C244" t="str">
            <v>Square Meter</v>
          </cell>
          <cell r="D244" t="str">
            <v>sq. m.</v>
          </cell>
        </row>
        <row r="245">
          <cell r="A245" t="str">
            <v>304A (2)</v>
          </cell>
          <cell r="B245" t="str">
            <v>Slurry Seal</v>
          </cell>
          <cell r="C245" t="str">
            <v>Square Meter</v>
          </cell>
          <cell r="D245" t="str">
            <v>sq. m.</v>
          </cell>
        </row>
        <row r="246">
          <cell r="A246" t="str">
            <v>304A (3)</v>
          </cell>
          <cell r="B246" t="str">
            <v>Micro-surfacing</v>
          </cell>
          <cell r="C246" t="str">
            <v>Square Meter</v>
          </cell>
          <cell r="D246" t="str">
            <v>sq. m.</v>
          </cell>
        </row>
        <row r="247">
          <cell r="A247" t="str">
            <v>305 (1)</v>
          </cell>
          <cell r="B247" t="str">
            <v>Aggregates</v>
          </cell>
          <cell r="C247" t="str">
            <v>Tonne</v>
          </cell>
          <cell r="D247" t="str">
            <v>tonne</v>
          </cell>
        </row>
        <row r="248">
          <cell r="A248" t="str">
            <v>305 (2)</v>
          </cell>
          <cell r="B248" t="str">
            <v>Asphalt Cement</v>
          </cell>
          <cell r="C248" t="str">
            <v>Tonne</v>
          </cell>
          <cell r="D248" t="str">
            <v>tonne</v>
          </cell>
        </row>
        <row r="249">
          <cell r="A249" t="str">
            <v>305 (3) a</v>
          </cell>
          <cell r="B249" t="str">
            <v>Bituminous Penetration Macadam Pavement - RC-Cutback Asphalt (Grade 70)</v>
          </cell>
          <cell r="C249" t="str">
            <v>Tonne</v>
          </cell>
          <cell r="D249" t="str">
            <v>tonne</v>
          </cell>
        </row>
        <row r="250">
          <cell r="A250" t="str">
            <v>305 (3) b</v>
          </cell>
          <cell r="B250" t="str">
            <v>Bituminous Penetration Macadam Pavement - RC-Cutback Asphalt (Grade 250)</v>
          </cell>
          <cell r="C250" t="str">
            <v>Tonne</v>
          </cell>
          <cell r="D250" t="str">
            <v>tonne</v>
          </cell>
        </row>
        <row r="251">
          <cell r="A251" t="str">
            <v>305 (3) c</v>
          </cell>
          <cell r="B251" t="str">
            <v>Bituminous Penetration Macadam Pavement - RC-Cutback Asphalt (Grade 800)</v>
          </cell>
          <cell r="C251" t="str">
            <v>Tonne</v>
          </cell>
          <cell r="D251" t="str">
            <v>tonne</v>
          </cell>
        </row>
        <row r="252">
          <cell r="A252" t="str">
            <v>305 (3) d</v>
          </cell>
          <cell r="B252" t="str">
            <v>Bituminous Penetration Macadam Pavement - RC-Cutback Asphalt (Grade 3000)</v>
          </cell>
          <cell r="C252" t="str">
            <v>Tonne</v>
          </cell>
          <cell r="D252" t="str">
            <v>tonne</v>
          </cell>
        </row>
        <row r="253">
          <cell r="A253" t="str">
            <v>305 (4)</v>
          </cell>
          <cell r="B253" t="str">
            <v>Emulsified Asphalt</v>
          </cell>
          <cell r="C253" t="str">
            <v>Tonne</v>
          </cell>
          <cell r="D253" t="str">
            <v>tonne</v>
          </cell>
        </row>
        <row r="254">
          <cell r="A254" t="str">
            <v>306 (1)</v>
          </cell>
          <cell r="B254" t="str">
            <v>Aggregate for Bituminous Road Mix Surface Course</v>
          </cell>
          <cell r="C254" t="str">
            <v>Tonne</v>
          </cell>
          <cell r="D254" t="str">
            <v>tonne</v>
          </cell>
        </row>
        <row r="255">
          <cell r="A255" t="str">
            <v>306 (2)</v>
          </cell>
          <cell r="B255" t="str">
            <v>Bituminous Material for Bituminous Road Mix Surface Course</v>
          </cell>
          <cell r="C255" t="str">
            <v>Tonne</v>
          </cell>
          <cell r="D255" t="str">
            <v>tonne</v>
          </cell>
        </row>
        <row r="256">
          <cell r="A256" t="str">
            <v>308 (1)</v>
          </cell>
          <cell r="B256" t="str">
            <v>Bituminous Plant-Mix Surface Course, Cold-Laid</v>
          </cell>
          <cell r="C256" t="str">
            <v>Square Meter</v>
          </cell>
          <cell r="D256" t="str">
            <v>sq. m.</v>
          </cell>
        </row>
        <row r="257">
          <cell r="A257" t="str">
            <v>309 (1)</v>
          </cell>
          <cell r="B257" t="str">
            <v>Bituminous Plant-Mix (Stockpile Maintenance Mixture)</v>
          </cell>
          <cell r="C257" t="str">
            <v>Cubic Meter</v>
          </cell>
          <cell r="D257" t="str">
            <v>cu. m.</v>
          </cell>
        </row>
        <row r="258">
          <cell r="A258" t="str">
            <v>310 (1) a</v>
          </cell>
          <cell r="B258" t="str">
            <v>Bituminous Concrete Surface Wearing Course, Hot-Laid 30 mm</v>
          </cell>
          <cell r="C258" t="str">
            <v>Square Meter</v>
          </cell>
          <cell r="D258" t="str">
            <v>sq. m.</v>
          </cell>
        </row>
        <row r="259">
          <cell r="A259" t="str">
            <v>310 (1) b</v>
          </cell>
          <cell r="B259" t="str">
            <v>Bituminous Concrete Surface Wearing Course, Hot-Laid 40 mm</v>
          </cell>
          <cell r="C259" t="str">
            <v>Square Meter</v>
          </cell>
          <cell r="D259" t="str">
            <v>sq. m.</v>
          </cell>
        </row>
        <row r="260">
          <cell r="A260" t="str">
            <v>310 (1) c</v>
          </cell>
          <cell r="B260" t="str">
            <v>Bituminous Concrete Surface Wearing Course, Hot-Laid 50 mm</v>
          </cell>
          <cell r="C260" t="str">
            <v>Square Meter</v>
          </cell>
          <cell r="D260" t="str">
            <v>sq. m.</v>
          </cell>
        </row>
        <row r="261">
          <cell r="A261" t="str">
            <v>310 (2) a</v>
          </cell>
          <cell r="B261" t="str">
            <v>Bituminous Concrete Surface Binder Course, Hot-Laid 30mm</v>
          </cell>
          <cell r="C261" t="str">
            <v>Square Meter</v>
          </cell>
          <cell r="D261" t="str">
            <v>sq. m.</v>
          </cell>
        </row>
        <row r="262">
          <cell r="A262" t="str">
            <v>310 (2) b</v>
          </cell>
          <cell r="B262" t="str">
            <v>Bituminous Concrete Surface Binder Course, Hot-Laid 40mm</v>
          </cell>
          <cell r="C262" t="str">
            <v>Square Meter</v>
          </cell>
          <cell r="D262" t="str">
            <v>sq. m.</v>
          </cell>
        </row>
        <row r="263">
          <cell r="A263" t="str">
            <v>310 (2) c</v>
          </cell>
          <cell r="B263" t="str">
            <v>Bituminous Concrete Surface Binder Course, Hot-Laid 50mm</v>
          </cell>
          <cell r="C263" t="str">
            <v>Square Meter</v>
          </cell>
          <cell r="D263" t="str">
            <v>sq. m.</v>
          </cell>
        </row>
        <row r="264">
          <cell r="A264" t="str">
            <v>310 (3)</v>
          </cell>
          <cell r="B264" t="str">
            <v>Asphaltic Concrete With Lahar as Fine Aggregate Replacement</v>
          </cell>
          <cell r="C264" t="str">
            <v>Square Meter</v>
          </cell>
          <cell r="D264" t="str">
            <v>sq. m.</v>
          </cell>
        </row>
        <row r="265">
          <cell r="A265" t="str">
            <v>310 (4) a</v>
          </cell>
          <cell r="B265" t="str">
            <v>Bituminous Concrete Surface Wearing Course, Stone Mastic 30mm</v>
          </cell>
          <cell r="C265" t="str">
            <v>Square Meter</v>
          </cell>
          <cell r="D265" t="str">
            <v>sq. m.</v>
          </cell>
        </row>
        <row r="266">
          <cell r="A266" t="str">
            <v>310 (4) b</v>
          </cell>
          <cell r="B266" t="str">
            <v>Bituminous Concrete Surface Wearing Course, Stone Mastic 40mm</v>
          </cell>
          <cell r="C266" t="str">
            <v>Square Meter</v>
          </cell>
          <cell r="D266" t="str">
            <v>sq. m.</v>
          </cell>
        </row>
        <row r="267">
          <cell r="A267" t="str">
            <v>310 (4) c</v>
          </cell>
          <cell r="B267" t="str">
            <v>Bituminous Concrete Surface Wearing Course, Stone Mastic 50mm</v>
          </cell>
          <cell r="C267" t="str">
            <v>Square Meter</v>
          </cell>
          <cell r="D267" t="str">
            <v>sq. m.</v>
          </cell>
        </row>
        <row r="268">
          <cell r="A268" t="str">
            <v>310 (5)</v>
          </cell>
          <cell r="B268" t="str">
            <v>Bituminous Concrete Surface Binder Course, Stone Mastic</v>
          </cell>
          <cell r="C268" t="str">
            <v>Square Meter</v>
          </cell>
          <cell r="D268" t="str">
            <v>sq. m.</v>
          </cell>
        </row>
        <row r="269">
          <cell r="A269" t="str">
            <v>310 (6) a</v>
          </cell>
          <cell r="B269" t="str">
            <v>Bituminous Concrete Surface Wearing Course, PMB 30mm</v>
          </cell>
          <cell r="C269" t="str">
            <v>Square Meter</v>
          </cell>
          <cell r="D269" t="str">
            <v>sq. m.</v>
          </cell>
        </row>
        <row r="270">
          <cell r="A270" t="str">
            <v>310 (6) b</v>
          </cell>
          <cell r="B270" t="str">
            <v>Bituminous Concrete Surface Wearing Course, PMB 40mm</v>
          </cell>
          <cell r="C270" t="str">
            <v>Square Meter</v>
          </cell>
          <cell r="D270" t="str">
            <v>sq. m.</v>
          </cell>
        </row>
        <row r="271">
          <cell r="A271" t="str">
            <v>310 (6) c</v>
          </cell>
          <cell r="B271" t="str">
            <v>Bituminous Concrete Surface Wearing Course, PMB 50mm</v>
          </cell>
          <cell r="C271" t="str">
            <v>Square Meter</v>
          </cell>
          <cell r="D271" t="str">
            <v>sq. m.</v>
          </cell>
        </row>
        <row r="272">
          <cell r="A272" t="str">
            <v>311 (1) a</v>
          </cell>
          <cell r="B272" t="str">
            <v>Portland Cement Concrete Pavement (Unreinforced) 0.15 m thick 14 days</v>
          </cell>
          <cell r="C272" t="str">
            <v>Square Meter</v>
          </cell>
          <cell r="D272" t="str">
            <v>sq. m.</v>
          </cell>
        </row>
        <row r="273">
          <cell r="A273" t="str">
            <v>311 (1) b1</v>
          </cell>
          <cell r="B273" t="str">
            <v>Portland Cement Concrete Pavement (Unreinforced) 0.20 m thick 14 days</v>
          </cell>
          <cell r="C273" t="str">
            <v>Square Meter</v>
          </cell>
          <cell r="D273" t="str">
            <v>sq. m.</v>
          </cell>
        </row>
        <row r="274">
          <cell r="A274" t="str">
            <v>311 (1) b2</v>
          </cell>
          <cell r="B274" t="str">
            <v>Portland Cement Concrete Pavement (Unreinforced) 0.20 m thick 7 days</v>
          </cell>
          <cell r="C274" t="str">
            <v>Square Meter</v>
          </cell>
          <cell r="D274" t="str">
            <v>sq. m.</v>
          </cell>
        </row>
        <row r="275">
          <cell r="A275" t="str">
            <v>311 (1) b3</v>
          </cell>
          <cell r="B275" t="str">
            <v>Portland Cement Concrete Pavement (Unreinforced) 0.20 m thick 3 days</v>
          </cell>
          <cell r="C275" t="str">
            <v>Square Meter</v>
          </cell>
          <cell r="D275" t="str">
            <v>sq. m.</v>
          </cell>
        </row>
        <row r="276">
          <cell r="A276" t="str">
            <v>311 (1) c1</v>
          </cell>
          <cell r="B276" t="str">
            <v>Portland Cement Concrete Pavement (Unreinforced) 0.23 m thick 14 days</v>
          </cell>
          <cell r="C276" t="str">
            <v>Square Meter</v>
          </cell>
          <cell r="D276" t="str">
            <v>sq. m.</v>
          </cell>
        </row>
        <row r="277">
          <cell r="A277" t="str">
            <v>311 (1) c2</v>
          </cell>
          <cell r="B277" t="str">
            <v>Portland Cement Concrete Pavement (Unreinforced) 0.23 m thick 7 days</v>
          </cell>
          <cell r="C277" t="str">
            <v>Square Meter</v>
          </cell>
          <cell r="D277" t="str">
            <v>sq. m.</v>
          </cell>
        </row>
        <row r="278">
          <cell r="A278" t="str">
            <v>311 (1) c3</v>
          </cell>
          <cell r="B278" t="str">
            <v>Portland Cement Concrete Pavement (Unreinforced) 0.23 m thick 3 days</v>
          </cell>
          <cell r="C278" t="str">
            <v>Square Meter</v>
          </cell>
          <cell r="D278" t="str">
            <v>sq. m.</v>
          </cell>
        </row>
        <row r="279">
          <cell r="A279" t="str">
            <v>311 (1) d1</v>
          </cell>
          <cell r="B279" t="str">
            <v>Portland Cement Concrete Pavement (Unreinforced) 0.25 m thick 14 days</v>
          </cell>
          <cell r="C279" t="str">
            <v>Square Meter</v>
          </cell>
          <cell r="D279" t="str">
            <v>sq. m.</v>
          </cell>
        </row>
        <row r="280">
          <cell r="A280" t="str">
            <v>311 (1) d2</v>
          </cell>
          <cell r="B280" t="str">
            <v>Portland Cement Concrete Pavement (Unreinforced) 0.25 m thick 7 days</v>
          </cell>
          <cell r="C280" t="str">
            <v>Square Meter</v>
          </cell>
          <cell r="D280" t="str">
            <v>sq. m.</v>
          </cell>
        </row>
        <row r="281">
          <cell r="A281" t="str">
            <v>311 (1) d3</v>
          </cell>
          <cell r="B281" t="str">
            <v>Portland Cement Concrete Pavement (Unreinforced) 0.25 m thick 3 days</v>
          </cell>
          <cell r="C281" t="str">
            <v>Square Meter</v>
          </cell>
          <cell r="D281" t="str">
            <v>sq. m.</v>
          </cell>
        </row>
        <row r="282">
          <cell r="A282" t="str">
            <v>311 (1) e1</v>
          </cell>
          <cell r="B282" t="str">
            <v>Portland Cement Concrete Pavement (Unreinforced) 0.28 m thick 14 days</v>
          </cell>
          <cell r="C282" t="str">
            <v>Square Meter</v>
          </cell>
          <cell r="D282" t="str">
            <v>sq. m.</v>
          </cell>
        </row>
        <row r="283">
          <cell r="A283" t="str">
            <v>311 (1) e2</v>
          </cell>
          <cell r="B283" t="str">
            <v>Portland Cement Concrete Pavement (Unreinforced) 0.28 m thick 7 days</v>
          </cell>
          <cell r="C283" t="str">
            <v>Square Meter</v>
          </cell>
          <cell r="D283" t="str">
            <v>sq. m.</v>
          </cell>
        </row>
        <row r="284">
          <cell r="A284" t="str">
            <v>311 (1) e3</v>
          </cell>
          <cell r="B284" t="str">
            <v>Portland Cement Concrete Pavement (Unreinforced) 0.28 m thick 3 days</v>
          </cell>
          <cell r="C284" t="str">
            <v>Square Meter</v>
          </cell>
          <cell r="D284" t="str">
            <v>sq. m.</v>
          </cell>
        </row>
        <row r="285">
          <cell r="A285" t="str">
            <v>311 (1) f1</v>
          </cell>
          <cell r="B285" t="str">
            <v>Portland Cement Concrete Pavement (Unreinforced) 0.30 m thick 14 days</v>
          </cell>
          <cell r="C285" t="str">
            <v>Square Meter</v>
          </cell>
          <cell r="D285" t="str">
            <v>sq. m.</v>
          </cell>
        </row>
        <row r="286">
          <cell r="A286" t="str">
            <v>311 (1) f2</v>
          </cell>
          <cell r="B286" t="str">
            <v>Portland Cement Concrete Pavement (Unreinforced) 0.30 m thick 7 days</v>
          </cell>
          <cell r="C286" t="str">
            <v>Square Meter</v>
          </cell>
          <cell r="D286" t="str">
            <v>sq. m.</v>
          </cell>
        </row>
        <row r="287">
          <cell r="A287" t="str">
            <v>311 (1) f3</v>
          </cell>
          <cell r="B287" t="str">
            <v>Portland Cement Concrete Pavement (Unreinforced) 0.30 m thick 3 days</v>
          </cell>
          <cell r="C287" t="str">
            <v>Square Meter</v>
          </cell>
          <cell r="D287" t="str">
            <v>sq. m.</v>
          </cell>
        </row>
        <row r="288">
          <cell r="A288" t="str">
            <v>311 (1) g1</v>
          </cell>
          <cell r="B288" t="str">
            <v>Portland Cement Concrete Pavement (Unreinforced) 0.33 m thick 14 days</v>
          </cell>
          <cell r="C288" t="str">
            <v>Square Meter</v>
          </cell>
          <cell r="D288" t="str">
            <v>sq. m.</v>
          </cell>
        </row>
        <row r="289">
          <cell r="A289" t="str">
            <v>311 (1) g2</v>
          </cell>
          <cell r="B289" t="str">
            <v>Portland Cement Concrete Pavement (Unreinforced) 0.33 m thick 7 days</v>
          </cell>
          <cell r="C289" t="str">
            <v>Square Meter</v>
          </cell>
          <cell r="D289" t="str">
            <v>sq. m.</v>
          </cell>
        </row>
        <row r="290">
          <cell r="A290" t="str">
            <v>311 (1) g3</v>
          </cell>
          <cell r="B290" t="str">
            <v>Portland Cement Concrete Pavement (Unreinforced) 0.33 m thick 3 days</v>
          </cell>
          <cell r="C290" t="str">
            <v>Square Meter</v>
          </cell>
          <cell r="D290" t="str">
            <v>sq. m.</v>
          </cell>
        </row>
        <row r="291">
          <cell r="A291" t="str">
            <v>311 (1) h1</v>
          </cell>
          <cell r="B291" t="str">
            <v>Portland Cement Concrete Pavement (Unreinforced) 0.35 m thick 14 days</v>
          </cell>
          <cell r="C291" t="str">
            <v>Square Meter</v>
          </cell>
          <cell r="D291" t="str">
            <v>sq. m.</v>
          </cell>
        </row>
        <row r="292">
          <cell r="A292" t="str">
            <v>311 (1) h2</v>
          </cell>
          <cell r="B292" t="str">
            <v>Portland Cement Concrete Pavement (Unreinforced) 0.35 m thick 7 days</v>
          </cell>
          <cell r="C292" t="str">
            <v>Square Meter</v>
          </cell>
          <cell r="D292" t="str">
            <v>sq. m.</v>
          </cell>
        </row>
        <row r="293">
          <cell r="A293" t="str">
            <v>311 (1) h3</v>
          </cell>
          <cell r="B293" t="str">
            <v>Portland Cement Concrete Pavement (Unreinforced) 0.35 m thick 3 days</v>
          </cell>
          <cell r="C293" t="str">
            <v>Square Meter</v>
          </cell>
          <cell r="D293" t="str">
            <v>sq. m.</v>
          </cell>
        </row>
        <row r="294">
          <cell r="A294" t="str">
            <v>311 (2) a</v>
          </cell>
          <cell r="B294" t="str">
            <v>Portland Cement Concrete Pavement (Reinforced) 0.15 m thick 14 days</v>
          </cell>
          <cell r="C294" t="str">
            <v>Square Meter</v>
          </cell>
          <cell r="D294" t="str">
            <v>sq. m.</v>
          </cell>
        </row>
        <row r="295">
          <cell r="A295" t="str">
            <v>311 (2) b1</v>
          </cell>
          <cell r="B295" t="str">
            <v>Portland Cement Concrete Pavement (Reinforced) 0.20 m thick 14 days</v>
          </cell>
          <cell r="C295" t="str">
            <v>Square Meter</v>
          </cell>
          <cell r="D295" t="str">
            <v>sq. m.</v>
          </cell>
        </row>
        <row r="296">
          <cell r="A296" t="str">
            <v>311 (2) b2</v>
          </cell>
          <cell r="B296" t="str">
            <v>Portland Cement Concrete Pavement (Reinforced) 0.20 m thick 7 days</v>
          </cell>
          <cell r="C296" t="str">
            <v>Square Meter</v>
          </cell>
          <cell r="D296" t="str">
            <v>sq. m.</v>
          </cell>
        </row>
        <row r="297">
          <cell r="A297" t="str">
            <v>311 (2) b3</v>
          </cell>
          <cell r="B297" t="str">
            <v>Portland Cement Concrete Pavement (Reinforced) 0.20 m thick 3 days</v>
          </cell>
          <cell r="C297" t="str">
            <v>Square Meter</v>
          </cell>
          <cell r="D297" t="str">
            <v>sq. m.</v>
          </cell>
        </row>
        <row r="298">
          <cell r="A298" t="str">
            <v>311 (2) c1</v>
          </cell>
          <cell r="B298" t="str">
            <v>Portland Cement Concrete Pavement (Reinforced) 0.23 m thick 14 days</v>
          </cell>
          <cell r="C298" t="str">
            <v>Square Meter</v>
          </cell>
          <cell r="D298" t="str">
            <v>sq. m.</v>
          </cell>
        </row>
        <row r="299">
          <cell r="A299" t="str">
            <v>311 (2) c2</v>
          </cell>
          <cell r="B299" t="str">
            <v>Portland Cement Concrete Pavement (Reinforced) 0.23 m thick 7 days</v>
          </cell>
          <cell r="C299" t="str">
            <v>Square Meter</v>
          </cell>
          <cell r="D299" t="str">
            <v>sq. m.</v>
          </cell>
        </row>
        <row r="300">
          <cell r="A300" t="str">
            <v>311 (2) c3</v>
          </cell>
          <cell r="B300" t="str">
            <v>Portland Cement Concrete Pavement (Reinforced) 0.23 m thick 3 days</v>
          </cell>
          <cell r="C300" t="str">
            <v>Square Meter</v>
          </cell>
          <cell r="D300" t="str">
            <v>sq. m.</v>
          </cell>
        </row>
        <row r="301">
          <cell r="A301" t="str">
            <v>311 (2) d1</v>
          </cell>
          <cell r="B301" t="str">
            <v>Portland Cement Concrete Pavement (Reinforced) 0.25 m thick 14 days</v>
          </cell>
          <cell r="C301" t="str">
            <v>Square Meter</v>
          </cell>
          <cell r="D301" t="str">
            <v>sq. m.</v>
          </cell>
        </row>
        <row r="302">
          <cell r="A302" t="str">
            <v>311 (2) d2</v>
          </cell>
          <cell r="B302" t="str">
            <v>Portland Cement Concrete Pavement (Reinforced) 0.25 m thick 7 days</v>
          </cell>
          <cell r="C302" t="str">
            <v>Square Meter</v>
          </cell>
          <cell r="D302" t="str">
            <v>sq. m.</v>
          </cell>
        </row>
        <row r="303">
          <cell r="A303" t="str">
            <v>311 (2) d3</v>
          </cell>
          <cell r="B303" t="str">
            <v>Portland Cement Concrete Pavement (Reinforced) 0.25 m thick 3 days</v>
          </cell>
          <cell r="C303" t="str">
            <v>Square Meter</v>
          </cell>
          <cell r="D303" t="str">
            <v>sq. m.</v>
          </cell>
        </row>
        <row r="304">
          <cell r="A304" t="str">
            <v>311 (2) e1</v>
          </cell>
          <cell r="B304" t="str">
            <v>Portland Cement Concrete Pavement (Reinforced) 0.28 m thick 14 days</v>
          </cell>
          <cell r="C304" t="str">
            <v>Square Meter</v>
          </cell>
          <cell r="D304" t="str">
            <v>sq. m.</v>
          </cell>
        </row>
        <row r="305">
          <cell r="A305" t="str">
            <v>311 (2) e2</v>
          </cell>
          <cell r="B305" t="str">
            <v>Portland Cement Concrete Pavement (Reinforced) 0.28 m thick 7 days</v>
          </cell>
          <cell r="C305" t="str">
            <v>Square Meter</v>
          </cell>
          <cell r="D305" t="str">
            <v>sq. m.</v>
          </cell>
        </row>
        <row r="306">
          <cell r="A306" t="str">
            <v>311 (2) e3</v>
          </cell>
          <cell r="B306" t="str">
            <v>Portland Cement Concrete Pavement (Reinforced) 0.28 m thick 3 days</v>
          </cell>
          <cell r="C306" t="str">
            <v>Square Meter</v>
          </cell>
          <cell r="D306" t="str">
            <v>sq. m.</v>
          </cell>
        </row>
        <row r="307">
          <cell r="A307" t="str">
            <v>311 (2) f1</v>
          </cell>
          <cell r="B307" t="str">
            <v>Portland Cement Concrete Pavement (Reinforced) 0.30 m thick 14 days</v>
          </cell>
          <cell r="C307" t="str">
            <v>Square Meter</v>
          </cell>
          <cell r="D307" t="str">
            <v>sq. m.</v>
          </cell>
        </row>
        <row r="308">
          <cell r="A308" t="str">
            <v>311 (2) f2</v>
          </cell>
          <cell r="B308" t="str">
            <v>Portland Cement Concrete Pavement (Reinforced) 0.30 m thick 7 days</v>
          </cell>
          <cell r="C308" t="str">
            <v>Square Meter</v>
          </cell>
          <cell r="D308" t="str">
            <v>sq. m.</v>
          </cell>
        </row>
        <row r="309">
          <cell r="A309" t="str">
            <v>311 (2) f3</v>
          </cell>
          <cell r="B309" t="str">
            <v>Portland Cement Concrete Pavement (Reinforced) 0.30 m thick 3 days</v>
          </cell>
          <cell r="C309" t="str">
            <v>Square Meter</v>
          </cell>
          <cell r="D309" t="str">
            <v>sq. m.</v>
          </cell>
        </row>
        <row r="310">
          <cell r="A310" t="str">
            <v>311 (2) g1</v>
          </cell>
          <cell r="B310" t="str">
            <v>Portland Cement Concrete Pavement (Reinforced) 0.33 m thick 14 days</v>
          </cell>
          <cell r="C310" t="str">
            <v>Square Meter</v>
          </cell>
          <cell r="D310" t="str">
            <v>sq. m.</v>
          </cell>
        </row>
        <row r="311">
          <cell r="A311" t="str">
            <v>311 (2) g2</v>
          </cell>
          <cell r="B311" t="str">
            <v>Portland Cement Concrete Pavement (Reinforced) 0.33 m thick 7 days</v>
          </cell>
          <cell r="C311" t="str">
            <v>Square Meter</v>
          </cell>
          <cell r="D311" t="str">
            <v>sq. m.</v>
          </cell>
        </row>
        <row r="312">
          <cell r="A312" t="str">
            <v>311 (2) g3</v>
          </cell>
          <cell r="B312" t="str">
            <v>Portland Cement Concrete Pavement (Reinforced) 0.33 m thick 3 days</v>
          </cell>
          <cell r="C312" t="str">
            <v>Square Meter</v>
          </cell>
          <cell r="D312" t="str">
            <v>sq. m.</v>
          </cell>
        </row>
        <row r="313">
          <cell r="A313" t="str">
            <v>311 (2) h1</v>
          </cell>
          <cell r="B313" t="str">
            <v>Portland Cement Concrete Pavement (Reinforced) 0.35 m thick 14 days</v>
          </cell>
          <cell r="C313" t="str">
            <v>Square Meter</v>
          </cell>
          <cell r="D313" t="str">
            <v>sq. m.</v>
          </cell>
        </row>
        <row r="314">
          <cell r="A314" t="str">
            <v>311 (2) h2</v>
          </cell>
          <cell r="B314" t="str">
            <v>Portland Cement Concrete Pavement (Reinforced) 0.35 m thick 7 days</v>
          </cell>
          <cell r="C314" t="str">
            <v>Square Meter</v>
          </cell>
          <cell r="D314" t="str">
            <v>sq. m.</v>
          </cell>
        </row>
        <row r="315">
          <cell r="A315" t="str">
            <v>311 (2) h3</v>
          </cell>
          <cell r="B315" t="str">
            <v>Portland Cement Concrete Pavement (Reinforced) 0.35 m thick 3 days</v>
          </cell>
          <cell r="C315" t="str">
            <v>Square Meter</v>
          </cell>
          <cell r="D315" t="str">
            <v>sq. m.</v>
          </cell>
        </row>
        <row r="316">
          <cell r="A316" t="str">
            <v>311 (3) a1</v>
          </cell>
          <cell r="B316" t="str">
            <v>Portland Cement Concrete Pavement (Reinforced with Wire Mesh) 0.23 m thick 14 days</v>
          </cell>
          <cell r="C316" t="str">
            <v>Square Meter</v>
          </cell>
          <cell r="D316" t="str">
            <v>sq. m.</v>
          </cell>
        </row>
        <row r="317">
          <cell r="A317" t="str">
            <v>311 (3) a2</v>
          </cell>
          <cell r="B317" t="str">
            <v>Portland Cement Concrete Pavement (Reinforced with Wire Mesh) 0.23 m thick 7 days</v>
          </cell>
          <cell r="C317" t="str">
            <v>Square Meter</v>
          </cell>
          <cell r="D317" t="str">
            <v>sq. m.</v>
          </cell>
        </row>
        <row r="318">
          <cell r="A318" t="str">
            <v>311 (3) a3</v>
          </cell>
          <cell r="B318" t="str">
            <v>Portland Cement Concrete Pavement (Reinforced with Wire Mesh) 0.23 m thick 3 days</v>
          </cell>
          <cell r="C318" t="str">
            <v>Square Meter</v>
          </cell>
          <cell r="D318" t="str">
            <v>sq. m.</v>
          </cell>
        </row>
        <row r="319">
          <cell r="A319" t="str">
            <v>311 (3) b1</v>
          </cell>
          <cell r="B319" t="str">
            <v>Portland Cement Concrete Pavement (Reinforced with Wire Mesh) 0.25 m thick 14 days</v>
          </cell>
          <cell r="C319" t="str">
            <v>Square Meter</v>
          </cell>
          <cell r="D319" t="str">
            <v>sq. m.</v>
          </cell>
        </row>
        <row r="320">
          <cell r="A320" t="str">
            <v>311 (3) b2</v>
          </cell>
          <cell r="B320" t="str">
            <v>Portland Cement Concrete Pavement (Reinforced with Wire Mesh) 0.25 m thick 7 days</v>
          </cell>
          <cell r="C320" t="str">
            <v>Square Meter</v>
          </cell>
          <cell r="D320" t="str">
            <v>sq. m.</v>
          </cell>
        </row>
        <row r="321">
          <cell r="A321" t="str">
            <v>311 (3) b3</v>
          </cell>
          <cell r="B321" t="str">
            <v>Portland Cement Concrete Pavement (Reinforced with Wire Mesh) 0.25 m thick 3 days</v>
          </cell>
          <cell r="C321" t="str">
            <v>Square Meter</v>
          </cell>
          <cell r="D321" t="str">
            <v>sq. m.</v>
          </cell>
        </row>
        <row r="322">
          <cell r="A322" t="str">
            <v>311 (3) c1</v>
          </cell>
          <cell r="B322" t="str">
            <v>Portland Cement Concrete Pavement (Reinforced with Wire Mesh) 0.28 m thick 14 days</v>
          </cell>
          <cell r="C322" t="str">
            <v>Square Meter</v>
          </cell>
          <cell r="D322" t="str">
            <v>sq. m.</v>
          </cell>
        </row>
        <row r="323">
          <cell r="A323" t="str">
            <v>311 (3) c2</v>
          </cell>
          <cell r="B323" t="str">
            <v>Portland Cement Concrete Pavement (Reinforced with Wire Mesh) 0.28 m thick 7 days</v>
          </cell>
          <cell r="C323" t="str">
            <v>Square Meter</v>
          </cell>
          <cell r="D323" t="str">
            <v>sq. m.</v>
          </cell>
        </row>
        <row r="324">
          <cell r="A324" t="str">
            <v>311 (3) c3</v>
          </cell>
          <cell r="B324" t="str">
            <v>Portland Cement Concrete Pavement (Reinforced with Wire Mesh) 0.28 m thick 3 days</v>
          </cell>
          <cell r="C324" t="str">
            <v>Square Meter</v>
          </cell>
          <cell r="D324" t="str">
            <v>sq. m.</v>
          </cell>
        </row>
        <row r="325">
          <cell r="A325" t="str">
            <v>311 (3) d1</v>
          </cell>
          <cell r="B325" t="str">
            <v>Portland Cement Concrete Pavement (Reinforced with Wire Mesh) 0.30 m thick 14 days</v>
          </cell>
          <cell r="C325" t="str">
            <v>Square Meter</v>
          </cell>
          <cell r="D325" t="str">
            <v>sq. m.</v>
          </cell>
        </row>
        <row r="326">
          <cell r="A326" t="str">
            <v>311 (3) d2</v>
          </cell>
          <cell r="B326" t="str">
            <v>Portland Cement Concrete Pavement (Reinforced with Wire Mesh) 0.30 m thick 7 days</v>
          </cell>
          <cell r="C326" t="str">
            <v>Square Meter</v>
          </cell>
          <cell r="D326" t="str">
            <v>sq. m.</v>
          </cell>
        </row>
        <row r="327">
          <cell r="A327" t="str">
            <v>311 (3) d3</v>
          </cell>
          <cell r="B327" t="str">
            <v>Portland Cement Concrete Pavement (Reinforced with Wire Mesh) 0.30 m thick 3 days</v>
          </cell>
          <cell r="C327" t="str">
            <v>Square Meter</v>
          </cell>
          <cell r="D327" t="str">
            <v>sq. m.</v>
          </cell>
        </row>
        <row r="328">
          <cell r="A328" t="str">
            <v>311 (3) e1</v>
          </cell>
          <cell r="B328" t="str">
            <v>Portland Cement Concrete Pavement (Reinforced with Wire Mesh) 0.33 m thick 14 days</v>
          </cell>
          <cell r="C328" t="str">
            <v>Square Meter</v>
          </cell>
          <cell r="D328" t="str">
            <v>sq. m.</v>
          </cell>
        </row>
        <row r="329">
          <cell r="A329" t="str">
            <v>311 (3) e2</v>
          </cell>
          <cell r="B329" t="str">
            <v>Portland Cement Concrete Pavement (Reinforced with Wire Mesh) 0.33 m thick 7 days</v>
          </cell>
          <cell r="C329" t="str">
            <v>Square Meter</v>
          </cell>
          <cell r="D329" t="str">
            <v>sq. m.</v>
          </cell>
        </row>
        <row r="330">
          <cell r="A330" t="str">
            <v>311 (3) e3</v>
          </cell>
          <cell r="B330" t="str">
            <v>Portland Cement Concrete Pavement (Reinforced with Wire Mesh) 0.33 m thick 3 days</v>
          </cell>
          <cell r="C330" t="str">
            <v>Square Meter</v>
          </cell>
          <cell r="D330" t="str">
            <v>sq. m.</v>
          </cell>
        </row>
        <row r="331">
          <cell r="A331" t="str">
            <v>311 (3) f1</v>
          </cell>
          <cell r="B331" t="str">
            <v>Portland Cement Concrete Pavement (Reinforced with Wire Mesh) 0.35 m thick 14 days</v>
          </cell>
          <cell r="C331" t="str">
            <v>Square Meter</v>
          </cell>
          <cell r="D331" t="str">
            <v>sq. m.</v>
          </cell>
        </row>
        <row r="332">
          <cell r="A332" t="str">
            <v>311 (3) f2</v>
          </cell>
          <cell r="B332" t="str">
            <v>Portland Cement Concrete Pavement (Reinforced with Wire Mesh) 0.35 m thick 7 days</v>
          </cell>
          <cell r="C332" t="str">
            <v>Square Meter</v>
          </cell>
          <cell r="D332" t="str">
            <v>sq. m.</v>
          </cell>
        </row>
        <row r="333">
          <cell r="A333" t="str">
            <v>311 (3) f3</v>
          </cell>
          <cell r="B333" t="str">
            <v>Portland Cement Concrete Pavement (Reinforced with Wire Mesh) 0.35 m thick 3 days</v>
          </cell>
          <cell r="C333" t="str">
            <v>Square Meter</v>
          </cell>
          <cell r="D333" t="str">
            <v>sq. m.</v>
          </cell>
        </row>
        <row r="334">
          <cell r="A334" t="str">
            <v>311 (4) a1</v>
          </cell>
          <cell r="B334" t="str">
            <v>Portland Cement Concrete Pavement with Coralline Materials as Coarse Aggregates (Unreinforced) 0.15 m thick 14 days</v>
          </cell>
          <cell r="C334" t="str">
            <v>Square Meter</v>
          </cell>
          <cell r="D334" t="str">
            <v>sq. m.</v>
          </cell>
        </row>
        <row r="335">
          <cell r="A335" t="str">
            <v>311 (4) a2</v>
          </cell>
          <cell r="B335" t="str">
            <v>Portland Cement Concrete Pavement with Coralline Materials as Coarse Aggregates (Unreinforced) 0.20 m thick 14 days</v>
          </cell>
          <cell r="C335" t="str">
            <v>Square Meter</v>
          </cell>
          <cell r="D335" t="str">
            <v>sq. m.</v>
          </cell>
        </row>
        <row r="336">
          <cell r="A336" t="str">
            <v>311 (4) a3</v>
          </cell>
          <cell r="B336" t="str">
            <v>Portland Cement Concrete Pavement with Coralline Materials as Coarse Aggregates (Unreinforced) 0.23 m thick 14 days</v>
          </cell>
          <cell r="C336" t="str">
            <v>Square Meter</v>
          </cell>
          <cell r="D336" t="str">
            <v>sq. m.</v>
          </cell>
        </row>
        <row r="337">
          <cell r="A337" t="str">
            <v>311 (4) a4</v>
          </cell>
          <cell r="B337" t="str">
            <v>Portland Cement Concrete Pavement with Coralline Materials as Coarse Aggregates (Unreinforced) 0.25 m thick 14 days</v>
          </cell>
          <cell r="C337" t="str">
            <v>Square Meter</v>
          </cell>
          <cell r="D337" t="str">
            <v>sq. m.</v>
          </cell>
        </row>
        <row r="338">
          <cell r="A338" t="str">
            <v>311 (4) a5</v>
          </cell>
          <cell r="B338" t="str">
            <v>Portland Cement Concrete Pavement with Coralline Materials as Coarse Aggregates (Unreinforced) 0.28 m thick 14 days</v>
          </cell>
          <cell r="C338" t="str">
            <v>Square Meter</v>
          </cell>
          <cell r="D338" t="str">
            <v>sq. m.</v>
          </cell>
        </row>
        <row r="339">
          <cell r="A339" t="str">
            <v>311 (4) b1</v>
          </cell>
          <cell r="B339" t="str">
            <v>Portland Cement Concrete Pavement with Coralline Materials as Coarse Aggregates (Reinforced) 0.15 m thick 14 days</v>
          </cell>
          <cell r="C339" t="str">
            <v>Square Meter</v>
          </cell>
          <cell r="D339" t="str">
            <v>sq. m.</v>
          </cell>
        </row>
        <row r="340">
          <cell r="A340" t="str">
            <v>311 (4) b2</v>
          </cell>
          <cell r="B340" t="str">
            <v>Portland Cement Concrete Pavement with Coralline Materials as Coarse Aggregates (Reinforced) 0.20 m thick 14 days</v>
          </cell>
          <cell r="C340" t="str">
            <v>Square Meter</v>
          </cell>
          <cell r="D340" t="str">
            <v>sq. m.</v>
          </cell>
        </row>
        <row r="341">
          <cell r="A341" t="str">
            <v>311 (4) b3</v>
          </cell>
          <cell r="B341" t="str">
            <v>Portland Cement Concrete Pavement with Coralline Materials as Coarse Aggregates (Reinforced) 0.23 m thick 14 days</v>
          </cell>
          <cell r="C341" t="str">
            <v>Square Meter</v>
          </cell>
          <cell r="D341" t="str">
            <v>sq. m.</v>
          </cell>
        </row>
        <row r="342">
          <cell r="A342" t="str">
            <v>311 (4) b4</v>
          </cell>
          <cell r="B342" t="str">
            <v>Portland Cement Concrete Pavement with Coralline Materials as Coarse Aggregates (Reinforced) 0.25 m thick 14 days</v>
          </cell>
          <cell r="C342" t="str">
            <v>Square Meter</v>
          </cell>
          <cell r="D342" t="str">
            <v>sq. m.</v>
          </cell>
        </row>
        <row r="343">
          <cell r="A343" t="str">
            <v>311 (4) b5</v>
          </cell>
          <cell r="B343" t="str">
            <v>Portland Cement Concrete Pavement with Coralline Materials as Coarse Aggregates (Reinforced) 0.28 m thick 14 days</v>
          </cell>
          <cell r="C343" t="str">
            <v>Square Meter</v>
          </cell>
          <cell r="D343" t="str">
            <v>sq. m.</v>
          </cell>
        </row>
        <row r="344">
          <cell r="A344" t="str">
            <v>311 (5) a1</v>
          </cell>
          <cell r="B344" t="str">
            <v>Portland Cement Concrete Pavement with Dolomites as Aggregates (Unreinforced) 0.15 m thick 14 days</v>
          </cell>
          <cell r="C344" t="str">
            <v>Square Meter</v>
          </cell>
          <cell r="D344" t="str">
            <v>sq. m.</v>
          </cell>
        </row>
        <row r="345">
          <cell r="A345" t="str">
            <v>311 (5) a2</v>
          </cell>
          <cell r="B345" t="str">
            <v>Portland Cement Concrete Pavement with Dolomites as Aggregates (Unreinforced) 0.20 m thick 14 days</v>
          </cell>
          <cell r="C345" t="str">
            <v>Square Meter</v>
          </cell>
          <cell r="D345" t="str">
            <v>sq. m.</v>
          </cell>
        </row>
        <row r="346">
          <cell r="A346" t="str">
            <v>311 (5) a3</v>
          </cell>
          <cell r="B346" t="str">
            <v>Portland Cement Concrete Pavement with Dolomites as Aggregates (Unreinforced) 0.23 m thick 14 days</v>
          </cell>
          <cell r="C346" t="str">
            <v>Square Meter</v>
          </cell>
          <cell r="D346" t="str">
            <v>sq. m.</v>
          </cell>
        </row>
        <row r="347">
          <cell r="A347" t="str">
            <v>311 (5) a4</v>
          </cell>
          <cell r="B347" t="str">
            <v>Portland Cement Concrete Pavement with Dolomites as Aggregates (Unreinforced) 0.25 m thick 14 days</v>
          </cell>
          <cell r="C347" t="str">
            <v>Square Meter</v>
          </cell>
          <cell r="D347" t="str">
            <v>sq. m.</v>
          </cell>
        </row>
        <row r="348">
          <cell r="A348" t="str">
            <v>311 (5) a5</v>
          </cell>
          <cell r="B348" t="str">
            <v>Portland Cement Concrete Pavement with Dolomites as Aggregates (Unreinforced) 0.28 m thick 14 days</v>
          </cell>
          <cell r="C348" t="str">
            <v>Square Meter</v>
          </cell>
          <cell r="D348" t="str">
            <v>sq. m.</v>
          </cell>
        </row>
        <row r="349">
          <cell r="A349" t="str">
            <v>311 (5) b1</v>
          </cell>
          <cell r="B349" t="str">
            <v>Portland Cement Concrete Pavement with Dolomites as Aggregates (Reinforced) 0.15 m thick 14 days</v>
          </cell>
          <cell r="C349" t="str">
            <v>Square Meter</v>
          </cell>
          <cell r="D349" t="str">
            <v>sq. m.</v>
          </cell>
        </row>
        <row r="350">
          <cell r="A350" t="str">
            <v>311 (5) b2</v>
          </cell>
          <cell r="B350" t="str">
            <v>Portland Cement Concrete Pavement with Dolomites as Aggregates (Reinforced) 0.20 m thick 14 days</v>
          </cell>
          <cell r="C350" t="str">
            <v>Square Meter</v>
          </cell>
          <cell r="D350" t="str">
            <v>sq. m.</v>
          </cell>
        </row>
        <row r="351">
          <cell r="A351" t="str">
            <v>311 (5) b3</v>
          </cell>
          <cell r="B351" t="str">
            <v>Portland Cement Concrete Pavement with Dolomites as Aggregates (Reinforced) 0.23 m thick 14 days</v>
          </cell>
          <cell r="C351" t="str">
            <v>Square Meter</v>
          </cell>
          <cell r="D351" t="str">
            <v>sq. m.</v>
          </cell>
        </row>
        <row r="352">
          <cell r="A352" t="str">
            <v>311 (5) b4</v>
          </cell>
          <cell r="B352" t="str">
            <v>Portland Cement Concrete Pavement with Dolomites as Aggregates (Reinforced) 0.25 m thick 14 days</v>
          </cell>
          <cell r="C352" t="str">
            <v>Square Meter</v>
          </cell>
          <cell r="D352" t="str">
            <v>sq. m.</v>
          </cell>
        </row>
        <row r="353">
          <cell r="A353" t="str">
            <v>311 (5) b5</v>
          </cell>
          <cell r="B353" t="str">
            <v>Portland Cement Concrete Pavement with Dolomites as Aggregates (Reinforced) 0.28 m thick 14 days</v>
          </cell>
          <cell r="C353" t="str">
            <v>Square Meter</v>
          </cell>
          <cell r="D353" t="str">
            <v>sq. m.</v>
          </cell>
        </row>
        <row r="354">
          <cell r="A354" t="str">
            <v>311 (6) a1</v>
          </cell>
          <cell r="B354" t="str">
            <v>Roller Compacted Concrete Pavement 0.15 m thick 14 days</v>
          </cell>
          <cell r="C354" t="str">
            <v>Square Meter</v>
          </cell>
          <cell r="D354" t="str">
            <v>sq. m.</v>
          </cell>
        </row>
        <row r="355">
          <cell r="A355" t="str">
            <v>311 (6) a2</v>
          </cell>
          <cell r="B355" t="str">
            <v>Roller Compacted Concrete Pavement 0.20 m thick 14 days</v>
          </cell>
          <cell r="C355" t="str">
            <v>Square Meter</v>
          </cell>
          <cell r="D355" t="str">
            <v>sq. m.</v>
          </cell>
        </row>
        <row r="356">
          <cell r="A356" t="str">
            <v>311 (6) a3</v>
          </cell>
          <cell r="B356" t="str">
            <v>Roller Compacted Concrete Pavement 0.23 m thick 14 days</v>
          </cell>
          <cell r="C356" t="str">
            <v>Square Meter</v>
          </cell>
          <cell r="D356" t="str">
            <v>sq. m.</v>
          </cell>
        </row>
        <row r="357">
          <cell r="A357" t="str">
            <v>311 (6) a4</v>
          </cell>
          <cell r="B357" t="str">
            <v>Roller Compacted Concrete Pavement 0.25 m thick 14 days</v>
          </cell>
          <cell r="C357" t="str">
            <v>Square Meter</v>
          </cell>
          <cell r="D357" t="str">
            <v>sq. m.</v>
          </cell>
        </row>
        <row r="358">
          <cell r="A358" t="str">
            <v>311 (6) a5</v>
          </cell>
          <cell r="B358" t="str">
            <v>Roller Compacted Concrete Pavement 0.28 m thick 14 days</v>
          </cell>
          <cell r="C358" t="str">
            <v>Square Meter</v>
          </cell>
          <cell r="D358" t="str">
            <v>sq. m.</v>
          </cell>
        </row>
        <row r="359">
          <cell r="A359" t="str">
            <v>311 (6) a6</v>
          </cell>
          <cell r="B359" t="str">
            <v>Roller Compacted Concrete Pavement 0.30 m thick 14 days</v>
          </cell>
          <cell r="C359" t="str">
            <v>Square Meter</v>
          </cell>
          <cell r="D359" t="str">
            <v>sq. m.</v>
          </cell>
        </row>
        <row r="360">
          <cell r="A360" t="str">
            <v>311 (6) b1</v>
          </cell>
          <cell r="B360" t="str">
            <v>Roller Compacted Concrete Pavement 0.15 m thick 7 days</v>
          </cell>
          <cell r="C360" t="str">
            <v>Square Meter</v>
          </cell>
          <cell r="D360" t="str">
            <v>sq. m.</v>
          </cell>
        </row>
        <row r="361">
          <cell r="A361" t="str">
            <v>311 (6) b2</v>
          </cell>
          <cell r="B361" t="str">
            <v>Roller Compacted Concrete Pavement 0.20 m thick 7 days</v>
          </cell>
          <cell r="C361" t="str">
            <v>Square Meter</v>
          </cell>
          <cell r="D361" t="str">
            <v>sq. m.</v>
          </cell>
        </row>
        <row r="362">
          <cell r="A362" t="str">
            <v>311 (6) b3</v>
          </cell>
          <cell r="B362" t="str">
            <v>Roller Compacted Concrete Pavement 0.23 m thick 7 days</v>
          </cell>
          <cell r="C362" t="str">
            <v>Square Meter</v>
          </cell>
          <cell r="D362" t="str">
            <v>sq. m.</v>
          </cell>
        </row>
        <row r="363">
          <cell r="A363" t="str">
            <v>311 (6) b4</v>
          </cell>
          <cell r="B363" t="str">
            <v>Roller Compacted Concrete Pavement 0.25 m thick 7 days</v>
          </cell>
          <cell r="C363" t="str">
            <v>Square Meter</v>
          </cell>
          <cell r="D363" t="str">
            <v>sq. m.</v>
          </cell>
        </row>
        <row r="364">
          <cell r="A364" t="str">
            <v>311 (6) b5</v>
          </cell>
          <cell r="B364" t="str">
            <v>Roller Compacted Concrete Pavement 0.28 m thick 7 days</v>
          </cell>
          <cell r="C364" t="str">
            <v>Square Meter</v>
          </cell>
          <cell r="D364" t="str">
            <v>sq. m.</v>
          </cell>
        </row>
        <row r="365">
          <cell r="A365" t="str">
            <v>311 (6) b6</v>
          </cell>
          <cell r="B365" t="str">
            <v>Roller Compacted Concrete Pavement 0.30 m thick 7 days</v>
          </cell>
          <cell r="C365" t="str">
            <v>Square Meter</v>
          </cell>
          <cell r="D365" t="str">
            <v>sq. m.</v>
          </cell>
        </row>
        <row r="366">
          <cell r="A366" t="str">
            <v>311 (6) c1</v>
          </cell>
          <cell r="B366" t="str">
            <v>Roller Compacted Concrete Pavement 0.15 m thick 3 days</v>
          </cell>
          <cell r="C366" t="str">
            <v>Square Meter</v>
          </cell>
          <cell r="D366" t="str">
            <v>sq. m.</v>
          </cell>
        </row>
        <row r="367">
          <cell r="A367" t="str">
            <v>311 (6) c2</v>
          </cell>
          <cell r="B367" t="str">
            <v>Roller Compacted Concrete Pavement 0.20 m thick 3 days</v>
          </cell>
          <cell r="C367" t="str">
            <v>Square Meter</v>
          </cell>
          <cell r="D367" t="str">
            <v>sq. m.</v>
          </cell>
        </row>
        <row r="368">
          <cell r="A368" t="str">
            <v>311 (6) c3</v>
          </cell>
          <cell r="B368" t="str">
            <v>Roller Compacted Concrete Pavement 0.23 m thick 3 days</v>
          </cell>
          <cell r="C368" t="str">
            <v>Square Meter</v>
          </cell>
          <cell r="D368" t="str">
            <v>sq. m.</v>
          </cell>
        </row>
        <row r="369">
          <cell r="A369" t="str">
            <v>311 (6) c4</v>
          </cell>
          <cell r="B369" t="str">
            <v>Roller Compacted Concrete Pavement 0.25 m thick 3 days</v>
          </cell>
          <cell r="C369" t="str">
            <v>Square Meter</v>
          </cell>
          <cell r="D369" t="str">
            <v>sq. m.</v>
          </cell>
        </row>
        <row r="370">
          <cell r="A370" t="str">
            <v>311 (6) c5</v>
          </cell>
          <cell r="B370" t="str">
            <v>Roller Compacted Concrete Pavement 0.28 m thick 3 days</v>
          </cell>
          <cell r="C370" t="str">
            <v>Square Meter</v>
          </cell>
          <cell r="D370" t="str">
            <v>sq. m.</v>
          </cell>
        </row>
        <row r="371">
          <cell r="A371" t="str">
            <v>311 (6) c6</v>
          </cell>
          <cell r="B371" t="str">
            <v>Roller Compacted Concrete Pavement 0.30 m thick 3 days</v>
          </cell>
          <cell r="C371" t="str">
            <v>Square Meter</v>
          </cell>
          <cell r="D371" t="str">
            <v>sq. m.</v>
          </cell>
        </row>
        <row r="372">
          <cell r="A372" t="str">
            <v>311 (7) a1</v>
          </cell>
          <cell r="B372" t="str">
            <v>Portland Cement Concrete Pavement with Elasto Barchip-Synthetic Fibers (Unreinforced) 0.20 m thick 14 days</v>
          </cell>
          <cell r="C372" t="str">
            <v>Square Meter</v>
          </cell>
          <cell r="D372" t="str">
            <v>sq. m.</v>
          </cell>
        </row>
        <row r="373">
          <cell r="A373" t="str">
            <v>311 (7) a2</v>
          </cell>
          <cell r="B373" t="str">
            <v>Portland Cement Concrete Pavement with Elasto Barchip-Synthetic Fibers (Unreinforced) 0.23 m thick 14 days</v>
          </cell>
          <cell r="C373" t="str">
            <v>Square Meter</v>
          </cell>
          <cell r="D373" t="str">
            <v>sq. m.</v>
          </cell>
        </row>
        <row r="374">
          <cell r="A374" t="str">
            <v>311 (7) a3</v>
          </cell>
          <cell r="B374" t="str">
            <v>Portland Cement Concrete Pavement with Elasto Barchip-Synthetic Fibers (Unreinforced) 0.25 m thick 14 days</v>
          </cell>
          <cell r="C374" t="str">
            <v>Square Meter</v>
          </cell>
          <cell r="D374" t="str">
            <v>sq. m.</v>
          </cell>
        </row>
        <row r="375">
          <cell r="A375" t="str">
            <v>311 (7) a4</v>
          </cell>
          <cell r="B375" t="str">
            <v>Portland Cement Concrete Pavement with Elasto Barchip-Synthetic Fibers (Unreinforced) 0.28 m thick 14 days</v>
          </cell>
          <cell r="C375" t="str">
            <v>Square Meter</v>
          </cell>
          <cell r="D375" t="str">
            <v>sq. m.</v>
          </cell>
        </row>
        <row r="376">
          <cell r="A376" t="str">
            <v>311 (7) b1</v>
          </cell>
          <cell r="B376" t="str">
            <v>Portland Cement Concrete Pavement with Elasto Barchip-Synthetic Fibers (Unreinforced) 0.20 m thick 7 days</v>
          </cell>
          <cell r="C376" t="str">
            <v>Square Meter</v>
          </cell>
          <cell r="D376" t="str">
            <v>sq. m.</v>
          </cell>
        </row>
        <row r="377">
          <cell r="A377" t="str">
            <v>311 (7) b2</v>
          </cell>
          <cell r="B377" t="str">
            <v>Portland Cement Concrete Pavement with Elasto Barchip-Synthetic Fibers (Unreinforced) 0.23 m thick 7 days</v>
          </cell>
          <cell r="C377" t="str">
            <v>Square Meter</v>
          </cell>
          <cell r="D377" t="str">
            <v>sq. m.</v>
          </cell>
        </row>
        <row r="378">
          <cell r="A378" t="str">
            <v>311 (7) b3</v>
          </cell>
          <cell r="B378" t="str">
            <v>Portland Cement Concrete Pavement with Elasto Barchip-Synthetic Fibers (Unreinforced) 0.25 m thick 7 days</v>
          </cell>
          <cell r="C378" t="str">
            <v>Square Meter</v>
          </cell>
          <cell r="D378" t="str">
            <v>sq. m.</v>
          </cell>
        </row>
        <row r="379">
          <cell r="A379" t="str">
            <v>311 (7) b4</v>
          </cell>
          <cell r="B379" t="str">
            <v>Portland Cement Concrete Pavement with Elasto Barchip-Synthetic Fibers (Unreinforced) 0.28 m thick 7 days</v>
          </cell>
          <cell r="C379" t="str">
            <v>Square Meter</v>
          </cell>
          <cell r="D379" t="str">
            <v>sq. m.</v>
          </cell>
        </row>
        <row r="380">
          <cell r="A380" t="str">
            <v>311 (7) c1</v>
          </cell>
          <cell r="B380" t="str">
            <v>Portland Cement Concrete Pavement with Elasto Barchip-Synthetic Fibers (Unreinforced) 0.20 m thick 3 days</v>
          </cell>
          <cell r="C380" t="str">
            <v>Square Meter</v>
          </cell>
          <cell r="D380" t="str">
            <v>sq. m.</v>
          </cell>
        </row>
        <row r="381">
          <cell r="A381" t="str">
            <v>311 (7) c2</v>
          </cell>
          <cell r="B381" t="str">
            <v>Portland Cement Concrete Pavement with Elasto Barchip-Synthetic Fibers (Unreinforced) 0.23 m thick 3 days</v>
          </cell>
          <cell r="C381" t="str">
            <v>Square Meter</v>
          </cell>
          <cell r="D381" t="str">
            <v>sq. m.</v>
          </cell>
        </row>
        <row r="382">
          <cell r="A382" t="str">
            <v>311 (7) c3</v>
          </cell>
          <cell r="B382" t="str">
            <v>Portland Cement Concrete Pavement with Elasto Barchip-Synthetic Fibers (Unreinforced) 0.25 m thick 3 days</v>
          </cell>
          <cell r="C382" t="str">
            <v>Square Meter</v>
          </cell>
          <cell r="D382" t="str">
            <v>sq. m.</v>
          </cell>
        </row>
        <row r="383">
          <cell r="A383" t="str">
            <v>311 (7) c4</v>
          </cell>
          <cell r="B383" t="str">
            <v>Portland Cement Concrete Pavement with Elasto Barchip-Synthetic Fibers (Unreinforced) 0.28 m thick 3 days</v>
          </cell>
          <cell r="C383" t="str">
            <v>Square Meter</v>
          </cell>
          <cell r="D383" t="str">
            <v>sq. m.</v>
          </cell>
        </row>
        <row r="384">
          <cell r="A384" t="str">
            <v>311 (8) a1</v>
          </cell>
          <cell r="B384" t="str">
            <v>Portland Cement Concrete Pavement with Elasto Barchip-Synthetic Fibers (Reinforced) 0.20 m thick 14 days</v>
          </cell>
          <cell r="C384" t="str">
            <v>Square Meter</v>
          </cell>
          <cell r="D384" t="str">
            <v>sq. m.</v>
          </cell>
        </row>
        <row r="385">
          <cell r="A385" t="str">
            <v>311 (8) a2</v>
          </cell>
          <cell r="B385" t="str">
            <v>Portland Cement Concrete Pavement with Elasto Barchip-Synthetic Fibers (Reinforced) 0.23 m thick 14 days</v>
          </cell>
          <cell r="C385" t="str">
            <v>Square Meter</v>
          </cell>
          <cell r="D385" t="str">
            <v>sq. m.</v>
          </cell>
        </row>
        <row r="386">
          <cell r="A386" t="str">
            <v>311 (8) a3</v>
          </cell>
          <cell r="B386" t="str">
            <v>Portland Cement Concrete Pavement with Elasto Barchip-Synthetic Fibers (Reinforced) 0.25 m thick 14 days</v>
          </cell>
          <cell r="C386" t="str">
            <v>Square Meter</v>
          </cell>
          <cell r="D386" t="str">
            <v>sq. m.</v>
          </cell>
        </row>
        <row r="387">
          <cell r="A387" t="str">
            <v>311 (8) a4</v>
          </cell>
          <cell r="B387" t="str">
            <v>Portland Cement Concrete Pavement with Elasto Barchip-Synthetic Fibers (Reinforced) 0.28 m thick 14 days</v>
          </cell>
          <cell r="C387" t="str">
            <v>Square Meter</v>
          </cell>
          <cell r="D387" t="str">
            <v>sq. m.</v>
          </cell>
        </row>
        <row r="388">
          <cell r="A388" t="str">
            <v>311 (8) b1</v>
          </cell>
          <cell r="B388" t="str">
            <v>Portland Cement Concrete Pavement with Elasto Barchip-Synthetic Fibers (Reinforced) 0.20 m thick 7 days</v>
          </cell>
          <cell r="C388" t="str">
            <v>Square Meter</v>
          </cell>
          <cell r="D388" t="str">
            <v>sq. m.</v>
          </cell>
        </row>
        <row r="389">
          <cell r="A389" t="str">
            <v>311 (8) b2</v>
          </cell>
          <cell r="B389" t="str">
            <v>Portland Cement Concrete Pavement with Elasto Barchip-Synthetic Fibers (Reinforced) 0.23 m thick 7 days</v>
          </cell>
          <cell r="C389" t="str">
            <v>Square Meter</v>
          </cell>
          <cell r="D389" t="str">
            <v>sq. m.</v>
          </cell>
        </row>
        <row r="390">
          <cell r="A390" t="str">
            <v>311 (8) b3</v>
          </cell>
          <cell r="B390" t="str">
            <v>Portland Cement Concrete Pavement with Elasto Barchip-Synthetic Fibers (Reinforced) 0.25 m thick 7 days</v>
          </cell>
          <cell r="C390" t="str">
            <v>Square Meter</v>
          </cell>
          <cell r="D390" t="str">
            <v>sq. m.</v>
          </cell>
        </row>
        <row r="391">
          <cell r="A391" t="str">
            <v>311 (8) b4</v>
          </cell>
          <cell r="B391" t="str">
            <v>Portland Cement Concrete Pavement with Elasto Barchip-Synthetic Fibers (Reinforced) 0.28 m thick 7 days</v>
          </cell>
          <cell r="C391" t="str">
            <v>Square Meter</v>
          </cell>
          <cell r="D391" t="str">
            <v>sq. m.</v>
          </cell>
        </row>
        <row r="392">
          <cell r="A392" t="str">
            <v>311 (8) c1</v>
          </cell>
          <cell r="B392" t="str">
            <v>Portland Cement Concrete Pavement with Elasto Barchip-Synthetic Fibers (Reinforced) 0.20 m thick 3 days</v>
          </cell>
          <cell r="C392" t="str">
            <v>Square Meter</v>
          </cell>
          <cell r="D392" t="str">
            <v>sq. m.</v>
          </cell>
        </row>
        <row r="393">
          <cell r="A393" t="str">
            <v>311 (8) c2</v>
          </cell>
          <cell r="B393" t="str">
            <v>Portland Cement Concrete Pavement with Elasto Barchip-Synthetic Fibers (Reinforced) 0.23 m thick 3 days</v>
          </cell>
          <cell r="C393" t="str">
            <v>Square Meter</v>
          </cell>
          <cell r="D393" t="str">
            <v>sq. m.</v>
          </cell>
        </row>
        <row r="394">
          <cell r="A394" t="str">
            <v>311 (8) c3</v>
          </cell>
          <cell r="B394" t="str">
            <v>Portland Cement Concrete Pavement with Elasto Barchip-Synthetic Fibers (Reinforced) 0.25 m thick 3 days</v>
          </cell>
          <cell r="C394" t="str">
            <v>Square Meter</v>
          </cell>
          <cell r="D394" t="str">
            <v>sq. m.</v>
          </cell>
        </row>
        <row r="395">
          <cell r="A395" t="str">
            <v>311 (8) c4</v>
          </cell>
          <cell r="B395" t="str">
            <v>Portland Cement Concrete Pavement with Elasto Barchip-Synthetic Fibers (Reinforced) 0.28 m thick 3 days</v>
          </cell>
          <cell r="C395" t="str">
            <v>Square Meter</v>
          </cell>
          <cell r="D395" t="str">
            <v>sq. m.</v>
          </cell>
        </row>
        <row r="396">
          <cell r="A396" t="str">
            <v>311 (9) a1</v>
          </cell>
          <cell r="B396" t="str">
            <v>Portland Cement Concrete Pavement with Forta-Ferro Fibers (Unreinforced) 0.20 m thick 14 days</v>
          </cell>
          <cell r="C396" t="str">
            <v>Square Meter</v>
          </cell>
          <cell r="D396" t="str">
            <v>sq. m.</v>
          </cell>
        </row>
        <row r="397">
          <cell r="A397" t="str">
            <v>311 (9) a2</v>
          </cell>
          <cell r="B397" t="str">
            <v>Portland Cement Concrete Pavement with Forta-Ferro Fibers (Unreinforced) 0.23 m thick 14 days</v>
          </cell>
          <cell r="C397" t="str">
            <v>Square Meter</v>
          </cell>
          <cell r="D397" t="str">
            <v>sq. m.</v>
          </cell>
        </row>
        <row r="398">
          <cell r="A398" t="str">
            <v>311 (9) a3</v>
          </cell>
          <cell r="B398" t="str">
            <v>Portland Cement Concrete Pavement with Forta-Ferro Fibers (Unreinforced) 0.25 m thick 14 days</v>
          </cell>
          <cell r="C398" t="str">
            <v>Square Meter</v>
          </cell>
          <cell r="D398" t="str">
            <v>sq. m.</v>
          </cell>
        </row>
        <row r="399">
          <cell r="A399" t="str">
            <v>311 (9) a4</v>
          </cell>
          <cell r="B399" t="str">
            <v>Portland Cement Concrete Pavement with Forta-Ferro Fibers (Unreinforced) 0.28 m thick 14 days</v>
          </cell>
          <cell r="C399" t="str">
            <v>Square Meter</v>
          </cell>
          <cell r="D399" t="str">
            <v>sq. m.</v>
          </cell>
        </row>
        <row r="400">
          <cell r="A400" t="str">
            <v>311 (9) b1</v>
          </cell>
          <cell r="B400" t="str">
            <v>Portland Cement Concrete Pavement with Forta-Ferro Fibers (Unreinforced) 0.20 m thick 7 days</v>
          </cell>
          <cell r="C400" t="str">
            <v>Square Meter</v>
          </cell>
          <cell r="D400" t="str">
            <v>sq. m.</v>
          </cell>
        </row>
        <row r="401">
          <cell r="A401" t="str">
            <v>311 (9) b2</v>
          </cell>
          <cell r="B401" t="str">
            <v>Portland Cement Concrete Pavement with Forta-Ferro Fibers (Unreinforced) 0.23 m thick 7 days</v>
          </cell>
          <cell r="C401" t="str">
            <v>Square Meter</v>
          </cell>
          <cell r="D401" t="str">
            <v>sq. m.</v>
          </cell>
        </row>
        <row r="402">
          <cell r="A402" t="str">
            <v>311 (9) b3</v>
          </cell>
          <cell r="B402" t="str">
            <v>Portland Cement Concrete Pavement with Forta-Ferro Fibers (Unreinforced) 0.25 m thick 7 days</v>
          </cell>
          <cell r="C402" t="str">
            <v>Square Meter</v>
          </cell>
          <cell r="D402" t="str">
            <v>sq. m.</v>
          </cell>
        </row>
        <row r="403">
          <cell r="A403" t="str">
            <v>311 (9) b4</v>
          </cell>
          <cell r="B403" t="str">
            <v>Portland Cement Concrete Pavement with Forta-Ferro Fibers (Unreinforced) 0.28 m thick 7 days</v>
          </cell>
          <cell r="C403" t="str">
            <v>Square Meter</v>
          </cell>
          <cell r="D403" t="str">
            <v>sq. m.</v>
          </cell>
        </row>
        <row r="404">
          <cell r="A404" t="str">
            <v>311 (9) c1</v>
          </cell>
          <cell r="B404" t="str">
            <v>Portland Cement Concrete Pavement with Forta-Ferro Fibers (Unreinforced) 0.20 m thick 3 days</v>
          </cell>
          <cell r="C404" t="str">
            <v>Square Meter</v>
          </cell>
          <cell r="D404" t="str">
            <v>sq. m.</v>
          </cell>
        </row>
        <row r="405">
          <cell r="A405" t="str">
            <v>311 (9) c2</v>
          </cell>
          <cell r="B405" t="str">
            <v>Portland Cement Concrete Pavement with Forta-Ferro Fibers (Unreinforced) 0.23 m thick 3 days</v>
          </cell>
          <cell r="C405" t="str">
            <v>Square Meter</v>
          </cell>
          <cell r="D405" t="str">
            <v>sq. m.</v>
          </cell>
        </row>
        <row r="406">
          <cell r="A406" t="str">
            <v>311 (9) c3</v>
          </cell>
          <cell r="B406" t="str">
            <v>Portland Cement Concrete Pavement with Forta-Ferro Fibers (Unreinforced) 0.25 m thick 3 days</v>
          </cell>
          <cell r="C406" t="str">
            <v>Square Meter</v>
          </cell>
          <cell r="D406" t="str">
            <v>sq. m.</v>
          </cell>
        </row>
        <row r="407">
          <cell r="A407" t="str">
            <v>311 (9) c4</v>
          </cell>
          <cell r="B407" t="str">
            <v>Portland Cement Concrete Pavement with Forta-Ferro Fibers (Unreinforced) 0.28 m thick 3 days</v>
          </cell>
          <cell r="C407" t="str">
            <v>Square Meter</v>
          </cell>
          <cell r="D407" t="str">
            <v>sq. m.</v>
          </cell>
        </row>
        <row r="408">
          <cell r="A408" t="str">
            <v>313 (1)</v>
          </cell>
          <cell r="B408" t="str">
            <v>Rock Asphalt</v>
          </cell>
          <cell r="C408" t="str">
            <v>Square Meter</v>
          </cell>
          <cell r="D408" t="str">
            <v>sq. m.</v>
          </cell>
        </row>
        <row r="409">
          <cell r="A409" t="str">
            <v>PART F</v>
          </cell>
          <cell r="B409" t="str">
            <v>BRIDGE CONSTRUCTION</v>
          </cell>
          <cell r="D409" t="e">
            <v>#N/A</v>
          </cell>
        </row>
        <row r="410">
          <cell r="A410" t="str">
            <v>400 (1)</v>
          </cell>
          <cell r="B410" t="str">
            <v>Untreated Timber Piles, furnished</v>
          </cell>
          <cell r="C410" t="str">
            <v>Meter</v>
          </cell>
          <cell r="D410" t="str">
            <v>m.</v>
          </cell>
        </row>
        <row r="411">
          <cell r="A411" t="str">
            <v>400 (2)</v>
          </cell>
          <cell r="B411" t="str">
            <v>Treated Timber Piles, preservative, furnished</v>
          </cell>
          <cell r="C411" t="str">
            <v>Meter</v>
          </cell>
          <cell r="D411" t="str">
            <v>m.</v>
          </cell>
        </row>
        <row r="412">
          <cell r="A412" t="str">
            <v>400 (3) a</v>
          </cell>
          <cell r="B412" t="str">
            <v>Steel H-Piles, furnished 305mmx305mm 79 kg/m</v>
          </cell>
          <cell r="C412" t="str">
            <v>Meter</v>
          </cell>
          <cell r="D412" t="str">
            <v>m.</v>
          </cell>
        </row>
        <row r="413">
          <cell r="A413" t="str">
            <v>400 (3) b</v>
          </cell>
          <cell r="B413" t="str">
            <v>Steel H-Piles, furnished 305mmx305mm 94 kg/m</v>
          </cell>
          <cell r="C413" t="str">
            <v>Meter</v>
          </cell>
          <cell r="D413" t="str">
            <v>m.</v>
          </cell>
        </row>
        <row r="414">
          <cell r="A414" t="str">
            <v>400 (3) c</v>
          </cell>
          <cell r="B414" t="str">
            <v>Steel H-Piles, furnished 305mmx305mm 110 kg/m</v>
          </cell>
          <cell r="C414" t="str">
            <v>Meter</v>
          </cell>
          <cell r="D414" t="str">
            <v>m.</v>
          </cell>
        </row>
        <row r="415">
          <cell r="A415" t="str">
            <v>400 (3) d</v>
          </cell>
          <cell r="B415" t="str">
            <v>Steel H-Piles, furnished 305mmx305mm 125 kg/m</v>
          </cell>
          <cell r="C415" t="str">
            <v>Meter</v>
          </cell>
          <cell r="D415" t="str">
            <v>m.</v>
          </cell>
        </row>
        <row r="416">
          <cell r="A416" t="str">
            <v>400 (4) a1</v>
          </cell>
          <cell r="B416" t="str">
            <v>Precast Concrete Piles, furnished 400x400 mm</v>
          </cell>
          <cell r="C416" t="str">
            <v>Meter</v>
          </cell>
          <cell r="D416" t="str">
            <v>m.</v>
          </cell>
        </row>
        <row r="417">
          <cell r="A417" t="str">
            <v>400 (4) a2</v>
          </cell>
          <cell r="B417" t="str">
            <v>Precast Concrete Piles, furnished 450x450 mm</v>
          </cell>
          <cell r="C417" t="str">
            <v>Meter</v>
          </cell>
          <cell r="D417" t="str">
            <v>m.</v>
          </cell>
        </row>
        <row r="418">
          <cell r="A418" t="str">
            <v>400 (5) a1</v>
          </cell>
          <cell r="B418" t="str">
            <v>Precast, Prestresssed Concrete Piles, furnished 400x400 mm</v>
          </cell>
          <cell r="C418" t="str">
            <v>Meter</v>
          </cell>
          <cell r="D418" t="str">
            <v>m.</v>
          </cell>
        </row>
        <row r="419">
          <cell r="A419" t="str">
            <v>400 (5) a2</v>
          </cell>
          <cell r="B419" t="str">
            <v>Precast, Prestresssed Concrete Piles, furnished 450x450 mm</v>
          </cell>
          <cell r="C419" t="str">
            <v>Meter</v>
          </cell>
          <cell r="D419" t="str">
            <v>m.</v>
          </cell>
        </row>
        <row r="420">
          <cell r="A420" t="str">
            <v>400 (6)</v>
          </cell>
          <cell r="B420" t="str">
            <v>Structural Steel Sheet Piles, furnished</v>
          </cell>
          <cell r="C420" t="str">
            <v>Meter</v>
          </cell>
          <cell r="D420" t="str">
            <v>m.</v>
          </cell>
        </row>
        <row r="421">
          <cell r="A421" t="str">
            <v>400 (7)</v>
          </cell>
          <cell r="B421" t="str">
            <v>Precast Concrete Sheet Piles, furnished</v>
          </cell>
          <cell r="C421" t="str">
            <v>Meter</v>
          </cell>
          <cell r="D421" t="str">
            <v>m.</v>
          </cell>
        </row>
        <row r="422">
          <cell r="A422" t="str">
            <v>400 (8)</v>
          </cell>
          <cell r="B422" t="str">
            <v>Untreated Timber Piles, driven</v>
          </cell>
          <cell r="C422" t="str">
            <v>Meter</v>
          </cell>
          <cell r="D422" t="str">
            <v>m.</v>
          </cell>
        </row>
        <row r="423">
          <cell r="A423" t="str">
            <v>400 (9)</v>
          </cell>
          <cell r="B423" t="str">
            <v>Treated Timber Piles, driven</v>
          </cell>
          <cell r="C423" t="str">
            <v>Meter</v>
          </cell>
          <cell r="D423" t="str">
            <v>m.</v>
          </cell>
        </row>
        <row r="424">
          <cell r="A424" t="str">
            <v>400 (10)</v>
          </cell>
          <cell r="B424" t="str">
            <v>Steel H-Piles, driven</v>
          </cell>
          <cell r="C424" t="str">
            <v>Meter</v>
          </cell>
          <cell r="D424" t="str">
            <v>m.</v>
          </cell>
        </row>
        <row r="425">
          <cell r="A425" t="str">
            <v>400 (11)</v>
          </cell>
          <cell r="B425" t="str">
            <v>Steel Pipes Piles</v>
          </cell>
          <cell r="C425" t="str">
            <v>Meter</v>
          </cell>
          <cell r="D425" t="str">
            <v>m.</v>
          </cell>
        </row>
        <row r="426">
          <cell r="A426" t="str">
            <v>400 (12)</v>
          </cell>
          <cell r="B426" t="str">
            <v>Structural Steel Sheet Piles, driven</v>
          </cell>
          <cell r="C426" t="str">
            <v>Meter</v>
          </cell>
          <cell r="D426" t="str">
            <v>m.</v>
          </cell>
        </row>
        <row r="427">
          <cell r="A427" t="str">
            <v>400 (13)</v>
          </cell>
          <cell r="B427" t="str">
            <v>Precast Concrete Sheet Piles, driven</v>
          </cell>
          <cell r="C427" t="str">
            <v>Meter</v>
          </cell>
          <cell r="D427" t="str">
            <v>m.</v>
          </cell>
        </row>
        <row r="428">
          <cell r="A428" t="str">
            <v>400 (14)</v>
          </cell>
          <cell r="B428" t="str">
            <v>Precast Concrete Piles, driven</v>
          </cell>
          <cell r="C428" t="str">
            <v>Meter</v>
          </cell>
          <cell r="D428" t="str">
            <v>m.</v>
          </cell>
        </row>
        <row r="429">
          <cell r="A429" t="str">
            <v>400 (15)</v>
          </cell>
          <cell r="B429" t="str">
            <v>Precast, Prestresssed Concrete Piles, driven</v>
          </cell>
          <cell r="C429" t="str">
            <v>Meter</v>
          </cell>
          <cell r="D429" t="str">
            <v>m.</v>
          </cell>
        </row>
        <row r="430">
          <cell r="A430" t="str">
            <v>400 (16) a</v>
          </cell>
          <cell r="B430" t="str">
            <v>Test Piles, furnished and driven 400x400 mm</v>
          </cell>
          <cell r="C430" t="str">
            <v>Meter</v>
          </cell>
          <cell r="D430" t="str">
            <v>m.</v>
          </cell>
        </row>
        <row r="431">
          <cell r="A431" t="str">
            <v>400 (16) b</v>
          </cell>
          <cell r="B431" t="str">
            <v>Test Piles, furnished and driven 450x450 mm</v>
          </cell>
          <cell r="C431" t="str">
            <v>Meter</v>
          </cell>
          <cell r="D431" t="str">
            <v>m.</v>
          </cell>
        </row>
        <row r="432">
          <cell r="A432" t="str">
            <v>400 (17) a</v>
          </cell>
          <cell r="B432" t="str">
            <v>Concrete Piles cast in Drilled Holes 0.80</v>
          </cell>
          <cell r="C432" t="str">
            <v>Meter</v>
          </cell>
          <cell r="D432" t="str">
            <v>m.</v>
          </cell>
        </row>
        <row r="433">
          <cell r="A433" t="str">
            <v>400 (17) b</v>
          </cell>
          <cell r="B433" t="str">
            <v>Concrete Piles cast in Drilled Holes 0.90</v>
          </cell>
          <cell r="C433" t="str">
            <v>Meter</v>
          </cell>
          <cell r="D433" t="str">
            <v>m.</v>
          </cell>
        </row>
        <row r="434">
          <cell r="A434" t="str">
            <v>400 (17) c</v>
          </cell>
          <cell r="B434" t="str">
            <v>Concrete Piles cast in Drilled Holes 1.00</v>
          </cell>
          <cell r="C434" t="str">
            <v>Meter</v>
          </cell>
          <cell r="D434" t="str">
            <v>m.</v>
          </cell>
        </row>
        <row r="435">
          <cell r="A435" t="str">
            <v>400 (17) d</v>
          </cell>
          <cell r="B435" t="str">
            <v>Concrete Piles cast in Drilled Holes 1.10</v>
          </cell>
          <cell r="C435" t="str">
            <v>Meter</v>
          </cell>
          <cell r="D435" t="str">
            <v>m.</v>
          </cell>
        </row>
        <row r="436">
          <cell r="A436" t="str">
            <v>400 (17) e</v>
          </cell>
          <cell r="B436" t="str">
            <v>Concrete Piles cast in Drilled Holes 1.20</v>
          </cell>
          <cell r="C436" t="str">
            <v>Meter</v>
          </cell>
          <cell r="D436" t="str">
            <v>m.</v>
          </cell>
        </row>
        <row r="437">
          <cell r="A437" t="str">
            <v>400 (17) f</v>
          </cell>
          <cell r="B437" t="str">
            <v>Concrete Piles cast in Drilled Holes 1.30</v>
          </cell>
          <cell r="C437" t="str">
            <v>Meter</v>
          </cell>
          <cell r="D437" t="str">
            <v>m.</v>
          </cell>
        </row>
        <row r="438">
          <cell r="A438" t="str">
            <v>400 (17) g</v>
          </cell>
          <cell r="B438" t="str">
            <v>Concrete Piles cast in Drilled Holes 1.40</v>
          </cell>
          <cell r="C438" t="str">
            <v>Meter</v>
          </cell>
          <cell r="D438" t="str">
            <v>m.</v>
          </cell>
        </row>
        <row r="439">
          <cell r="A439" t="str">
            <v>400 (17) h</v>
          </cell>
          <cell r="B439" t="str">
            <v>Concrete Piles cast in Drilled Holes 1.50</v>
          </cell>
          <cell r="C439" t="str">
            <v>Meter</v>
          </cell>
          <cell r="D439" t="str">
            <v>m.</v>
          </cell>
        </row>
        <row r="440">
          <cell r="A440" t="str">
            <v>400 (17) i</v>
          </cell>
          <cell r="B440" t="str">
            <v>Concrete Piles cast in Drilled Holes 1.60</v>
          </cell>
          <cell r="C440" t="str">
            <v>Meter</v>
          </cell>
          <cell r="D440" t="str">
            <v>m.</v>
          </cell>
        </row>
        <row r="441">
          <cell r="A441" t="str">
            <v>400 (17) j</v>
          </cell>
          <cell r="B441" t="str">
            <v>Concrete Piles cast in Drilled Holes 1.70</v>
          </cell>
          <cell r="C441" t="str">
            <v>Meter</v>
          </cell>
          <cell r="D441" t="str">
            <v>m.</v>
          </cell>
        </row>
        <row r="442">
          <cell r="A442" t="str">
            <v>400 (17) k</v>
          </cell>
          <cell r="B442" t="str">
            <v>Concrete Piles cast in Drilled Holes 1.80</v>
          </cell>
          <cell r="C442" t="str">
            <v>Meter</v>
          </cell>
          <cell r="D442" t="str">
            <v>m.</v>
          </cell>
        </row>
        <row r="443">
          <cell r="A443" t="str">
            <v>400 (17) l</v>
          </cell>
          <cell r="B443" t="str">
            <v>Concrete Piles cast in Drilled Holes 1.90</v>
          </cell>
          <cell r="C443" t="str">
            <v>Meter</v>
          </cell>
          <cell r="D443" t="str">
            <v>m.</v>
          </cell>
        </row>
        <row r="444">
          <cell r="A444" t="str">
            <v>400 (17) m</v>
          </cell>
          <cell r="B444" t="str">
            <v>Concrete Piles cast in Drilled Holes 2.00</v>
          </cell>
          <cell r="C444" t="str">
            <v>Meter</v>
          </cell>
          <cell r="D444" t="str">
            <v>m.</v>
          </cell>
        </row>
        <row r="445">
          <cell r="A445" t="str">
            <v>400 (17) n</v>
          </cell>
          <cell r="B445" t="str">
            <v>Concrete Piles cast in Drilled Holes 2.10</v>
          </cell>
          <cell r="C445" t="str">
            <v>Meter</v>
          </cell>
          <cell r="D445" t="str">
            <v>m.</v>
          </cell>
        </row>
        <row r="446">
          <cell r="A446" t="str">
            <v>400 (17) o</v>
          </cell>
          <cell r="B446" t="str">
            <v>Concrete Piles cast in Drilled Holes 2.20</v>
          </cell>
          <cell r="C446" t="str">
            <v>Meter</v>
          </cell>
          <cell r="D446" t="str">
            <v>m.</v>
          </cell>
        </row>
        <row r="447">
          <cell r="A447" t="str">
            <v>400 (17) p</v>
          </cell>
          <cell r="B447" t="str">
            <v>Concrete Piles cast in Drilled Holes 2.30</v>
          </cell>
          <cell r="C447" t="str">
            <v>Meter</v>
          </cell>
          <cell r="D447" t="str">
            <v>m.</v>
          </cell>
        </row>
        <row r="448">
          <cell r="A448" t="str">
            <v>400 (17) q</v>
          </cell>
          <cell r="B448" t="str">
            <v>Concrete Piles cast in Drilled Holes 2.40</v>
          </cell>
          <cell r="C448" t="str">
            <v>Meter</v>
          </cell>
          <cell r="D448" t="str">
            <v>m.</v>
          </cell>
        </row>
        <row r="449">
          <cell r="A449" t="str">
            <v>400 (17) r</v>
          </cell>
          <cell r="B449" t="str">
            <v>Concrete Piles cast in Drilled Holes 2.50</v>
          </cell>
          <cell r="C449" t="str">
            <v>Meter</v>
          </cell>
          <cell r="D449" t="str">
            <v>m.</v>
          </cell>
        </row>
        <row r="450">
          <cell r="A450" t="str">
            <v>400 (17) s</v>
          </cell>
          <cell r="B450" t="str">
            <v>Concrete Piles cast in Drilled Holes 2.60</v>
          </cell>
          <cell r="C450" t="str">
            <v>Meter</v>
          </cell>
          <cell r="D450" t="str">
            <v>m.</v>
          </cell>
        </row>
        <row r="451">
          <cell r="A451" t="str">
            <v>400 (17) t</v>
          </cell>
          <cell r="B451" t="str">
            <v>Concrete Piles cast in Drilled Holes 2.70</v>
          </cell>
          <cell r="C451" t="str">
            <v>Meter</v>
          </cell>
          <cell r="D451" t="str">
            <v>m.</v>
          </cell>
        </row>
        <row r="452">
          <cell r="A452" t="str">
            <v>400 (17) u</v>
          </cell>
          <cell r="B452" t="str">
            <v>Concrete Piles cast in Drilled Holes 2.80</v>
          </cell>
          <cell r="C452" t="str">
            <v>Meter</v>
          </cell>
          <cell r="D452" t="str">
            <v>m.</v>
          </cell>
        </row>
        <row r="453">
          <cell r="A453" t="str">
            <v>400 (17) v</v>
          </cell>
          <cell r="B453" t="str">
            <v>Concrete Piles cast in Drilled Holes 2.90</v>
          </cell>
          <cell r="C453" t="str">
            <v>Meter</v>
          </cell>
          <cell r="D453" t="str">
            <v>m.</v>
          </cell>
        </row>
        <row r="454">
          <cell r="A454" t="str">
            <v>400 (17) w</v>
          </cell>
          <cell r="B454" t="str">
            <v>Concrete Piles cast in Drilled Holes 3.00</v>
          </cell>
          <cell r="C454" t="str">
            <v>Meter</v>
          </cell>
          <cell r="D454" t="str">
            <v>m.</v>
          </cell>
        </row>
        <row r="455">
          <cell r="A455" t="str">
            <v>400 (17) x</v>
          </cell>
          <cell r="B455" t="str">
            <v>Concrete Piles cast in Drilled Holes 3.50</v>
          </cell>
          <cell r="C455" t="str">
            <v>Meter</v>
          </cell>
          <cell r="D455" t="str">
            <v>m.</v>
          </cell>
        </row>
        <row r="456">
          <cell r="A456" t="str">
            <v>400 (17) y1</v>
          </cell>
          <cell r="B456" t="str">
            <v>Concrete Piles cast in Drilled Holes 3.0 x 6.5 Oval</v>
          </cell>
          <cell r="C456" t="str">
            <v>Meter</v>
          </cell>
          <cell r="D456" t="str">
            <v>m.</v>
          </cell>
        </row>
        <row r="457">
          <cell r="A457" t="str">
            <v>400 (17) y2</v>
          </cell>
          <cell r="B457" t="str">
            <v>Concrete Piles cast in Drilled Holes 3.0 x 7.0 Oval</v>
          </cell>
          <cell r="C457" t="str">
            <v>Meter</v>
          </cell>
          <cell r="D457" t="str">
            <v>m.</v>
          </cell>
        </row>
        <row r="458">
          <cell r="A458" t="str">
            <v>400 (17) z</v>
          </cell>
          <cell r="B458" t="str">
            <v>Concrete Piles cast in Drilled Holes Rectangular</v>
          </cell>
          <cell r="C458" t="str">
            <v>Meter</v>
          </cell>
          <cell r="D458" t="str">
            <v>m.</v>
          </cell>
        </row>
        <row r="459">
          <cell r="A459" t="str">
            <v>400 (18) a</v>
          </cell>
          <cell r="B459" t="str">
            <v>Concrete Piles cast in Steel Shells 400mm dia.</v>
          </cell>
          <cell r="C459" t="str">
            <v>Meter</v>
          </cell>
          <cell r="D459" t="str">
            <v>m.</v>
          </cell>
        </row>
        <row r="460">
          <cell r="A460" t="str">
            <v>400 (18) b</v>
          </cell>
          <cell r="B460" t="str">
            <v>Concrete Piles cast in Steel Shells 500mm dia.</v>
          </cell>
          <cell r="C460" t="str">
            <v>Meter</v>
          </cell>
          <cell r="D460" t="str">
            <v>m.</v>
          </cell>
        </row>
        <row r="461">
          <cell r="A461" t="str">
            <v>400 (19) a</v>
          </cell>
          <cell r="B461" t="str">
            <v>Concrete Piles cast in Steel Pipes 400mm dia.</v>
          </cell>
          <cell r="C461" t="str">
            <v>Meter</v>
          </cell>
          <cell r="D461" t="str">
            <v>m.</v>
          </cell>
        </row>
        <row r="462">
          <cell r="A462" t="str">
            <v>400 (19) b</v>
          </cell>
          <cell r="B462" t="str">
            <v>Concrete Piles cast in Steel Pipes 500mm dia.</v>
          </cell>
          <cell r="C462" t="str">
            <v>Meter</v>
          </cell>
          <cell r="D462" t="str">
            <v>m.</v>
          </cell>
        </row>
        <row r="463">
          <cell r="A463" t="str">
            <v>400 (20)</v>
          </cell>
          <cell r="B463" t="str">
            <v>Pile Shoes</v>
          </cell>
          <cell r="C463" t="str">
            <v>Each</v>
          </cell>
          <cell r="D463" t="str">
            <v>each</v>
          </cell>
        </row>
        <row r="464">
          <cell r="A464" t="str">
            <v>400 (21)</v>
          </cell>
          <cell r="B464" t="str">
            <v>Splices Splice Can</v>
          </cell>
          <cell r="C464" t="str">
            <v>Each</v>
          </cell>
          <cell r="D464" t="str">
            <v>each</v>
          </cell>
        </row>
        <row r="465">
          <cell r="A465" t="str">
            <v>400 (22)</v>
          </cell>
          <cell r="B465" t="str">
            <v>Load Tests</v>
          </cell>
          <cell r="C465" t="str">
            <v>Each</v>
          </cell>
          <cell r="D465" t="str">
            <v>each</v>
          </cell>
        </row>
        <row r="466">
          <cell r="A466" t="str">
            <v>400 (23) a1</v>
          </cell>
          <cell r="B466" t="str">
            <v>Permanent Casing 0.80 10mm thick</v>
          </cell>
          <cell r="C466" t="str">
            <v>Meter</v>
          </cell>
          <cell r="D466" t="str">
            <v>m.</v>
          </cell>
        </row>
        <row r="467">
          <cell r="A467" t="str">
            <v>400 (23) a2</v>
          </cell>
          <cell r="B467" t="str">
            <v>Permanent Casing 0.80 12mm thick</v>
          </cell>
          <cell r="C467" t="str">
            <v>Meter</v>
          </cell>
          <cell r="D467" t="str">
            <v>m.</v>
          </cell>
        </row>
        <row r="468">
          <cell r="A468" t="str">
            <v>400 (23) a3</v>
          </cell>
          <cell r="B468" t="str">
            <v>Permanent Casing 0.80 16mm thick</v>
          </cell>
          <cell r="C468" t="str">
            <v>Meter</v>
          </cell>
          <cell r="D468" t="str">
            <v>m.</v>
          </cell>
        </row>
        <row r="469">
          <cell r="A469" t="str">
            <v>400 (23) b1</v>
          </cell>
          <cell r="B469" t="str">
            <v>Permanent Casing 0.90 10mm thick</v>
          </cell>
          <cell r="C469" t="str">
            <v>Meter</v>
          </cell>
          <cell r="D469" t="str">
            <v>m.</v>
          </cell>
        </row>
        <row r="470">
          <cell r="A470" t="str">
            <v>400 (23) b2</v>
          </cell>
          <cell r="B470" t="str">
            <v>Permanent Casing 0.90 12mm thick</v>
          </cell>
          <cell r="C470" t="str">
            <v>Meter</v>
          </cell>
          <cell r="D470" t="str">
            <v>m.</v>
          </cell>
        </row>
        <row r="471">
          <cell r="A471" t="str">
            <v>400 (23) b3</v>
          </cell>
          <cell r="B471" t="str">
            <v>Permanent Casing 0.90 16mm thick</v>
          </cell>
          <cell r="C471" t="str">
            <v>Meter</v>
          </cell>
          <cell r="D471" t="str">
            <v>m.</v>
          </cell>
        </row>
        <row r="472">
          <cell r="A472" t="str">
            <v>400 (23) c1</v>
          </cell>
          <cell r="B472" t="str">
            <v>Permanent Casing 1.00 10mm thick</v>
          </cell>
          <cell r="C472" t="str">
            <v>Meter</v>
          </cell>
          <cell r="D472" t="str">
            <v>m.</v>
          </cell>
        </row>
        <row r="473">
          <cell r="A473" t="str">
            <v>400 (23) c2</v>
          </cell>
          <cell r="B473" t="str">
            <v>Permanent Casing 1.00 12mm thick</v>
          </cell>
          <cell r="C473" t="str">
            <v>Meter</v>
          </cell>
          <cell r="D473" t="str">
            <v>m.</v>
          </cell>
        </row>
        <row r="474">
          <cell r="A474" t="str">
            <v>400 (23) c3</v>
          </cell>
          <cell r="B474" t="str">
            <v>Permanent Casing 1.00 16mm thick</v>
          </cell>
          <cell r="C474" t="str">
            <v>Meter</v>
          </cell>
          <cell r="D474" t="str">
            <v>m.</v>
          </cell>
        </row>
        <row r="475">
          <cell r="A475" t="str">
            <v>400 (23) d1</v>
          </cell>
          <cell r="B475" t="str">
            <v>Permanent Casing 1.10 10mm thick</v>
          </cell>
          <cell r="C475" t="str">
            <v>Meter</v>
          </cell>
          <cell r="D475" t="str">
            <v>m.</v>
          </cell>
        </row>
        <row r="476">
          <cell r="A476" t="str">
            <v>400 (23) d2</v>
          </cell>
          <cell r="B476" t="str">
            <v>Permanent Casing 1.10 12mm thick</v>
          </cell>
          <cell r="C476" t="str">
            <v>Meter</v>
          </cell>
          <cell r="D476" t="str">
            <v>m.</v>
          </cell>
        </row>
        <row r="477">
          <cell r="A477" t="str">
            <v>400 (23) d3</v>
          </cell>
          <cell r="B477" t="str">
            <v>Permanent Casing 1.10 16mm thick</v>
          </cell>
          <cell r="C477" t="str">
            <v>Meter</v>
          </cell>
          <cell r="D477" t="str">
            <v>m.</v>
          </cell>
        </row>
        <row r="478">
          <cell r="A478" t="str">
            <v>400 (23) e1</v>
          </cell>
          <cell r="B478" t="str">
            <v>Permanent Casing 1.20 10mm thick</v>
          </cell>
          <cell r="C478" t="str">
            <v>Meter</v>
          </cell>
          <cell r="D478" t="str">
            <v>m.</v>
          </cell>
        </row>
        <row r="479">
          <cell r="A479" t="str">
            <v>400 (23) e2</v>
          </cell>
          <cell r="B479" t="str">
            <v>Permanent Casing 1.20 12mm thick</v>
          </cell>
          <cell r="C479" t="str">
            <v>Meter</v>
          </cell>
          <cell r="D479" t="str">
            <v>m.</v>
          </cell>
        </row>
        <row r="480">
          <cell r="A480" t="str">
            <v>400 (23) e3</v>
          </cell>
          <cell r="B480" t="str">
            <v>Permanent Casing 1.20 16mm thick</v>
          </cell>
          <cell r="C480" t="str">
            <v>Meter</v>
          </cell>
          <cell r="D480" t="str">
            <v>m.</v>
          </cell>
        </row>
        <row r="481">
          <cell r="A481" t="str">
            <v>400 (23) f1</v>
          </cell>
          <cell r="B481" t="str">
            <v>Permanent Casing 1.30 10mm thick</v>
          </cell>
          <cell r="C481" t="str">
            <v>Meter</v>
          </cell>
          <cell r="D481" t="str">
            <v>m.</v>
          </cell>
        </row>
        <row r="482">
          <cell r="A482" t="str">
            <v>400 (23) f2</v>
          </cell>
          <cell r="B482" t="str">
            <v>Permanent Casing 1.30 12mm thick</v>
          </cell>
          <cell r="C482" t="str">
            <v>Meter</v>
          </cell>
          <cell r="D482" t="str">
            <v>m.</v>
          </cell>
        </row>
        <row r="483">
          <cell r="A483" t="str">
            <v>400 (23) f3</v>
          </cell>
          <cell r="B483" t="str">
            <v>Permanent Casing 1.30 16mm thick</v>
          </cell>
          <cell r="C483" t="str">
            <v>Meter</v>
          </cell>
          <cell r="D483" t="str">
            <v>m.</v>
          </cell>
        </row>
        <row r="484">
          <cell r="A484" t="str">
            <v>400 (23) g1</v>
          </cell>
          <cell r="B484" t="str">
            <v>Permanent Casing 1.40 10mm thick</v>
          </cell>
          <cell r="C484" t="str">
            <v>Meter</v>
          </cell>
          <cell r="D484" t="str">
            <v>m.</v>
          </cell>
        </row>
        <row r="485">
          <cell r="A485" t="str">
            <v>400 (23) g2</v>
          </cell>
          <cell r="B485" t="str">
            <v>Permanent Casing 1.40 12mm thick</v>
          </cell>
          <cell r="C485" t="str">
            <v>Meter</v>
          </cell>
          <cell r="D485" t="str">
            <v>m.</v>
          </cell>
        </row>
        <row r="486">
          <cell r="A486" t="str">
            <v>400 (23) g3</v>
          </cell>
          <cell r="B486" t="str">
            <v>Permanent Casing 1.40 16mm thick</v>
          </cell>
          <cell r="C486" t="str">
            <v>Meter</v>
          </cell>
          <cell r="D486" t="str">
            <v>m.</v>
          </cell>
        </row>
        <row r="487">
          <cell r="A487" t="str">
            <v>400 (23) h1</v>
          </cell>
          <cell r="B487" t="str">
            <v>Permanent Casing 1.50 10mm thick</v>
          </cell>
          <cell r="C487" t="str">
            <v>Meter</v>
          </cell>
          <cell r="D487" t="str">
            <v>m.</v>
          </cell>
        </row>
        <row r="488">
          <cell r="A488" t="str">
            <v>400 (23) h2</v>
          </cell>
          <cell r="B488" t="str">
            <v>Permanent Casing 1.50 12mm thick</v>
          </cell>
          <cell r="C488" t="str">
            <v>Meter</v>
          </cell>
          <cell r="D488" t="str">
            <v>m.</v>
          </cell>
        </row>
        <row r="489">
          <cell r="A489" t="str">
            <v>400 (23) h3</v>
          </cell>
          <cell r="B489" t="str">
            <v>Permanent Casing 1.50 16mm thick</v>
          </cell>
          <cell r="C489" t="str">
            <v>Meter</v>
          </cell>
          <cell r="D489" t="str">
            <v>m.</v>
          </cell>
        </row>
        <row r="490">
          <cell r="A490" t="str">
            <v>400 (23) i1</v>
          </cell>
          <cell r="B490" t="str">
            <v>Permanent Casing 1.60 12mm thick</v>
          </cell>
          <cell r="C490" t="str">
            <v>Meter</v>
          </cell>
          <cell r="D490" t="str">
            <v>m.</v>
          </cell>
        </row>
        <row r="491">
          <cell r="A491" t="str">
            <v>400 (23) i2</v>
          </cell>
          <cell r="B491" t="str">
            <v>Permanent Casing 1.60 16mm thick</v>
          </cell>
          <cell r="C491" t="str">
            <v>Meter</v>
          </cell>
          <cell r="D491" t="str">
            <v>m.</v>
          </cell>
        </row>
        <row r="492">
          <cell r="A492" t="str">
            <v>400 (23) j1</v>
          </cell>
          <cell r="B492" t="str">
            <v>Permanent Casing 1.70 12mm thick</v>
          </cell>
          <cell r="C492" t="str">
            <v>Meter</v>
          </cell>
          <cell r="D492" t="str">
            <v>m.</v>
          </cell>
        </row>
        <row r="493">
          <cell r="A493" t="str">
            <v>400 (23) j2</v>
          </cell>
          <cell r="B493" t="str">
            <v>Permanent Casing 1.70 16mm thick</v>
          </cell>
          <cell r="C493" t="str">
            <v>Meter</v>
          </cell>
          <cell r="D493" t="str">
            <v>m.</v>
          </cell>
        </row>
        <row r="494">
          <cell r="A494" t="str">
            <v>400 (23) k1</v>
          </cell>
          <cell r="B494" t="str">
            <v>Permanent Casing 1.80 12mm thick</v>
          </cell>
          <cell r="C494" t="str">
            <v>Meter</v>
          </cell>
          <cell r="D494" t="str">
            <v>m.</v>
          </cell>
        </row>
        <row r="495">
          <cell r="A495" t="str">
            <v>400 (23) k2</v>
          </cell>
          <cell r="B495" t="str">
            <v>Permanent Casing 1.80 16mm thick</v>
          </cell>
          <cell r="C495" t="str">
            <v>Meter</v>
          </cell>
          <cell r="D495" t="str">
            <v>m.</v>
          </cell>
        </row>
        <row r="496">
          <cell r="A496" t="str">
            <v>400 (23) l1</v>
          </cell>
          <cell r="B496" t="str">
            <v>Permanent Casing 1.90 12mm thick</v>
          </cell>
          <cell r="C496" t="str">
            <v>Meter</v>
          </cell>
          <cell r="D496" t="str">
            <v>m.</v>
          </cell>
        </row>
        <row r="497">
          <cell r="A497" t="str">
            <v>400 (23) l2</v>
          </cell>
          <cell r="B497" t="str">
            <v>Permanent Casing 1.90 16mm thick</v>
          </cell>
          <cell r="C497" t="str">
            <v>Meter</v>
          </cell>
          <cell r="D497" t="str">
            <v>m.</v>
          </cell>
        </row>
        <row r="498">
          <cell r="A498" t="str">
            <v>400 (23) m1</v>
          </cell>
          <cell r="B498" t="str">
            <v>Permanent Casing 2.00 12mm thick</v>
          </cell>
          <cell r="C498" t="str">
            <v>Meter</v>
          </cell>
          <cell r="D498" t="str">
            <v>m.</v>
          </cell>
        </row>
        <row r="499">
          <cell r="A499" t="str">
            <v>400 (23) m2</v>
          </cell>
          <cell r="B499" t="str">
            <v>Permanent Casing 2.00 16mm thick</v>
          </cell>
          <cell r="C499" t="str">
            <v>Meter</v>
          </cell>
          <cell r="D499" t="str">
            <v>m.</v>
          </cell>
        </row>
        <row r="500">
          <cell r="A500" t="str">
            <v>400 (23) n1</v>
          </cell>
          <cell r="B500" t="str">
            <v>Permanent Casing 2.10 12mm thick</v>
          </cell>
          <cell r="C500" t="str">
            <v>Meter</v>
          </cell>
          <cell r="D500" t="str">
            <v>m.</v>
          </cell>
        </row>
        <row r="501">
          <cell r="A501" t="str">
            <v>400 (23) n2</v>
          </cell>
          <cell r="B501" t="str">
            <v>Permanent Casing 2.10 16mm thick</v>
          </cell>
          <cell r="C501" t="str">
            <v>Meter</v>
          </cell>
          <cell r="D501" t="str">
            <v>m.</v>
          </cell>
        </row>
        <row r="502">
          <cell r="A502" t="str">
            <v>400 (23) o1</v>
          </cell>
          <cell r="B502" t="str">
            <v>Permanent Casing 2.20 12mm thick</v>
          </cell>
          <cell r="C502" t="str">
            <v>Meter</v>
          </cell>
          <cell r="D502" t="str">
            <v>m.</v>
          </cell>
        </row>
        <row r="503">
          <cell r="A503" t="str">
            <v>400 (23) o2</v>
          </cell>
          <cell r="B503" t="str">
            <v>Permanent Casing 2.20 16mm thick</v>
          </cell>
          <cell r="C503" t="str">
            <v>Meter</v>
          </cell>
          <cell r="D503" t="str">
            <v>m.</v>
          </cell>
        </row>
        <row r="504">
          <cell r="A504" t="str">
            <v>400 (23) p1</v>
          </cell>
          <cell r="B504" t="str">
            <v>Permanent Casing 2.30 12mm thick</v>
          </cell>
          <cell r="C504" t="str">
            <v>Meter</v>
          </cell>
          <cell r="D504" t="str">
            <v>m.</v>
          </cell>
        </row>
        <row r="505">
          <cell r="A505" t="str">
            <v>400 (23) p2</v>
          </cell>
          <cell r="B505" t="str">
            <v>Permanent Casing 2.30 16mm thick</v>
          </cell>
          <cell r="C505" t="str">
            <v>Meter</v>
          </cell>
          <cell r="D505" t="str">
            <v>m.</v>
          </cell>
        </row>
        <row r="506">
          <cell r="A506" t="str">
            <v>400 (23) q1</v>
          </cell>
          <cell r="B506" t="str">
            <v>Permanent Casing 2.40 12mm thick</v>
          </cell>
          <cell r="C506" t="str">
            <v>Meter</v>
          </cell>
          <cell r="D506" t="str">
            <v>m.</v>
          </cell>
        </row>
        <row r="507">
          <cell r="A507" t="str">
            <v>400 (23) q2</v>
          </cell>
          <cell r="B507" t="str">
            <v>Permanent Casing 2.40 16mm thick</v>
          </cell>
          <cell r="C507" t="str">
            <v>Meter</v>
          </cell>
          <cell r="D507" t="str">
            <v>m.</v>
          </cell>
        </row>
        <row r="508">
          <cell r="A508" t="str">
            <v>400 (23) r1</v>
          </cell>
          <cell r="B508" t="str">
            <v>Permanent Casing 2.50 16mm thick</v>
          </cell>
          <cell r="C508" t="str">
            <v>Meter</v>
          </cell>
          <cell r="D508" t="str">
            <v>m.</v>
          </cell>
        </row>
        <row r="509">
          <cell r="A509" t="str">
            <v>400 (23) r2</v>
          </cell>
          <cell r="B509" t="str">
            <v>Permanent Casing 2.50 20mm thick</v>
          </cell>
          <cell r="C509" t="str">
            <v>Meter</v>
          </cell>
          <cell r="D509" t="str">
            <v>m.</v>
          </cell>
        </row>
        <row r="510">
          <cell r="A510" t="str">
            <v>400 (23) s1</v>
          </cell>
          <cell r="B510" t="str">
            <v>Permanent Casing 2.60 16mm thick</v>
          </cell>
          <cell r="C510" t="str">
            <v>Meter</v>
          </cell>
          <cell r="D510" t="str">
            <v>m.</v>
          </cell>
        </row>
        <row r="511">
          <cell r="A511" t="str">
            <v>400 (23) s2</v>
          </cell>
          <cell r="B511" t="str">
            <v>Permanent Casing 2.60 20mm thick</v>
          </cell>
          <cell r="C511" t="str">
            <v>Meter</v>
          </cell>
          <cell r="D511" t="str">
            <v>m.</v>
          </cell>
        </row>
        <row r="512">
          <cell r="A512" t="str">
            <v>400 (23) t1</v>
          </cell>
          <cell r="B512" t="str">
            <v>Permanent Casing 2.70 16mm thick</v>
          </cell>
          <cell r="C512" t="str">
            <v>Meter</v>
          </cell>
          <cell r="D512" t="str">
            <v>m.</v>
          </cell>
        </row>
        <row r="513">
          <cell r="A513" t="str">
            <v>400 (23) t2</v>
          </cell>
          <cell r="B513" t="str">
            <v>Permanent Casing 2.70 20mm thick</v>
          </cell>
          <cell r="C513" t="str">
            <v>Meter</v>
          </cell>
          <cell r="D513" t="str">
            <v>m.</v>
          </cell>
        </row>
        <row r="514">
          <cell r="A514" t="str">
            <v>400 (23) u1</v>
          </cell>
          <cell r="B514" t="str">
            <v>Permanent Casing 2.80 16mm thick</v>
          </cell>
          <cell r="C514" t="str">
            <v>Meter</v>
          </cell>
          <cell r="D514" t="str">
            <v>m.</v>
          </cell>
        </row>
        <row r="515">
          <cell r="A515" t="str">
            <v>400 (23) u2</v>
          </cell>
          <cell r="B515" t="str">
            <v>Permanent Casing 2.80 20mm thick</v>
          </cell>
          <cell r="C515" t="str">
            <v>Meter</v>
          </cell>
          <cell r="D515" t="str">
            <v>m.</v>
          </cell>
        </row>
        <row r="516">
          <cell r="A516" t="str">
            <v>400 (23) v1</v>
          </cell>
          <cell r="B516" t="str">
            <v>Permanent Casing 2.90 16mm thick</v>
          </cell>
          <cell r="C516" t="str">
            <v>Meter</v>
          </cell>
          <cell r="D516" t="str">
            <v>m.</v>
          </cell>
        </row>
        <row r="517">
          <cell r="A517" t="str">
            <v>400 (23) v2</v>
          </cell>
          <cell r="B517" t="str">
            <v>Permanent Casing 2.90 20mm thick</v>
          </cell>
          <cell r="C517" t="str">
            <v>Meter</v>
          </cell>
          <cell r="D517" t="str">
            <v>m.</v>
          </cell>
        </row>
        <row r="518">
          <cell r="A518" t="str">
            <v>400 (23) w1</v>
          </cell>
          <cell r="B518" t="str">
            <v>Permanent Casing 3.00 16mm thick</v>
          </cell>
          <cell r="C518" t="str">
            <v>Meter</v>
          </cell>
          <cell r="D518" t="str">
            <v>m.</v>
          </cell>
        </row>
        <row r="519">
          <cell r="A519" t="str">
            <v>400 (23) w2</v>
          </cell>
          <cell r="B519" t="str">
            <v>Permanent Casing 3.00 20mm thick</v>
          </cell>
          <cell r="C519" t="str">
            <v>Meter</v>
          </cell>
          <cell r="D519" t="str">
            <v>m.</v>
          </cell>
        </row>
        <row r="520">
          <cell r="A520" t="str">
            <v>400 (23) x1</v>
          </cell>
          <cell r="B520" t="str">
            <v>Permanent Casing 3.50 16mm thick</v>
          </cell>
          <cell r="C520" t="str">
            <v>Meter</v>
          </cell>
          <cell r="D520" t="str">
            <v>m.</v>
          </cell>
        </row>
        <row r="521">
          <cell r="A521" t="str">
            <v>400 (23) x2</v>
          </cell>
          <cell r="B521" t="str">
            <v>Permanent Casing 3.50 20mm thick</v>
          </cell>
          <cell r="C521" t="str">
            <v>Meter</v>
          </cell>
          <cell r="D521" t="str">
            <v>m.</v>
          </cell>
        </row>
        <row r="522">
          <cell r="A522" t="str">
            <v>400 (24)</v>
          </cell>
          <cell r="B522" t="str">
            <v>Permanent Casing</v>
          </cell>
          <cell r="C522" t="str">
            <v>Kilogram</v>
          </cell>
          <cell r="D522" t="str">
            <v>kg.</v>
          </cell>
        </row>
        <row r="523">
          <cell r="A523" t="str">
            <v>400 (25)</v>
          </cell>
          <cell r="B523" t="str">
            <v>Splicing of R.C. Piles with Epoxy</v>
          </cell>
          <cell r="C523" t="str">
            <v>Each</v>
          </cell>
          <cell r="D523" t="str">
            <v>each</v>
          </cell>
        </row>
        <row r="524">
          <cell r="A524" t="str">
            <v>400 (26) a</v>
          </cell>
          <cell r="B524" t="str">
            <v>Pile Integrity Testing Crosshole-Sonic</v>
          </cell>
          <cell r="C524" t="str">
            <v>Each</v>
          </cell>
          <cell r="D524" t="str">
            <v>each</v>
          </cell>
        </row>
        <row r="525">
          <cell r="A525" t="str">
            <v>400 (26) b</v>
          </cell>
          <cell r="B525" t="str">
            <v>Pile Integrity Testing Low Strain</v>
          </cell>
          <cell r="C525" t="str">
            <v>Each</v>
          </cell>
          <cell r="D525" t="str">
            <v>each</v>
          </cell>
        </row>
        <row r="526">
          <cell r="A526" t="str">
            <v>400 (27)</v>
          </cell>
          <cell r="B526" t="str">
            <v>High Strain Dynamic Testing (P.D.A)</v>
          </cell>
          <cell r="C526" t="str">
            <v>Each</v>
          </cell>
          <cell r="D526" t="str">
            <v>each</v>
          </cell>
        </row>
        <row r="527">
          <cell r="A527" t="str">
            <v>400 (28) a1</v>
          </cell>
          <cell r="B527" t="str">
            <v>Sand Compaction Pile 0.6</v>
          </cell>
          <cell r="C527" t="str">
            <v>Meter</v>
          </cell>
          <cell r="D527" t="str">
            <v>m.</v>
          </cell>
        </row>
        <row r="528">
          <cell r="A528" t="str">
            <v>400 (28) a2</v>
          </cell>
          <cell r="B528" t="str">
            <v>Sand Compaction Pile 0.7</v>
          </cell>
          <cell r="C528" t="str">
            <v>Meter</v>
          </cell>
          <cell r="D528" t="str">
            <v>m.</v>
          </cell>
        </row>
        <row r="529">
          <cell r="A529" t="str">
            <v>400 (28) a3</v>
          </cell>
          <cell r="B529" t="str">
            <v>Sand Compaction Pile 0.8</v>
          </cell>
          <cell r="C529" t="str">
            <v>Meter</v>
          </cell>
          <cell r="D529" t="str">
            <v>m.</v>
          </cell>
        </row>
        <row r="530">
          <cell r="A530" t="str">
            <v>400 (29) a1</v>
          </cell>
          <cell r="B530" t="str">
            <v>Gravel Compaction Pile 0.6</v>
          </cell>
          <cell r="C530" t="str">
            <v>Meter</v>
          </cell>
          <cell r="D530" t="str">
            <v>m.</v>
          </cell>
        </row>
        <row r="531">
          <cell r="A531" t="str">
            <v>400 (29) a2</v>
          </cell>
          <cell r="B531" t="str">
            <v>Gravel Compaction Pile 0.7</v>
          </cell>
          <cell r="C531" t="str">
            <v>Meter</v>
          </cell>
          <cell r="D531" t="str">
            <v>m.</v>
          </cell>
        </row>
        <row r="532">
          <cell r="A532" t="str">
            <v>400 (29) a3</v>
          </cell>
          <cell r="B532" t="str">
            <v>Gravel Compaction Pile 0.8</v>
          </cell>
          <cell r="C532" t="str">
            <v>Meter</v>
          </cell>
          <cell r="D532" t="str">
            <v>m.</v>
          </cell>
        </row>
        <row r="533">
          <cell r="A533" t="str">
            <v>400 (30)</v>
          </cell>
          <cell r="B533" t="str">
            <v>Rammed Aggregate Piers</v>
          </cell>
          <cell r="C533" t="str">
            <v>Cubic Meter</v>
          </cell>
          <cell r="D533" t="str">
            <v>cu. m.</v>
          </cell>
        </row>
        <row r="534">
          <cell r="A534" t="str">
            <v>400 (31)</v>
          </cell>
          <cell r="B534" t="str">
            <v>Vibro Stone Columns</v>
          </cell>
          <cell r="C534" t="str">
            <v>Cubic Meter</v>
          </cell>
          <cell r="D534" t="str">
            <v>cu. m.</v>
          </cell>
        </row>
        <row r="535">
          <cell r="A535" t="str">
            <v>400 (32)</v>
          </cell>
          <cell r="B535" t="str">
            <v>Modulus or Uplift Load Tests</v>
          </cell>
          <cell r="C535" t="str">
            <v>Each</v>
          </cell>
          <cell r="D535" t="str">
            <v>each</v>
          </cell>
        </row>
        <row r="536">
          <cell r="A536" t="str">
            <v>400 (33)</v>
          </cell>
          <cell r="B536" t="str">
            <v>Steel Casing</v>
          </cell>
          <cell r="C536" t="str">
            <v>Linear Meter</v>
          </cell>
          <cell r="D536" t="str">
            <v>l.m.</v>
          </cell>
        </row>
        <row r="537">
          <cell r="A537" t="str">
            <v>401 (1) a1</v>
          </cell>
          <cell r="B537" t="str">
            <v>Metal Railing Grade 36 Steel</v>
          </cell>
          <cell r="C537" t="str">
            <v>Meter</v>
          </cell>
          <cell r="D537" t="str">
            <v>m.</v>
          </cell>
        </row>
        <row r="538">
          <cell r="A538" t="str">
            <v>401 (1) a2</v>
          </cell>
          <cell r="B538" t="str">
            <v>Metal Railing Grade 50 Steel</v>
          </cell>
          <cell r="C538" t="str">
            <v>Meter</v>
          </cell>
          <cell r="D538" t="str">
            <v>m.</v>
          </cell>
        </row>
        <row r="539">
          <cell r="A539" t="str">
            <v>401 (1) b</v>
          </cell>
          <cell r="B539" t="str">
            <v>Metal Railing Aluminum</v>
          </cell>
          <cell r="C539" t="str">
            <v>Meter</v>
          </cell>
          <cell r="D539" t="str">
            <v>m.</v>
          </cell>
        </row>
        <row r="540">
          <cell r="A540" t="str">
            <v>401 (2) a</v>
          </cell>
          <cell r="B540" t="str">
            <v>Concrete Railing Standard</v>
          </cell>
          <cell r="C540" t="str">
            <v>Meter</v>
          </cell>
          <cell r="D540" t="str">
            <v>m.</v>
          </cell>
        </row>
        <row r="541">
          <cell r="A541" t="str">
            <v>401 (2) b</v>
          </cell>
          <cell r="B541" t="str">
            <v>Concrete Railing Balluster</v>
          </cell>
          <cell r="C541" t="str">
            <v>Meter</v>
          </cell>
          <cell r="D541" t="str">
            <v>m.</v>
          </cell>
        </row>
        <row r="542">
          <cell r="A542" t="str">
            <v>401 (2) c</v>
          </cell>
          <cell r="B542" t="str">
            <v>Concrete Railing Parapet</v>
          </cell>
          <cell r="C542" t="str">
            <v>Meter</v>
          </cell>
          <cell r="D542" t="str">
            <v>m.</v>
          </cell>
        </row>
        <row r="543">
          <cell r="A543" t="str">
            <v>401 (3)</v>
          </cell>
          <cell r="B543" t="str">
            <v>Wooden Railing</v>
          </cell>
          <cell r="C543" t="str">
            <v>Meter</v>
          </cell>
          <cell r="D543" t="str">
            <v>m.</v>
          </cell>
        </row>
        <row r="544">
          <cell r="A544" t="str">
            <v>401 (4)</v>
          </cell>
          <cell r="B544" t="str">
            <v>Stone and Brick Railing</v>
          </cell>
          <cell r="C544" t="str">
            <v>Meter</v>
          </cell>
          <cell r="D544" t="str">
            <v>m.</v>
          </cell>
        </row>
        <row r="545">
          <cell r="A545" t="str">
            <v>401 (5)</v>
          </cell>
          <cell r="B545" t="str">
            <v>Pedestrian Railing</v>
          </cell>
          <cell r="C545" t="str">
            <v>Lump Sum</v>
          </cell>
          <cell r="D545" t="str">
            <v>ls</v>
          </cell>
        </row>
        <row r="546">
          <cell r="A546" t="str">
            <v>402 (1)</v>
          </cell>
          <cell r="B546" t="str">
            <v>Timber Structure</v>
          </cell>
          <cell r="C546" t="str">
            <v>Span</v>
          </cell>
          <cell r="D546" t="e">
            <v>#N/A</v>
          </cell>
        </row>
        <row r="547">
          <cell r="A547" t="str">
            <v>402 (2)</v>
          </cell>
          <cell r="B547" t="str">
            <v>Timber Structure</v>
          </cell>
          <cell r="C547" t="str">
            <v>Meter</v>
          </cell>
          <cell r="D547" t="str">
            <v>m.</v>
          </cell>
        </row>
        <row r="548">
          <cell r="A548" t="str">
            <v>403 (1) a1</v>
          </cell>
          <cell r="B548" t="str">
            <v>Structural Steel, furnished Grade 36</v>
          </cell>
          <cell r="C548" t="str">
            <v>Kilogram</v>
          </cell>
          <cell r="D548" t="str">
            <v>kg.</v>
          </cell>
        </row>
        <row r="549">
          <cell r="A549" t="str">
            <v>403 (1) a2</v>
          </cell>
          <cell r="B549" t="str">
            <v>Structural Steel, furnished Grade 50</v>
          </cell>
          <cell r="C549" t="str">
            <v>Kilogram</v>
          </cell>
          <cell r="D549" t="str">
            <v>kg.</v>
          </cell>
        </row>
        <row r="550">
          <cell r="A550" t="str">
            <v>403 (2) a1</v>
          </cell>
          <cell r="B550" t="str">
            <v>Structural Steel, fabricated Grade 36</v>
          </cell>
          <cell r="C550" t="str">
            <v>Kilogram</v>
          </cell>
          <cell r="D550" t="str">
            <v>kg.</v>
          </cell>
        </row>
        <row r="551">
          <cell r="A551" t="str">
            <v>403 (2) a2</v>
          </cell>
          <cell r="B551" t="str">
            <v>Structural Steel, fabricated Grade 50</v>
          </cell>
          <cell r="C551" t="str">
            <v>Kilogram</v>
          </cell>
          <cell r="D551" t="str">
            <v>kg.</v>
          </cell>
        </row>
        <row r="552">
          <cell r="A552" t="str">
            <v>403 (3) a1</v>
          </cell>
          <cell r="B552" t="str">
            <v>Structural Steel, erected Grade 36</v>
          </cell>
          <cell r="C552" t="str">
            <v>Kilogram</v>
          </cell>
          <cell r="D552" t="str">
            <v>kg.</v>
          </cell>
        </row>
        <row r="553">
          <cell r="A553" t="str">
            <v>403 (3) a2</v>
          </cell>
          <cell r="B553" t="str">
            <v>Structural Steel, erected Grade 50</v>
          </cell>
          <cell r="C553" t="str">
            <v>Kilogram</v>
          </cell>
          <cell r="D553" t="str">
            <v>kg.</v>
          </cell>
        </row>
        <row r="554">
          <cell r="A554" t="str">
            <v>403 (4) a1</v>
          </cell>
          <cell r="B554" t="str">
            <v>Structural Steel, furnished, and fabricated Grade 36</v>
          </cell>
          <cell r="C554" t="str">
            <v>Kilogram</v>
          </cell>
          <cell r="D554" t="str">
            <v>kg.</v>
          </cell>
        </row>
        <row r="555">
          <cell r="A555" t="str">
            <v>403 (4) a2</v>
          </cell>
          <cell r="B555" t="str">
            <v>Structural Steel, furnished, and fabricated Grade 50</v>
          </cell>
          <cell r="C555" t="str">
            <v>Kilogram</v>
          </cell>
          <cell r="D555" t="str">
            <v>kg.</v>
          </cell>
        </row>
        <row r="556">
          <cell r="A556" t="str">
            <v>403 (5) a1</v>
          </cell>
          <cell r="B556" t="str">
            <v>Structural Steel, furnished, fabricated, and erected Grade 36</v>
          </cell>
          <cell r="C556" t="str">
            <v>Kilogram</v>
          </cell>
          <cell r="D556" t="str">
            <v>kg.</v>
          </cell>
        </row>
        <row r="557">
          <cell r="A557" t="str">
            <v>403 (5) a2</v>
          </cell>
          <cell r="B557" t="str">
            <v>Structural Steel, furnished, fabricated, and erected Grade 50</v>
          </cell>
          <cell r="C557" t="str">
            <v>Kilogram</v>
          </cell>
          <cell r="D557" t="str">
            <v>kg.</v>
          </cell>
        </row>
        <row r="558">
          <cell r="A558" t="str">
            <v>403 (6)</v>
          </cell>
          <cell r="B558" t="str">
            <v>Structural Steel, painting works</v>
          </cell>
          <cell r="C558" t="str">
            <v>Square Meter</v>
          </cell>
          <cell r="D558" t="str">
            <v>sq. m.</v>
          </cell>
        </row>
        <row r="559">
          <cell r="A559" t="str">
            <v>403 (7)</v>
          </cell>
          <cell r="B559" t="str">
            <v>Bolts with Nuts and Washers</v>
          </cell>
          <cell r="C559" t="str">
            <v>Lump Sum</v>
          </cell>
          <cell r="D559" t="str">
            <v>ls</v>
          </cell>
        </row>
        <row r="560">
          <cell r="A560" t="str">
            <v>403 (8)</v>
          </cell>
          <cell r="B560" t="str">
            <v>Rivets</v>
          </cell>
          <cell r="C560" t="str">
            <v>Lump Sum</v>
          </cell>
          <cell r="D560" t="str">
            <v>ls</v>
          </cell>
        </row>
        <row r="561">
          <cell r="A561" t="str">
            <v>403 (9)</v>
          </cell>
          <cell r="B561" t="str">
            <v>Removal and Replacement of Rivets</v>
          </cell>
          <cell r="C561" t="str">
            <v>Each</v>
          </cell>
          <cell r="D561" t="str">
            <v>each</v>
          </cell>
        </row>
        <row r="562">
          <cell r="A562" t="str">
            <v>404 (1) a</v>
          </cell>
          <cell r="B562" t="str">
            <v>Reinforcing Steel Grade 40</v>
          </cell>
          <cell r="C562" t="str">
            <v>Kilogram</v>
          </cell>
          <cell r="D562" t="str">
            <v>kg.</v>
          </cell>
        </row>
        <row r="563">
          <cell r="A563" t="str">
            <v>404 (1) b</v>
          </cell>
          <cell r="B563" t="str">
            <v>Reinforcing Steel Grade 60</v>
          </cell>
          <cell r="C563" t="str">
            <v>Kilogram</v>
          </cell>
          <cell r="D563" t="str">
            <v>kg.</v>
          </cell>
        </row>
        <row r="564">
          <cell r="A564" t="str">
            <v>404A (1) a</v>
          </cell>
          <cell r="B564" t="str">
            <v>Epoxy-Coated Reinforcing Steel Bars Grade 40</v>
          </cell>
          <cell r="C564" t="str">
            <v>Kilogram</v>
          </cell>
          <cell r="D564" t="str">
            <v>kg.</v>
          </cell>
        </row>
        <row r="565">
          <cell r="A565" t="str">
            <v>404A (1) b</v>
          </cell>
          <cell r="B565" t="str">
            <v>Epoxy-Coated Reinforcing Steel Bars Grade 60</v>
          </cell>
          <cell r="C565" t="str">
            <v>Kilogram</v>
          </cell>
          <cell r="D565" t="str">
            <v>kg.</v>
          </cell>
        </row>
        <row r="566">
          <cell r="A566" t="str">
            <v>405 (1) a1</v>
          </cell>
          <cell r="B566" t="str">
            <v>Structural Concrete (20.68MPa, Class A) 7 days</v>
          </cell>
          <cell r="C566" t="str">
            <v>Cubic Meter</v>
          </cell>
          <cell r="D566" t="str">
            <v>cu. m.</v>
          </cell>
        </row>
        <row r="567">
          <cell r="A567" t="str">
            <v>405 (1) a2</v>
          </cell>
          <cell r="B567" t="str">
            <v>Structural Concrete (20.68MPa, Class A) 14 days</v>
          </cell>
          <cell r="C567" t="str">
            <v>Cubic Meter</v>
          </cell>
          <cell r="D567" t="str">
            <v>cu. m.</v>
          </cell>
        </row>
        <row r="568">
          <cell r="A568" t="str">
            <v>405 (1) a3</v>
          </cell>
          <cell r="B568" t="str">
            <v>Structural Concrete (20.68MPa, Class A) 28 days</v>
          </cell>
          <cell r="C568" t="str">
            <v>Cubic Meter</v>
          </cell>
          <cell r="D568" t="str">
            <v>cu. m.</v>
          </cell>
        </row>
        <row r="569">
          <cell r="A569" t="str">
            <v>405 (1) b1</v>
          </cell>
          <cell r="B569" t="str">
            <v>Structural Concrete (27.58MPa, Class A) 7 days</v>
          </cell>
          <cell r="C569" t="str">
            <v>Cubic Meter</v>
          </cell>
          <cell r="D569" t="str">
            <v>cu. m.</v>
          </cell>
        </row>
        <row r="570">
          <cell r="A570" t="str">
            <v>405 (1) b2</v>
          </cell>
          <cell r="B570" t="str">
            <v>Structural Concrete (27.58MPa, Class A) 14 days</v>
          </cell>
          <cell r="C570" t="str">
            <v>Cubic Meter</v>
          </cell>
          <cell r="D570" t="str">
            <v>cu. m.</v>
          </cell>
        </row>
        <row r="571">
          <cell r="A571" t="str">
            <v>405 (1) b3</v>
          </cell>
          <cell r="B571" t="str">
            <v>Structural Concrete (27.58MPa, Class A) 28 days</v>
          </cell>
          <cell r="C571" t="str">
            <v>Cubic Meter</v>
          </cell>
          <cell r="D571" t="str">
            <v>cu. m.</v>
          </cell>
        </row>
        <row r="572">
          <cell r="A572" t="str">
            <v>405 (1) c1</v>
          </cell>
          <cell r="B572" t="str">
            <v>Structural Concrete (30.0MPa, Class A) 7 days</v>
          </cell>
          <cell r="C572" t="str">
            <v>Cubic Meter</v>
          </cell>
          <cell r="D572" t="str">
            <v>cu. m.</v>
          </cell>
        </row>
        <row r="573">
          <cell r="A573" t="str">
            <v>405 (1) c2</v>
          </cell>
          <cell r="B573" t="str">
            <v>Structural Concrete (30.0MPa, Class A) 14 days</v>
          </cell>
          <cell r="C573" t="str">
            <v>Cubic Meter</v>
          </cell>
          <cell r="D573" t="str">
            <v>cu. m.</v>
          </cell>
        </row>
        <row r="574">
          <cell r="A574" t="str">
            <v>405 (1) c3</v>
          </cell>
          <cell r="B574" t="str">
            <v>Structural Concrete (30.0MPa, Class A) 28 days</v>
          </cell>
          <cell r="C574" t="str">
            <v>Cubic Meter</v>
          </cell>
          <cell r="D574" t="str">
            <v>cu. m.</v>
          </cell>
        </row>
        <row r="575">
          <cell r="A575" t="str">
            <v>405 (1) d1</v>
          </cell>
          <cell r="B575" t="str">
            <v>Structural Concrete (36.0MPa, Class A) 7 days</v>
          </cell>
          <cell r="C575" t="str">
            <v>Cubic Meter</v>
          </cell>
          <cell r="D575" t="str">
            <v>cu. m.</v>
          </cell>
        </row>
        <row r="576">
          <cell r="A576" t="str">
            <v>405 (1) d2</v>
          </cell>
          <cell r="B576" t="str">
            <v>Structural Concrete (36.0MPa, Class A) 14 days</v>
          </cell>
          <cell r="C576" t="str">
            <v>Cubic Meter</v>
          </cell>
          <cell r="D576" t="str">
            <v>cu. m.</v>
          </cell>
        </row>
        <row r="577">
          <cell r="A577" t="str">
            <v>405 (1) d3</v>
          </cell>
          <cell r="B577" t="str">
            <v>Structural Concrete (36.0MPa, Class A) 28 days</v>
          </cell>
          <cell r="C577" t="str">
            <v>Cubic Meter</v>
          </cell>
          <cell r="D577" t="str">
            <v>cu. m.</v>
          </cell>
        </row>
        <row r="578">
          <cell r="A578" t="str">
            <v>405 (1) e1</v>
          </cell>
          <cell r="B578" t="str">
            <v>Structural Concrete 41.0 Mpa (Non-shrink) 7 days</v>
          </cell>
          <cell r="C578" t="str">
            <v>Cubic Meter</v>
          </cell>
          <cell r="D578" t="str">
            <v>cu. m.</v>
          </cell>
        </row>
        <row r="579">
          <cell r="A579" t="str">
            <v>405 (1) e2</v>
          </cell>
          <cell r="B579" t="str">
            <v>Structural Concrete 41.0 Mpa (Non-shrink) 14 days</v>
          </cell>
          <cell r="C579" t="str">
            <v>Cubic Meter</v>
          </cell>
          <cell r="D579" t="str">
            <v>cu. m.</v>
          </cell>
        </row>
        <row r="580">
          <cell r="A580" t="str">
            <v>405 (1) e3</v>
          </cell>
          <cell r="B580" t="str">
            <v>Structural Concrete 41.0 Mpa (Non-shrink) 28 days</v>
          </cell>
          <cell r="C580" t="str">
            <v>Cubic Meter</v>
          </cell>
          <cell r="D580" t="str">
            <v>cu. m.</v>
          </cell>
        </row>
        <row r="581">
          <cell r="A581" t="str">
            <v>405 (2) a</v>
          </cell>
          <cell r="B581" t="str">
            <v>Structural Concrete 20.68MPa Class B</v>
          </cell>
          <cell r="C581" t="str">
            <v>Cubic Meter</v>
          </cell>
          <cell r="D581" t="str">
            <v>cu. m.</v>
          </cell>
        </row>
        <row r="582">
          <cell r="A582" t="str">
            <v>405 (2) b</v>
          </cell>
          <cell r="B582" t="str">
            <v>Structural Concrete 27.58MPa Class B</v>
          </cell>
          <cell r="C582" t="str">
            <v>Cubic Meter</v>
          </cell>
          <cell r="D582" t="str">
            <v>cu. m.</v>
          </cell>
        </row>
        <row r="583">
          <cell r="A583" t="str">
            <v>405 (2) c</v>
          </cell>
          <cell r="B583" t="str">
            <v>Structural Concrete 18.00MPa Class B</v>
          </cell>
          <cell r="C583" t="str">
            <v>Cubic Meter</v>
          </cell>
          <cell r="D583" t="str">
            <v>cu. m.</v>
          </cell>
        </row>
        <row r="584">
          <cell r="A584" t="str">
            <v>405 (2) d</v>
          </cell>
          <cell r="B584" t="str">
            <v>Structural Concrete 16.50MPa Class B</v>
          </cell>
          <cell r="C584" t="str">
            <v>Cubic Meter</v>
          </cell>
          <cell r="D584" t="str">
            <v>cu. m.</v>
          </cell>
        </row>
        <row r="585">
          <cell r="A585" t="str">
            <v>405 (3) a</v>
          </cell>
          <cell r="B585" t="str">
            <v>Structural Concrete 20.68MPa Class C</v>
          </cell>
          <cell r="C585" t="str">
            <v>Cubic Meter</v>
          </cell>
          <cell r="D585" t="str">
            <v>cu. m.</v>
          </cell>
        </row>
        <row r="586">
          <cell r="A586" t="str">
            <v>405 (3) b</v>
          </cell>
          <cell r="B586" t="str">
            <v>Structural Concrete 27.58Mpa Class C</v>
          </cell>
          <cell r="C586" t="str">
            <v>Cubic Meter</v>
          </cell>
          <cell r="D586" t="str">
            <v>cu. m.</v>
          </cell>
        </row>
        <row r="587">
          <cell r="A587" t="str">
            <v>405 (4) a1</v>
          </cell>
          <cell r="B587" t="str">
            <v>Structural Concrete 34.47 Mpa Class P 7 days</v>
          </cell>
          <cell r="C587" t="str">
            <v>Cubic Meter</v>
          </cell>
          <cell r="D587" t="str">
            <v>cu. m.</v>
          </cell>
        </row>
        <row r="588">
          <cell r="A588" t="str">
            <v>405 (4) a2</v>
          </cell>
          <cell r="B588" t="str">
            <v>Structural Concrete 34.47 Mpa Class P 14 days</v>
          </cell>
          <cell r="C588" t="str">
            <v>Cubic Meter</v>
          </cell>
          <cell r="D588" t="str">
            <v>cu. m.</v>
          </cell>
        </row>
        <row r="589">
          <cell r="A589" t="str">
            <v>405 (4) a3</v>
          </cell>
          <cell r="B589" t="str">
            <v>Structural Concrete 34.47 Mpa Class P 28 days</v>
          </cell>
          <cell r="C589" t="str">
            <v>Cubic Meter</v>
          </cell>
          <cell r="D589" t="str">
            <v>cu. m.</v>
          </cell>
        </row>
        <row r="590">
          <cell r="A590" t="str">
            <v>405 (4) b1</v>
          </cell>
          <cell r="B590" t="str">
            <v>Structural Concrete 41.37 Mpa Class P 7 days</v>
          </cell>
          <cell r="C590" t="str">
            <v>Cubic Meter</v>
          </cell>
          <cell r="D590" t="str">
            <v>cu. m.</v>
          </cell>
        </row>
        <row r="591">
          <cell r="A591" t="str">
            <v>405 (4) b2</v>
          </cell>
          <cell r="B591" t="str">
            <v>Structural Concrete 41.37 Mpa Class P 14 days</v>
          </cell>
          <cell r="C591" t="str">
            <v>Cubic Meter</v>
          </cell>
          <cell r="D591" t="str">
            <v>cu. m.</v>
          </cell>
        </row>
        <row r="592">
          <cell r="A592" t="str">
            <v>405 (4) b3</v>
          </cell>
          <cell r="B592" t="str">
            <v>Structural Concrete 41.37 Mpa Class P 28 days</v>
          </cell>
          <cell r="C592" t="str">
            <v>Cubic Meter</v>
          </cell>
          <cell r="D592" t="str">
            <v>cu. m.</v>
          </cell>
        </row>
        <row r="593">
          <cell r="A593" t="str">
            <v>405 (4) c1</v>
          </cell>
          <cell r="B593" t="str">
            <v>Structural Concrete 38.0 Mpa Class P 7 days</v>
          </cell>
          <cell r="C593" t="str">
            <v>Cubic Meter</v>
          </cell>
          <cell r="D593" t="str">
            <v>cu. m.</v>
          </cell>
        </row>
        <row r="594">
          <cell r="A594" t="str">
            <v>405 (4) c2</v>
          </cell>
          <cell r="B594" t="str">
            <v>Structural Concrete 38.0 Mpa Class P 14 days</v>
          </cell>
          <cell r="C594" t="str">
            <v>Cubic Meter</v>
          </cell>
          <cell r="D594" t="str">
            <v>cu. m.</v>
          </cell>
        </row>
        <row r="595">
          <cell r="A595" t="str">
            <v>405 (4) c3</v>
          </cell>
          <cell r="B595" t="str">
            <v>Structural Concrete 38.0 Mpa Class P 28 days</v>
          </cell>
          <cell r="C595" t="str">
            <v>Cubic Meter</v>
          </cell>
          <cell r="D595" t="str">
            <v>cu. m.</v>
          </cell>
        </row>
        <row r="596">
          <cell r="A596" t="str">
            <v>405 (5)</v>
          </cell>
          <cell r="B596" t="str">
            <v>Seal Concrete</v>
          </cell>
          <cell r="C596" t="str">
            <v>Cubic Meter</v>
          </cell>
          <cell r="D596" t="str">
            <v>cu. m.</v>
          </cell>
        </row>
        <row r="597">
          <cell r="A597" t="str">
            <v>405 (6)</v>
          </cell>
          <cell r="B597" t="str">
            <v>Structural Concrete, painting works</v>
          </cell>
          <cell r="C597" t="str">
            <v>Square Meter</v>
          </cell>
          <cell r="D597" t="str">
            <v>sq. m.</v>
          </cell>
        </row>
        <row r="598">
          <cell r="A598" t="str">
            <v>405 (7) a</v>
          </cell>
          <cell r="B598" t="str">
            <v>Structural Concrete (Box Girder) 42.0 Mpa Class Y</v>
          </cell>
          <cell r="C598" t="str">
            <v>Cubic Meter</v>
          </cell>
          <cell r="D598" t="str">
            <v>cu. m.</v>
          </cell>
        </row>
        <row r="599">
          <cell r="A599" t="str">
            <v>405 (7) b</v>
          </cell>
          <cell r="B599" t="str">
            <v>Structural Concrete (Segmental Box Girder) 55.0 Mpa Class Y</v>
          </cell>
          <cell r="C599" t="str">
            <v>Cubic Meter</v>
          </cell>
          <cell r="D599" t="str">
            <v>cu. m.</v>
          </cell>
        </row>
        <row r="600">
          <cell r="A600" t="str">
            <v>405 (8)</v>
          </cell>
          <cell r="B600" t="str">
            <v>Protective Mortar (using PCM w/ Lithium)</v>
          </cell>
          <cell r="C600" t="str">
            <v>Square Meter</v>
          </cell>
          <cell r="D600" t="str">
            <v>sq. m.</v>
          </cell>
        </row>
        <row r="601">
          <cell r="A601" t="str">
            <v>405 (9) a</v>
          </cell>
          <cell r="B601" t="str">
            <v>Structural Precast Concrete 7 days</v>
          </cell>
          <cell r="C601" t="str">
            <v>Square Meter</v>
          </cell>
          <cell r="D601" t="str">
            <v>sq. m.</v>
          </cell>
        </row>
        <row r="602">
          <cell r="A602" t="str">
            <v>405 (9) b</v>
          </cell>
          <cell r="B602" t="str">
            <v>Structural Precast Concrete 14 days</v>
          </cell>
          <cell r="C602" t="str">
            <v>Square Meter</v>
          </cell>
          <cell r="D602" t="str">
            <v>sq. m.</v>
          </cell>
        </row>
        <row r="603">
          <cell r="A603" t="str">
            <v>405 (9) c</v>
          </cell>
          <cell r="B603" t="str">
            <v>Structural Precast Concrete 28 days</v>
          </cell>
          <cell r="C603" t="str">
            <v>Square Meter</v>
          </cell>
          <cell r="D603" t="str">
            <v>sq. m.</v>
          </cell>
        </row>
        <row r="604">
          <cell r="A604" t="str">
            <v>405 (10) a</v>
          </cell>
          <cell r="B604" t="str">
            <v>Structural Precast Concrete 7 days</v>
          </cell>
          <cell r="C604" t="str">
            <v>Cubic Meter</v>
          </cell>
          <cell r="D604" t="str">
            <v>cu. m.</v>
          </cell>
        </row>
        <row r="605">
          <cell r="A605" t="str">
            <v>405 (10) b</v>
          </cell>
          <cell r="B605" t="str">
            <v>Structural Precast Concrete 14 days</v>
          </cell>
          <cell r="C605" t="str">
            <v>Cubic Meter</v>
          </cell>
          <cell r="D605" t="str">
            <v>cu. m.</v>
          </cell>
        </row>
        <row r="606">
          <cell r="A606" t="str">
            <v>405 (10) c</v>
          </cell>
          <cell r="B606" t="str">
            <v>Structural Precast Concrete 28 days</v>
          </cell>
          <cell r="C606" t="str">
            <v>Cubic Meter</v>
          </cell>
          <cell r="D606" t="str">
            <v>cu. m.</v>
          </cell>
        </row>
        <row r="607">
          <cell r="A607" t="str">
            <v>406 (1) a1</v>
          </cell>
          <cell r="B607" t="str">
            <v>Prestressed Structural Concrete Members 9.00 m. Type I I-Girders</v>
          </cell>
          <cell r="C607" t="str">
            <v>Each</v>
          </cell>
          <cell r="D607" t="str">
            <v>each</v>
          </cell>
        </row>
        <row r="608">
          <cell r="A608" t="str">
            <v>406 (1) a2</v>
          </cell>
          <cell r="B608" t="str">
            <v>Prestressed Structural Concrete Members 10.00 m. Type I I-Girders</v>
          </cell>
          <cell r="C608" t="str">
            <v>Each</v>
          </cell>
          <cell r="D608" t="str">
            <v>each</v>
          </cell>
        </row>
        <row r="609">
          <cell r="A609" t="str">
            <v>406 (1) a3</v>
          </cell>
          <cell r="B609" t="str">
            <v>Prestressed Structural Concrete Members 11.00 m. Type I I-Girders</v>
          </cell>
          <cell r="C609" t="str">
            <v>Each</v>
          </cell>
          <cell r="D609" t="str">
            <v>each</v>
          </cell>
        </row>
        <row r="610">
          <cell r="A610" t="str">
            <v>406 (1) b1</v>
          </cell>
          <cell r="B610" t="str">
            <v>Prestressed Structural Concrete Members 11.00 m. Type II I-Girders</v>
          </cell>
          <cell r="C610" t="str">
            <v>Each</v>
          </cell>
          <cell r="D610" t="str">
            <v>each</v>
          </cell>
        </row>
        <row r="611">
          <cell r="A611" t="str">
            <v>406 (1) b2</v>
          </cell>
          <cell r="B611" t="str">
            <v>Prestressed Structural Concrete Members 12.00 m. Type II I-Girders</v>
          </cell>
          <cell r="C611" t="str">
            <v>Each</v>
          </cell>
          <cell r="D611" t="str">
            <v>each</v>
          </cell>
        </row>
        <row r="612">
          <cell r="A612" t="str">
            <v>406 (1) b3</v>
          </cell>
          <cell r="B612" t="str">
            <v>Prestressed Structural Concrete Members 13.00 m. Type II I-Girders</v>
          </cell>
          <cell r="C612" t="str">
            <v>Each</v>
          </cell>
          <cell r="D612" t="str">
            <v>each</v>
          </cell>
        </row>
        <row r="613">
          <cell r="A613" t="str">
            <v>406 (1) b4</v>
          </cell>
          <cell r="B613" t="str">
            <v>Prestressed Structural Concrete Members 14.00 m. Type II I-Girders</v>
          </cell>
          <cell r="C613" t="str">
            <v>Each</v>
          </cell>
          <cell r="D613" t="str">
            <v>each</v>
          </cell>
        </row>
        <row r="614">
          <cell r="A614" t="str">
            <v>406 (1) b5</v>
          </cell>
          <cell r="B614" t="str">
            <v>Prestressed Structural Concrete Members 15.00 m. Type II I-Girders</v>
          </cell>
          <cell r="C614" t="str">
            <v>Each</v>
          </cell>
          <cell r="D614" t="str">
            <v>each</v>
          </cell>
        </row>
        <row r="615">
          <cell r="A615" t="str">
            <v>406 (1) c1</v>
          </cell>
          <cell r="B615" t="str">
            <v>Prestressed Structural Concrete Members 15.00 m. Type III I-Girders</v>
          </cell>
          <cell r="C615" t="str">
            <v>Each</v>
          </cell>
          <cell r="D615" t="str">
            <v>each</v>
          </cell>
        </row>
        <row r="616">
          <cell r="A616" t="str">
            <v>406 (1) c2</v>
          </cell>
          <cell r="B616" t="str">
            <v>Prestressed Structural Concrete Members 16.00 m. Type III I-Girders</v>
          </cell>
          <cell r="C616" t="str">
            <v>Each</v>
          </cell>
          <cell r="D616" t="str">
            <v>each</v>
          </cell>
        </row>
        <row r="617">
          <cell r="A617" t="str">
            <v>406 (1) c3</v>
          </cell>
          <cell r="B617" t="str">
            <v>Prestressed Structural Concrete Members 17.00 m. Type III I-Girders</v>
          </cell>
          <cell r="C617" t="str">
            <v>Each</v>
          </cell>
          <cell r="D617" t="str">
            <v>each</v>
          </cell>
        </row>
        <row r="618">
          <cell r="A618" t="str">
            <v>406 (1) c4</v>
          </cell>
          <cell r="B618" t="str">
            <v>Prestressed Structural Concrete Members 18.00 m. Type III I-Girders</v>
          </cell>
          <cell r="C618" t="str">
            <v>Each</v>
          </cell>
          <cell r="D618" t="str">
            <v>each</v>
          </cell>
        </row>
        <row r="619">
          <cell r="A619" t="str">
            <v>406 (1) c5</v>
          </cell>
          <cell r="B619" t="str">
            <v>Prestressed Structural Concrete Members 19.00 m. Type III I-Girders</v>
          </cell>
          <cell r="C619" t="str">
            <v>Each</v>
          </cell>
          <cell r="D619" t="str">
            <v>each</v>
          </cell>
        </row>
        <row r="620">
          <cell r="A620" t="str">
            <v>406 (1) c6</v>
          </cell>
          <cell r="B620" t="str">
            <v>Prestressed Structural Concrete Members 20.00 m. Type III I-Girders</v>
          </cell>
          <cell r="C620" t="str">
            <v>Each</v>
          </cell>
          <cell r="D620" t="str">
            <v>each</v>
          </cell>
        </row>
        <row r="621">
          <cell r="A621" t="str">
            <v>406 (1) c7</v>
          </cell>
          <cell r="B621" t="str">
            <v>Prestressed Structural Concrete Members 21.00 m. Type III I-Girders</v>
          </cell>
          <cell r="C621" t="str">
            <v>Each</v>
          </cell>
          <cell r="D621" t="str">
            <v>each</v>
          </cell>
        </row>
        <row r="622">
          <cell r="A622" t="str">
            <v>406 (1) d1</v>
          </cell>
          <cell r="B622" t="str">
            <v>Prestressed Structural Concrete Members 19.00 m. Type IV I-Girders</v>
          </cell>
          <cell r="C622" t="str">
            <v>Each</v>
          </cell>
          <cell r="D622" t="str">
            <v>each</v>
          </cell>
        </row>
        <row r="623">
          <cell r="A623" t="str">
            <v>406 (1) d2</v>
          </cell>
          <cell r="B623" t="str">
            <v>Prestressed Structural Concrete Members 20.00 m. Type IV I-Girders</v>
          </cell>
          <cell r="C623" t="str">
            <v>Each</v>
          </cell>
          <cell r="D623" t="str">
            <v>each</v>
          </cell>
        </row>
        <row r="624">
          <cell r="A624" t="str">
            <v>406 (1) d3</v>
          </cell>
          <cell r="B624" t="str">
            <v>Prestressed Structural Concrete Members 21.00 m. Type IV I-Girders</v>
          </cell>
          <cell r="C624" t="str">
            <v>Each</v>
          </cell>
          <cell r="D624" t="str">
            <v>each</v>
          </cell>
        </row>
        <row r="625">
          <cell r="A625" t="str">
            <v>406 (1) d4</v>
          </cell>
          <cell r="B625" t="str">
            <v>Prestressed Structural Concrete Members 22.00 m. Type IV I-Girders</v>
          </cell>
          <cell r="C625" t="str">
            <v>Each</v>
          </cell>
          <cell r="D625" t="str">
            <v>each</v>
          </cell>
        </row>
        <row r="626">
          <cell r="A626" t="str">
            <v>406 (1) d5</v>
          </cell>
          <cell r="B626" t="str">
            <v>Prestressed Structural Concrete Members 23.00 m. Type IV I-Girders</v>
          </cell>
          <cell r="C626" t="str">
            <v>Each</v>
          </cell>
          <cell r="D626" t="str">
            <v>each</v>
          </cell>
        </row>
        <row r="627">
          <cell r="A627" t="str">
            <v>406 (1) d6</v>
          </cell>
          <cell r="B627" t="str">
            <v>Prestressed Structural Concrete Members 24.00 m. Type IV I-Girders</v>
          </cell>
          <cell r="C627" t="str">
            <v>Each</v>
          </cell>
          <cell r="D627" t="str">
            <v>each</v>
          </cell>
        </row>
        <row r="628">
          <cell r="A628" t="str">
            <v>406 (1) d7</v>
          </cell>
          <cell r="B628" t="str">
            <v>Prestressed Structural Concrete Members 25.00 m. Type IV I-Girders</v>
          </cell>
          <cell r="C628" t="str">
            <v>Each</v>
          </cell>
          <cell r="D628" t="str">
            <v>each</v>
          </cell>
        </row>
        <row r="629">
          <cell r="A629" t="str">
            <v>406 (1) d8</v>
          </cell>
          <cell r="B629" t="str">
            <v>Prestressed Structural Concrete Members 26.00 m. Type IV I-Girders</v>
          </cell>
          <cell r="C629" t="str">
            <v>Each</v>
          </cell>
          <cell r="D629" t="str">
            <v>each</v>
          </cell>
        </row>
        <row r="630">
          <cell r="A630" t="str">
            <v>406 (1) d9</v>
          </cell>
          <cell r="B630" t="str">
            <v>Prestressed Structural Concrete Members 27.00 m. Type IV I-Girders</v>
          </cell>
          <cell r="C630" t="str">
            <v>Each</v>
          </cell>
          <cell r="D630" t="str">
            <v>each</v>
          </cell>
        </row>
        <row r="631">
          <cell r="A631" t="str">
            <v>406 (1) e1</v>
          </cell>
          <cell r="B631" t="str">
            <v>Prestressed Structural Concrete Members 23.00 m. Type IV-A I-Girders</v>
          </cell>
          <cell r="C631" t="str">
            <v>Each</v>
          </cell>
          <cell r="D631" t="str">
            <v>each</v>
          </cell>
        </row>
        <row r="632">
          <cell r="A632" t="str">
            <v>406 (1) e2</v>
          </cell>
          <cell r="B632" t="str">
            <v>Prestressed Structural Concrete Members 24.00 m. Type IV-A I-Girders</v>
          </cell>
          <cell r="C632" t="str">
            <v>Each</v>
          </cell>
          <cell r="D632" t="str">
            <v>each</v>
          </cell>
        </row>
        <row r="633">
          <cell r="A633" t="str">
            <v>406 (1) e3</v>
          </cell>
          <cell r="B633" t="str">
            <v>Prestressed Structural Concrete Members 25.00 m. Type IV-A I-Girders</v>
          </cell>
          <cell r="C633" t="str">
            <v>Each</v>
          </cell>
          <cell r="D633" t="str">
            <v>each</v>
          </cell>
        </row>
        <row r="634">
          <cell r="A634" t="str">
            <v>406 (1) e4</v>
          </cell>
          <cell r="B634" t="str">
            <v>Prestressed Structural Concrete Members 26.00 m. Type IV-A I-Girders</v>
          </cell>
          <cell r="C634" t="str">
            <v>Each</v>
          </cell>
          <cell r="D634" t="str">
            <v>each</v>
          </cell>
        </row>
        <row r="635">
          <cell r="A635" t="str">
            <v>406 (1) e5</v>
          </cell>
          <cell r="B635" t="str">
            <v>Prestressed Structural Concrete Members 27.00 m. Type IV-A I-Girders</v>
          </cell>
          <cell r="C635" t="str">
            <v>Each</v>
          </cell>
          <cell r="D635" t="str">
            <v>each</v>
          </cell>
        </row>
        <row r="636">
          <cell r="A636" t="str">
            <v>406 (1) e6</v>
          </cell>
          <cell r="B636" t="str">
            <v>Prestressed Structural Concrete Members 28.00 m. Type IV-A I-Girders</v>
          </cell>
          <cell r="C636" t="str">
            <v>Each</v>
          </cell>
          <cell r="D636" t="str">
            <v>each</v>
          </cell>
        </row>
        <row r="637">
          <cell r="A637" t="str">
            <v>406 (1) e7</v>
          </cell>
          <cell r="B637" t="str">
            <v>Prestressed Structural Concrete Members 29.00 m. Type IV-A I-Girders</v>
          </cell>
          <cell r="C637" t="str">
            <v>Each</v>
          </cell>
          <cell r="D637" t="str">
            <v>each</v>
          </cell>
        </row>
        <row r="638">
          <cell r="A638" t="str">
            <v>406 (1) e8</v>
          </cell>
          <cell r="B638" t="str">
            <v>Prestressed Structural Concrete Members 30.00 m. Type IV-A I-Girders</v>
          </cell>
          <cell r="C638" t="str">
            <v>Each</v>
          </cell>
          <cell r="D638" t="str">
            <v>each</v>
          </cell>
        </row>
        <row r="639">
          <cell r="A639" t="str">
            <v>406 (1) f1</v>
          </cell>
          <cell r="B639" t="str">
            <v>Prestressed Structural Concrete Members 23.00 m. Type IV-B I-Girders</v>
          </cell>
          <cell r="C639" t="str">
            <v>Each</v>
          </cell>
          <cell r="D639" t="str">
            <v>each</v>
          </cell>
        </row>
        <row r="640">
          <cell r="A640" t="str">
            <v>406 (1) f2</v>
          </cell>
          <cell r="B640" t="str">
            <v>Prestressed Structural Concrete Members 24.00 m. Type IV-B I-Girders</v>
          </cell>
          <cell r="C640" t="str">
            <v>Each</v>
          </cell>
          <cell r="D640" t="str">
            <v>each</v>
          </cell>
        </row>
        <row r="641">
          <cell r="A641" t="str">
            <v>406 (1) f3</v>
          </cell>
          <cell r="B641" t="str">
            <v>Prestressed Structural Concrete Members 25.00 m. Type IV-B I-Girders</v>
          </cell>
          <cell r="C641" t="str">
            <v>Each</v>
          </cell>
          <cell r="D641" t="str">
            <v>each</v>
          </cell>
        </row>
        <row r="642">
          <cell r="A642" t="str">
            <v>406 (1) f4</v>
          </cell>
          <cell r="B642" t="str">
            <v>Prestressed Structural Concrete Members 26.00 m. Type IV-B I-Girders</v>
          </cell>
          <cell r="C642" t="str">
            <v>Each</v>
          </cell>
          <cell r="D642" t="str">
            <v>each</v>
          </cell>
        </row>
        <row r="643">
          <cell r="A643" t="str">
            <v>406 (1) f5</v>
          </cell>
          <cell r="B643" t="str">
            <v>Prestressed Structural Concrete Members 27.00 m. Type IV-B I-Girders</v>
          </cell>
          <cell r="C643" t="str">
            <v>Each</v>
          </cell>
          <cell r="D643" t="str">
            <v>each</v>
          </cell>
        </row>
        <row r="644">
          <cell r="A644" t="str">
            <v>406 (1) f6</v>
          </cell>
          <cell r="B644" t="str">
            <v>Prestressed Structural Concrete Members 28.00 m. Type IV-B I-Girders</v>
          </cell>
          <cell r="C644" t="str">
            <v>Each</v>
          </cell>
          <cell r="D644" t="str">
            <v>each</v>
          </cell>
        </row>
        <row r="645">
          <cell r="A645" t="str">
            <v>406 (1) f7</v>
          </cell>
          <cell r="B645" t="str">
            <v>Prestressed Structural Concrete Members 29.00 m. Type IV-B I-Girders</v>
          </cell>
          <cell r="C645" t="str">
            <v>Each</v>
          </cell>
          <cell r="D645" t="str">
            <v>each</v>
          </cell>
        </row>
        <row r="646">
          <cell r="A646" t="str">
            <v>406 (1) f8</v>
          </cell>
          <cell r="B646" t="str">
            <v>Prestressed Structural Concrete Members 30.00 m. Type IV-B I-Girders</v>
          </cell>
          <cell r="C646" t="str">
            <v>Each</v>
          </cell>
          <cell r="D646" t="str">
            <v>each</v>
          </cell>
        </row>
        <row r="647">
          <cell r="A647" t="str">
            <v>406 (1) f9</v>
          </cell>
          <cell r="B647" t="str">
            <v>Prestressed Structural Concrete Members 31.00 m. Type IV-B I-Girders</v>
          </cell>
          <cell r="C647" t="str">
            <v>Each</v>
          </cell>
          <cell r="D647" t="str">
            <v>each</v>
          </cell>
        </row>
        <row r="648">
          <cell r="A648" t="str">
            <v>406 (1) f10</v>
          </cell>
          <cell r="B648" t="str">
            <v>Prestressed Structural Concrete Members 32.00 m. Type IV-B I-Girders</v>
          </cell>
          <cell r="C648" t="str">
            <v>Each</v>
          </cell>
          <cell r="D648" t="str">
            <v>each</v>
          </cell>
        </row>
        <row r="649">
          <cell r="A649" t="str">
            <v>406 (1) f11</v>
          </cell>
          <cell r="B649" t="str">
            <v>Prestressed Structural Concrete Members 33.00 m. Type IV-B I-Girders</v>
          </cell>
          <cell r="C649" t="str">
            <v>Each</v>
          </cell>
          <cell r="D649" t="str">
            <v>each</v>
          </cell>
        </row>
        <row r="650">
          <cell r="A650" t="str">
            <v>406 (1) f12</v>
          </cell>
          <cell r="B650" t="str">
            <v>Prestressed Structural Concrete Members 34.00 m. Type IV-B I-Girders</v>
          </cell>
          <cell r="C650" t="str">
            <v>Each</v>
          </cell>
          <cell r="D650" t="str">
            <v>each</v>
          </cell>
        </row>
        <row r="651">
          <cell r="A651" t="str">
            <v>406 (1) g1</v>
          </cell>
          <cell r="B651" t="str">
            <v>Prestressed Structural Concrete Members 26.00 m. Type V I-Girders</v>
          </cell>
          <cell r="C651" t="str">
            <v>Each</v>
          </cell>
          <cell r="D651" t="str">
            <v>each</v>
          </cell>
        </row>
        <row r="652">
          <cell r="A652" t="str">
            <v>406 (1) g2</v>
          </cell>
          <cell r="B652" t="str">
            <v>Prestressed Structural Concrete Members 27.00 m. Type V I-Girders</v>
          </cell>
          <cell r="C652" t="str">
            <v>Each</v>
          </cell>
          <cell r="D652" t="str">
            <v>each</v>
          </cell>
        </row>
        <row r="653">
          <cell r="A653" t="str">
            <v>406 (1) g3</v>
          </cell>
          <cell r="B653" t="str">
            <v>Prestressed Structural Concrete Members 28.00 m. Type V I-Girders</v>
          </cell>
          <cell r="C653" t="str">
            <v>Each</v>
          </cell>
          <cell r="D653" t="str">
            <v>each</v>
          </cell>
        </row>
        <row r="654">
          <cell r="A654" t="str">
            <v>406 (1) g4</v>
          </cell>
          <cell r="B654" t="str">
            <v>Prestressed Structural Concrete Members 29.00 m. Type V I-Girders</v>
          </cell>
          <cell r="C654" t="str">
            <v>Each</v>
          </cell>
          <cell r="D654" t="str">
            <v>each</v>
          </cell>
        </row>
        <row r="655">
          <cell r="A655" t="str">
            <v>406 (1) g5</v>
          </cell>
          <cell r="B655" t="str">
            <v>Prestressed Structural Concrete Members 30.00 m. Type V I-Girders</v>
          </cell>
          <cell r="C655" t="str">
            <v>Each</v>
          </cell>
          <cell r="D655" t="str">
            <v>each</v>
          </cell>
        </row>
        <row r="656">
          <cell r="A656" t="str">
            <v>406 (1) g6</v>
          </cell>
          <cell r="B656" t="str">
            <v>Prestressed Structural Concrete Members 31.00 m. Type V I-Girders</v>
          </cell>
          <cell r="C656" t="str">
            <v>Each</v>
          </cell>
          <cell r="D656" t="str">
            <v>each</v>
          </cell>
        </row>
        <row r="657">
          <cell r="A657" t="str">
            <v>406 (1) g7</v>
          </cell>
          <cell r="B657" t="str">
            <v>Prestressed Structural Concrete Members 32.00 m. Type V I-Girders</v>
          </cell>
          <cell r="C657" t="str">
            <v>Each</v>
          </cell>
          <cell r="D657" t="str">
            <v>each</v>
          </cell>
        </row>
        <row r="658">
          <cell r="A658" t="str">
            <v>406 (1) g8</v>
          </cell>
          <cell r="B658" t="str">
            <v>Prestressed Structural Concrete Members 33.00 m. Type V I-Girders</v>
          </cell>
          <cell r="C658" t="str">
            <v>Each</v>
          </cell>
          <cell r="D658" t="str">
            <v>each</v>
          </cell>
        </row>
        <row r="659">
          <cell r="A659" t="str">
            <v>406 (1) g9</v>
          </cell>
          <cell r="B659" t="str">
            <v>Prestressed Structural Concrete Members 34.00 m. Type V I-Girders</v>
          </cell>
          <cell r="C659" t="str">
            <v>Each</v>
          </cell>
          <cell r="D659" t="str">
            <v>each</v>
          </cell>
        </row>
        <row r="660">
          <cell r="A660" t="str">
            <v>406 (1) g10</v>
          </cell>
          <cell r="B660" t="str">
            <v>Prestressed Structural Concrete Members 35.00 m. Type V I-Girders</v>
          </cell>
          <cell r="C660" t="str">
            <v>Each</v>
          </cell>
          <cell r="D660" t="str">
            <v>each</v>
          </cell>
        </row>
        <row r="661">
          <cell r="A661" t="str">
            <v>406 (1) g11</v>
          </cell>
          <cell r="B661" t="str">
            <v>Prestressed Structural Concrete Members 36.00 m. Type V I-Girders</v>
          </cell>
          <cell r="C661" t="str">
            <v>Each</v>
          </cell>
          <cell r="D661" t="str">
            <v>each</v>
          </cell>
        </row>
        <row r="662">
          <cell r="A662" t="str">
            <v>406 (1) g12</v>
          </cell>
          <cell r="B662" t="str">
            <v>Prestressed Structural Concrete Members 37.00 m. Type V I-Girders</v>
          </cell>
          <cell r="C662" t="str">
            <v>Each</v>
          </cell>
          <cell r="D662" t="str">
            <v>each</v>
          </cell>
        </row>
        <row r="663">
          <cell r="A663" t="str">
            <v>406 (1) h1</v>
          </cell>
          <cell r="B663" t="str">
            <v>Prestressed Structural Concrete Members 33.00 m. Type VI I-Girders</v>
          </cell>
          <cell r="C663" t="str">
            <v>Each</v>
          </cell>
          <cell r="D663" t="str">
            <v>each</v>
          </cell>
        </row>
        <row r="664">
          <cell r="A664" t="str">
            <v>406 (1) h2</v>
          </cell>
          <cell r="B664" t="str">
            <v>Prestressed Structural Concrete Members 34.00 m. Type VI I-Girders</v>
          </cell>
          <cell r="C664" t="str">
            <v>Each</v>
          </cell>
          <cell r="D664" t="str">
            <v>each</v>
          </cell>
        </row>
        <row r="665">
          <cell r="A665" t="str">
            <v>406 (1) h3</v>
          </cell>
          <cell r="B665" t="str">
            <v>Prestressed Structural Concrete Members 35.00 m. Type VI I-Girders</v>
          </cell>
          <cell r="C665" t="str">
            <v>Each</v>
          </cell>
          <cell r="D665" t="str">
            <v>each</v>
          </cell>
        </row>
        <row r="666">
          <cell r="A666" t="str">
            <v>406 (1) h4</v>
          </cell>
          <cell r="B666" t="str">
            <v>Prestressed Structural Concrete Members 36.00 m. Type VI I-Girders</v>
          </cell>
          <cell r="C666" t="str">
            <v>Each</v>
          </cell>
          <cell r="D666" t="str">
            <v>each</v>
          </cell>
        </row>
        <row r="667">
          <cell r="A667" t="str">
            <v>406 (1) h5</v>
          </cell>
          <cell r="B667" t="str">
            <v>Prestressed Structural Concrete Members 37.00 m. Type VI I-Girders</v>
          </cell>
          <cell r="C667" t="str">
            <v>Each</v>
          </cell>
          <cell r="D667" t="str">
            <v>each</v>
          </cell>
        </row>
        <row r="668">
          <cell r="A668" t="str">
            <v>406 (1) h6</v>
          </cell>
          <cell r="B668" t="str">
            <v>Prestressed Structural Concrete Members 38.00 m. Type VI I-Girders</v>
          </cell>
          <cell r="C668" t="str">
            <v>Each</v>
          </cell>
          <cell r="D668" t="str">
            <v>each</v>
          </cell>
        </row>
        <row r="669">
          <cell r="A669" t="str">
            <v>406 (1) h7</v>
          </cell>
          <cell r="B669" t="str">
            <v>Prestressed Structural Concrete Members 39.00 m. Type VI I-Girders</v>
          </cell>
          <cell r="C669" t="str">
            <v>Each</v>
          </cell>
          <cell r="D669" t="str">
            <v>each</v>
          </cell>
        </row>
        <row r="670">
          <cell r="A670" t="str">
            <v>406 (1) h8</v>
          </cell>
          <cell r="B670" t="str">
            <v>Prestressed Structural Concrete Members 40.00 m. Type VI I-Girders</v>
          </cell>
          <cell r="C670" t="str">
            <v>Each</v>
          </cell>
          <cell r="D670" t="str">
            <v>each</v>
          </cell>
        </row>
        <row r="671">
          <cell r="A671" t="str">
            <v>406 (1) h9</v>
          </cell>
          <cell r="B671" t="str">
            <v>Prestressed Structural Concrete Members 41.00 m. Type VI I-Girders</v>
          </cell>
          <cell r="C671" t="str">
            <v>Each</v>
          </cell>
          <cell r="D671" t="str">
            <v>each</v>
          </cell>
        </row>
        <row r="672">
          <cell r="A672" t="str">
            <v>406 (1) h10</v>
          </cell>
          <cell r="B672" t="str">
            <v>Prestressed Structural Concrete Members 42.00 m. Type VI I-Girders</v>
          </cell>
          <cell r="C672" t="str">
            <v>Each</v>
          </cell>
          <cell r="D672" t="str">
            <v>each</v>
          </cell>
        </row>
        <row r="673">
          <cell r="A673" t="str">
            <v>406 (1) h11</v>
          </cell>
          <cell r="B673" t="str">
            <v>Prestressed Structural Concrete Members 43.00 m. Type VI I-Girders</v>
          </cell>
          <cell r="C673" t="str">
            <v>Each</v>
          </cell>
          <cell r="D673" t="str">
            <v>each</v>
          </cell>
        </row>
        <row r="674">
          <cell r="A674" t="str">
            <v>406 (1) h12</v>
          </cell>
          <cell r="B674" t="str">
            <v>Prestressed Structural Concrete Members 44.00 m. Type VI I-Girders</v>
          </cell>
          <cell r="C674" t="str">
            <v>Each</v>
          </cell>
          <cell r="D674" t="str">
            <v>each</v>
          </cell>
        </row>
        <row r="675">
          <cell r="A675" t="str">
            <v>406 (1) h13</v>
          </cell>
          <cell r="B675" t="str">
            <v>Prestressed Structural Concrete Members 45.00 m. Type VI I-Girders</v>
          </cell>
          <cell r="C675" t="str">
            <v>Each</v>
          </cell>
          <cell r="D675" t="str">
            <v>each</v>
          </cell>
        </row>
        <row r="676">
          <cell r="A676" t="str">
            <v>406 (2) a</v>
          </cell>
          <cell r="B676" t="str">
            <v>Prestressed Concrete T-Girder</v>
          </cell>
          <cell r="C676" t="str">
            <v>Cubic Meter</v>
          </cell>
          <cell r="D676" t="str">
            <v>cu. m.</v>
          </cell>
        </row>
        <row r="677">
          <cell r="A677" t="str">
            <v>406 (2) b</v>
          </cell>
          <cell r="B677" t="str">
            <v>Prestressed Concrete Box Girder</v>
          </cell>
          <cell r="C677" t="str">
            <v>Cubic Meter</v>
          </cell>
          <cell r="D677" t="str">
            <v>cu. m.</v>
          </cell>
        </row>
        <row r="678">
          <cell r="A678" t="str">
            <v>406 (3)</v>
          </cell>
          <cell r="B678" t="str">
            <v>Installation, Tensioning and Grouting of Prestressing Steel Box Girder</v>
          </cell>
          <cell r="C678" t="str">
            <v>Each</v>
          </cell>
          <cell r="D678" t="str">
            <v>each</v>
          </cell>
        </row>
        <row r="679">
          <cell r="A679" t="str">
            <v>407 (1)</v>
          </cell>
          <cell r="B679" t="str">
            <v>Concrete Class A</v>
          </cell>
          <cell r="C679" t="str">
            <v>Cubic Meter</v>
          </cell>
          <cell r="D679" t="str">
            <v>cu. m.</v>
          </cell>
        </row>
        <row r="680">
          <cell r="A680" t="str">
            <v>407 (2)</v>
          </cell>
          <cell r="B680" t="str">
            <v>Concrete Post/Baluster Railings</v>
          </cell>
          <cell r="C680" t="str">
            <v>Each</v>
          </cell>
          <cell r="D680" t="str">
            <v>each</v>
          </cell>
        </row>
        <row r="681">
          <cell r="A681" t="str">
            <v>407 (3)</v>
          </cell>
          <cell r="B681" t="str">
            <v>Parapet Walls</v>
          </cell>
          <cell r="C681" t="str">
            <v>Cubic Meter</v>
          </cell>
          <cell r="D681" t="str">
            <v>cu. m.</v>
          </cell>
        </row>
        <row r="682">
          <cell r="A682" t="str">
            <v>407 (4)</v>
          </cell>
          <cell r="B682" t="str">
            <v>Piling</v>
          </cell>
          <cell r="C682" t="str">
            <v>Linear Meter</v>
          </cell>
          <cell r="D682" t="str">
            <v>l.m.</v>
          </cell>
        </row>
        <row r="683">
          <cell r="A683" t="str">
            <v>407 (5)</v>
          </cell>
          <cell r="B683" t="str">
            <v>Structure Excavation</v>
          </cell>
          <cell r="C683" t="str">
            <v>Cubic Meter</v>
          </cell>
          <cell r="D683" t="str">
            <v>cu. m.</v>
          </cell>
        </row>
        <row r="684">
          <cell r="A684" t="str">
            <v>407 (6)</v>
          </cell>
          <cell r="B684" t="str">
            <v>Sidewalk Concrete</v>
          </cell>
          <cell r="C684" t="str">
            <v>Cubic Meter</v>
          </cell>
          <cell r="D684" t="str">
            <v>cu. m.</v>
          </cell>
        </row>
        <row r="685">
          <cell r="A685" t="str">
            <v>407 (7)</v>
          </cell>
          <cell r="B685" t="str">
            <v>Reinforcing Steel Bars Grade 40</v>
          </cell>
          <cell r="C685" t="str">
            <v>Kilogram</v>
          </cell>
          <cell r="D685" t="str">
            <v>kg.</v>
          </cell>
        </row>
        <row r="686">
          <cell r="A686" t="str">
            <v>407 (8)</v>
          </cell>
          <cell r="B686" t="str">
            <v>Lean Concrete Class B (16.5 Mpa)</v>
          </cell>
          <cell r="C686" t="str">
            <v>Cubic Meter</v>
          </cell>
          <cell r="D686" t="str">
            <v>cu. m.</v>
          </cell>
        </row>
        <row r="687">
          <cell r="A687" t="str">
            <v>408 (1)</v>
          </cell>
          <cell r="B687" t="str">
            <v>Steel Bridges</v>
          </cell>
          <cell r="C687" t="str">
            <v>Lump Sum</v>
          </cell>
          <cell r="D687" t="str">
            <v>ls</v>
          </cell>
        </row>
        <row r="688">
          <cell r="A688" t="str">
            <v>409 (1)</v>
          </cell>
          <cell r="B688" t="str">
            <v>Welded Structural Steel</v>
          </cell>
          <cell r="C688" t="str">
            <v>Lump Sum</v>
          </cell>
          <cell r="D688" t="str">
            <v>ls</v>
          </cell>
        </row>
        <row r="689">
          <cell r="A689" t="str">
            <v>409 (2)</v>
          </cell>
          <cell r="B689" t="str">
            <v>Tightening/Retightening of High Tension Bolt</v>
          </cell>
          <cell r="C689" t="str">
            <v>Kilogram</v>
          </cell>
          <cell r="D689" t="str">
            <v>kg.</v>
          </cell>
        </row>
        <row r="690">
          <cell r="A690" t="str">
            <v>410 (1)</v>
          </cell>
          <cell r="B690" t="str">
            <v>Timber</v>
          </cell>
          <cell r="C690" t="str">
            <v>Cubic Meter</v>
          </cell>
          <cell r="D690" t="str">
            <v>cu. m.</v>
          </cell>
        </row>
        <row r="691">
          <cell r="A691" t="str">
            <v>410 (2)</v>
          </cell>
          <cell r="B691" t="str">
            <v>Treated Timber</v>
          </cell>
          <cell r="C691" t="str">
            <v>Cubic Meter</v>
          </cell>
          <cell r="D691" t="str">
            <v>cu. m.</v>
          </cell>
        </row>
        <row r="692">
          <cell r="A692" t="str">
            <v>411 (1)</v>
          </cell>
          <cell r="B692" t="str">
            <v>Paint</v>
          </cell>
          <cell r="C692" t="str">
            <v>Lump Sum</v>
          </cell>
          <cell r="D692" t="str">
            <v>ls</v>
          </cell>
        </row>
        <row r="693">
          <cell r="A693" t="str">
            <v>411 (2)</v>
          </cell>
          <cell r="B693" t="str">
            <v>Paint</v>
          </cell>
          <cell r="C693" t="str">
            <v>Square Meter</v>
          </cell>
          <cell r="D693" t="str">
            <v>sq. m.</v>
          </cell>
        </row>
        <row r="694">
          <cell r="A694" t="str">
            <v>413 (1)</v>
          </cell>
          <cell r="B694" t="str">
            <v>Preformed Sponge Rubber Joint Expansion</v>
          </cell>
          <cell r="C694" t="str">
            <v>Cubic Meter</v>
          </cell>
          <cell r="D694" t="str">
            <v>cu. m.</v>
          </cell>
        </row>
        <row r="695">
          <cell r="A695" t="str">
            <v>413 (2)</v>
          </cell>
          <cell r="B695" t="str">
            <v>Preformed Cork Joint Expansion</v>
          </cell>
          <cell r="C695" t="str">
            <v>Cubic Meter</v>
          </cell>
          <cell r="D695" t="str">
            <v>cu. m.</v>
          </cell>
        </row>
        <row r="696">
          <cell r="A696" t="str">
            <v>413 (3) a</v>
          </cell>
          <cell r="B696" t="str">
            <v>Premolded Expansion Joint Filler with Sealant 12 mm</v>
          </cell>
          <cell r="C696" t="str">
            <v>Cubic Meter</v>
          </cell>
          <cell r="D696" t="str">
            <v>cu. m.</v>
          </cell>
        </row>
        <row r="697">
          <cell r="A697" t="str">
            <v>413 (3) b</v>
          </cell>
          <cell r="B697" t="str">
            <v>Premolded Expansion Joint Filler with Sealant 50 mm</v>
          </cell>
          <cell r="C697" t="str">
            <v>Cubic Meter</v>
          </cell>
          <cell r="D697" t="str">
            <v>cu. m.</v>
          </cell>
        </row>
        <row r="698">
          <cell r="A698" t="str">
            <v>413 (4) a</v>
          </cell>
          <cell r="B698" t="str">
            <v>Expansion Joint</v>
          </cell>
          <cell r="C698" t="str">
            <v>Linear Meter</v>
          </cell>
          <cell r="D698" t="str">
            <v>l.m.</v>
          </cell>
        </row>
        <row r="699">
          <cell r="A699" t="str">
            <v>413 (4) b</v>
          </cell>
          <cell r="B699" t="str">
            <v>Expansion Joint Steel Finger Type</v>
          </cell>
          <cell r="C699" t="str">
            <v>Linear Meter</v>
          </cell>
          <cell r="D699" t="str">
            <v>l.m.</v>
          </cell>
        </row>
        <row r="700">
          <cell r="A700" t="str">
            <v>413 (4) c</v>
          </cell>
          <cell r="B700" t="str">
            <v>Expansion Joint Aluminum Cast</v>
          </cell>
          <cell r="C700" t="str">
            <v>Linear Meter</v>
          </cell>
          <cell r="D700" t="str">
            <v>l.m.</v>
          </cell>
        </row>
        <row r="701">
          <cell r="A701" t="str">
            <v>413 (4) d</v>
          </cell>
          <cell r="B701" t="str">
            <v>Expansion Joint Strip Seal</v>
          </cell>
          <cell r="C701" t="str">
            <v>Linear Meter</v>
          </cell>
          <cell r="D701" t="str">
            <v>l.m.</v>
          </cell>
        </row>
        <row r="702">
          <cell r="A702" t="str">
            <v>413 (4) e</v>
          </cell>
          <cell r="B702" t="str">
            <v>Expansion Joint Compression Seal</v>
          </cell>
          <cell r="C702" t="str">
            <v>Linear Meter</v>
          </cell>
          <cell r="D702" t="str">
            <v>l.m.</v>
          </cell>
        </row>
        <row r="703">
          <cell r="A703" t="str">
            <v>413 (4) f</v>
          </cell>
          <cell r="B703" t="str">
            <v>Expansion Joint Rubber (Multiplex) Expansion Joints</v>
          </cell>
          <cell r="C703" t="str">
            <v>Linear Meter</v>
          </cell>
          <cell r="D703" t="str">
            <v>l.m.</v>
          </cell>
        </row>
        <row r="704">
          <cell r="A704" t="str">
            <v>413 (4) g</v>
          </cell>
          <cell r="B704" t="str">
            <v>Expansion Joint Modular Expansion Device</v>
          </cell>
          <cell r="C704" t="str">
            <v>Linear Meter</v>
          </cell>
          <cell r="D704" t="str">
            <v>l.m.</v>
          </cell>
        </row>
        <row r="705">
          <cell r="A705" t="str">
            <v>413 (5)</v>
          </cell>
          <cell r="B705" t="str">
            <v>Elastomeric, Hot-Applied Expansion Joint Sealant (with Single-Sized Aggregates)</v>
          </cell>
          <cell r="C705" t="str">
            <v>Cubic Meter</v>
          </cell>
          <cell r="D705" t="str">
            <v>cu. m.</v>
          </cell>
        </row>
        <row r="706">
          <cell r="A706" t="str">
            <v>413 (6) a</v>
          </cell>
          <cell r="B706" t="str">
            <v>Asphaltic Plug Joints (APJ) for Bridges</v>
          </cell>
          <cell r="C706" t="str">
            <v>Each</v>
          </cell>
          <cell r="D706" t="str">
            <v>each</v>
          </cell>
        </row>
        <row r="707">
          <cell r="A707" t="str">
            <v>413 (6) b</v>
          </cell>
          <cell r="B707" t="str">
            <v>Asphaltic Plug Joints (APJ) for Bridges</v>
          </cell>
          <cell r="C707" t="str">
            <v>Linear Meter</v>
          </cell>
          <cell r="D707" t="str">
            <v>l.m.</v>
          </cell>
        </row>
        <row r="708">
          <cell r="A708" t="str">
            <v>413 (7) a1</v>
          </cell>
          <cell r="B708" t="str">
            <v>Expansion Dam for Bridges Steel Transverse</v>
          </cell>
          <cell r="C708" t="str">
            <v>Set</v>
          </cell>
          <cell r="D708" t="str">
            <v>set</v>
          </cell>
        </row>
        <row r="709">
          <cell r="A709" t="str">
            <v>413 (7) a2</v>
          </cell>
          <cell r="B709" t="str">
            <v>Expansion Dam for Bridges Steel Longitudinal</v>
          </cell>
          <cell r="C709" t="str">
            <v>Set</v>
          </cell>
          <cell r="D709" t="str">
            <v>set</v>
          </cell>
        </row>
        <row r="710">
          <cell r="A710" t="str">
            <v>413 (8)</v>
          </cell>
          <cell r="B710" t="str">
            <v>Expansion Joint Steel Finger Type</v>
          </cell>
          <cell r="C710" t="str">
            <v>Kilogram</v>
          </cell>
          <cell r="D710" t="str">
            <v>kg.</v>
          </cell>
        </row>
        <row r="711">
          <cell r="A711" t="str">
            <v>414 (1)</v>
          </cell>
          <cell r="B711" t="str">
            <v>Forms and Falsework</v>
          </cell>
          <cell r="C711" t="str">
            <v>Lump Sum</v>
          </cell>
          <cell r="D711" t="str">
            <v>ls</v>
          </cell>
        </row>
        <row r="712">
          <cell r="A712" t="str">
            <v>415 (1)</v>
          </cell>
          <cell r="B712" t="str">
            <v>Cable Restrainer</v>
          </cell>
          <cell r="C712" t="str">
            <v>Lump Sum</v>
          </cell>
          <cell r="D712" t="str">
            <v>ls</v>
          </cell>
        </row>
        <row r="713">
          <cell r="A713" t="str">
            <v>415 (2)</v>
          </cell>
          <cell r="B713" t="str">
            <v>Cable Restrainer</v>
          </cell>
          <cell r="C713" t="str">
            <v>Each</v>
          </cell>
          <cell r="D713" t="str">
            <v>each</v>
          </cell>
        </row>
        <row r="714">
          <cell r="A714" t="str">
            <v>416 (1) a</v>
          </cell>
          <cell r="B714" t="str">
            <v>Carbon Fiber 1 Layer</v>
          </cell>
          <cell r="C714" t="str">
            <v>Square Meter</v>
          </cell>
          <cell r="D714" t="str">
            <v>sq. m.</v>
          </cell>
        </row>
        <row r="715">
          <cell r="A715" t="str">
            <v>416 (1) b</v>
          </cell>
          <cell r="B715" t="str">
            <v>Carbon Fiber 2 Layers</v>
          </cell>
          <cell r="C715" t="str">
            <v>Square Meter</v>
          </cell>
          <cell r="D715" t="str">
            <v>sq. m.</v>
          </cell>
        </row>
        <row r="716">
          <cell r="A716" t="str">
            <v>416 (1) c</v>
          </cell>
          <cell r="B716" t="str">
            <v>Carbon Fiber 3 Layers</v>
          </cell>
          <cell r="C716" t="str">
            <v>Square Meter</v>
          </cell>
          <cell r="D716" t="str">
            <v>sq. m.</v>
          </cell>
        </row>
        <row r="717">
          <cell r="A717" t="str">
            <v>416 (1) d</v>
          </cell>
          <cell r="B717" t="str">
            <v>Carbon Fiber 4 Layers</v>
          </cell>
          <cell r="C717" t="str">
            <v>Square Meter</v>
          </cell>
          <cell r="D717" t="str">
            <v>sq. m.</v>
          </cell>
        </row>
        <row r="718">
          <cell r="A718" t="str">
            <v>416 (1) e</v>
          </cell>
          <cell r="B718" t="str">
            <v>Carbon Fiber Plate</v>
          </cell>
          <cell r="C718" t="str">
            <v>Square Meter</v>
          </cell>
          <cell r="D718" t="str">
            <v>sq. m.</v>
          </cell>
        </row>
        <row r="719">
          <cell r="A719" t="str">
            <v>416 (2)</v>
          </cell>
          <cell r="B719" t="str">
            <v>Carbon Fiber</v>
          </cell>
          <cell r="C719" t="str">
            <v>Lump Sum</v>
          </cell>
          <cell r="D719" t="str">
            <v>ls</v>
          </cell>
        </row>
        <row r="720">
          <cell r="A720" t="str">
            <v>416 (3) a</v>
          </cell>
          <cell r="B720" t="str">
            <v>Aramid Fiber 1 Layer</v>
          </cell>
          <cell r="C720" t="str">
            <v>Square Meter</v>
          </cell>
          <cell r="D720" t="str">
            <v>sq. m.</v>
          </cell>
        </row>
        <row r="721">
          <cell r="A721" t="str">
            <v>416 (3) b</v>
          </cell>
          <cell r="B721" t="str">
            <v>Aramid Fiber 2 Layers</v>
          </cell>
          <cell r="C721" t="str">
            <v>Square Meter</v>
          </cell>
          <cell r="D721" t="str">
            <v>sq. m.</v>
          </cell>
        </row>
        <row r="722">
          <cell r="A722" t="str">
            <v>416 (3) c</v>
          </cell>
          <cell r="B722" t="str">
            <v>Aramid Fiber 3 Layers</v>
          </cell>
          <cell r="C722" t="str">
            <v>Square Meter</v>
          </cell>
          <cell r="D722" t="str">
            <v>sq. m.</v>
          </cell>
        </row>
        <row r="723">
          <cell r="A723" t="str">
            <v>416 (3) d</v>
          </cell>
          <cell r="B723" t="str">
            <v>Aramid Fiber 4 Layers</v>
          </cell>
          <cell r="C723" t="str">
            <v>Square Meter</v>
          </cell>
          <cell r="D723" t="str">
            <v>sq. m.</v>
          </cell>
        </row>
        <row r="724">
          <cell r="A724" t="str">
            <v>416 (4)</v>
          </cell>
          <cell r="B724" t="str">
            <v>Aramid Fiber</v>
          </cell>
          <cell r="C724" t="str">
            <v>Lump Sum</v>
          </cell>
          <cell r="D724" t="str">
            <v>ls</v>
          </cell>
        </row>
        <row r="725">
          <cell r="A725" t="str">
            <v>416 (5)</v>
          </cell>
          <cell r="B725" t="str">
            <v>Glass Fiber Sheet</v>
          </cell>
          <cell r="C725" t="str">
            <v>Square Meter</v>
          </cell>
          <cell r="D725" t="str">
            <v>sq. m.</v>
          </cell>
        </row>
        <row r="726">
          <cell r="A726" t="str">
            <v>416 (6)</v>
          </cell>
          <cell r="B726" t="str">
            <v>Glass Fiber</v>
          </cell>
          <cell r="C726" t="str">
            <v>Lump Sum</v>
          </cell>
          <cell r="D726" t="str">
            <v>ls</v>
          </cell>
        </row>
        <row r="727">
          <cell r="A727" t="str">
            <v>417 (1) a</v>
          </cell>
          <cell r="B727" t="str">
            <v>Bearing Devices Steel Bearing</v>
          </cell>
          <cell r="C727" t="str">
            <v>Each</v>
          </cell>
          <cell r="D727" t="str">
            <v>each</v>
          </cell>
        </row>
        <row r="728">
          <cell r="A728" t="str">
            <v>417 (1) b</v>
          </cell>
          <cell r="B728" t="str">
            <v>Bearing Devices Rubber Bearing</v>
          </cell>
          <cell r="C728" t="str">
            <v>Each</v>
          </cell>
          <cell r="D728" t="str">
            <v>each</v>
          </cell>
        </row>
        <row r="729">
          <cell r="A729" t="str">
            <v>417 (1) c</v>
          </cell>
          <cell r="B729" t="str">
            <v>Bearing Devices High Damping Rubber</v>
          </cell>
          <cell r="C729" t="str">
            <v>Each</v>
          </cell>
          <cell r="D729" t="str">
            <v>each</v>
          </cell>
        </row>
        <row r="730">
          <cell r="A730" t="str">
            <v>418 (1)</v>
          </cell>
          <cell r="B730" t="str">
            <v>Bridge Steel deck</v>
          </cell>
          <cell r="C730" t="str">
            <v>Square Meter</v>
          </cell>
          <cell r="D730" t="str">
            <v>sq. m.</v>
          </cell>
        </row>
        <row r="731">
          <cell r="A731" t="str">
            <v>418 (2)</v>
          </cell>
          <cell r="B731" t="str">
            <v>Bridge Steel deck</v>
          </cell>
          <cell r="C731" t="str">
            <v>Kilogram</v>
          </cell>
          <cell r="D731" t="str">
            <v>kg.</v>
          </cell>
        </row>
        <row r="732">
          <cell r="A732" t="str">
            <v>419 (1)</v>
          </cell>
          <cell r="B732" t="str">
            <v>Corrugated Steel Plate</v>
          </cell>
          <cell r="C732" t="str">
            <v>Kilogram</v>
          </cell>
          <cell r="D732" t="str">
            <v>kg.</v>
          </cell>
        </row>
        <row r="733">
          <cell r="A733" t="str">
            <v>419 (2)</v>
          </cell>
          <cell r="B733" t="str">
            <v>Corrugated Steel Plate</v>
          </cell>
          <cell r="C733" t="str">
            <v>Square Meter</v>
          </cell>
          <cell r="D733" t="str">
            <v>sq. m.</v>
          </cell>
        </row>
        <row r="734">
          <cell r="A734" t="str">
            <v>PART G</v>
          </cell>
          <cell r="B734" t="str">
            <v>DRAINAGE AND SLOPE PROTECTION STRUCTURES</v>
          </cell>
          <cell r="C734">
            <v>0</v>
          </cell>
          <cell r="D734" t="e">
            <v>#N/A</v>
          </cell>
        </row>
        <row r="735">
          <cell r="A735" t="str">
            <v>500 (1) a1</v>
          </cell>
          <cell r="B735" t="str">
            <v>Pipe Culverts 610 mm dia. Class II RCPC</v>
          </cell>
          <cell r="C735" t="str">
            <v>Linear Meter</v>
          </cell>
          <cell r="D735" t="str">
            <v>l.m.</v>
          </cell>
        </row>
        <row r="736">
          <cell r="A736" t="str">
            <v>500 (1) a2</v>
          </cell>
          <cell r="B736" t="str">
            <v>Pipe Culverts 760 mm dia. Class II RCPC</v>
          </cell>
          <cell r="C736" t="str">
            <v>Linear Meter</v>
          </cell>
          <cell r="D736" t="str">
            <v>l.m.</v>
          </cell>
        </row>
        <row r="737">
          <cell r="A737" t="str">
            <v>500 (1) a3</v>
          </cell>
          <cell r="B737" t="str">
            <v>Pipe Culverts 910 mm dia. Class II RCPC</v>
          </cell>
          <cell r="C737" t="str">
            <v>Linear Meter</v>
          </cell>
          <cell r="D737" t="str">
            <v>l.m.</v>
          </cell>
        </row>
        <row r="738">
          <cell r="A738" t="str">
            <v>500 (1) a4</v>
          </cell>
          <cell r="B738" t="str">
            <v>Pipe Culverts 1070 mm dia. Class II RCPC</v>
          </cell>
          <cell r="C738" t="str">
            <v>Linear Meter</v>
          </cell>
          <cell r="D738" t="str">
            <v>l.m.</v>
          </cell>
        </row>
        <row r="739">
          <cell r="A739" t="str">
            <v>500 (1) a5</v>
          </cell>
          <cell r="B739" t="str">
            <v>Pipe Culverts 1220 mm dia. Class II RCPC</v>
          </cell>
          <cell r="C739" t="str">
            <v>Linear Meter</v>
          </cell>
          <cell r="D739" t="str">
            <v>l.m.</v>
          </cell>
        </row>
        <row r="740">
          <cell r="A740" t="str">
            <v>500 (1) a6</v>
          </cell>
          <cell r="B740" t="str">
            <v>Pipe Culverts 1520 mm dia. Class II RCPC</v>
          </cell>
          <cell r="C740" t="str">
            <v>Linear Meter</v>
          </cell>
          <cell r="D740" t="str">
            <v>l.m.</v>
          </cell>
        </row>
        <row r="741">
          <cell r="A741" t="str">
            <v>500 (1) b1</v>
          </cell>
          <cell r="B741" t="str">
            <v>Pipe Culverts 610 mm dia. Class IV RCPC</v>
          </cell>
          <cell r="C741" t="str">
            <v>Linear Meter</v>
          </cell>
          <cell r="D741" t="str">
            <v>l.m.</v>
          </cell>
        </row>
        <row r="742">
          <cell r="A742" t="str">
            <v>500 (1) b2</v>
          </cell>
          <cell r="B742" t="str">
            <v>Pipe Culverts 760 mm dia. Class IV RCPC</v>
          </cell>
          <cell r="C742" t="str">
            <v>Linear Meter</v>
          </cell>
          <cell r="D742" t="str">
            <v>l.m.</v>
          </cell>
        </row>
        <row r="743">
          <cell r="A743" t="str">
            <v>500 (1) b3</v>
          </cell>
          <cell r="B743" t="str">
            <v>Pipe Culverts 910 mm dia. Class IV RCPC</v>
          </cell>
          <cell r="C743" t="str">
            <v>Linear Meter</v>
          </cell>
          <cell r="D743" t="str">
            <v>l.m.</v>
          </cell>
        </row>
        <row r="744">
          <cell r="A744" t="str">
            <v>500 (1) b4</v>
          </cell>
          <cell r="B744" t="str">
            <v>Pipe Culverts 1070 mm dia. Class IV RCPC</v>
          </cell>
          <cell r="C744" t="str">
            <v>Linear Meter</v>
          </cell>
          <cell r="D744" t="str">
            <v>l.m.</v>
          </cell>
        </row>
        <row r="745">
          <cell r="A745" t="str">
            <v>500 (1) b5</v>
          </cell>
          <cell r="B745" t="str">
            <v>Pipe Culverts 1220 mm dia. Class IV RCPC</v>
          </cell>
          <cell r="C745" t="str">
            <v>Linear Meter</v>
          </cell>
          <cell r="D745" t="str">
            <v>l.m.</v>
          </cell>
        </row>
        <row r="746">
          <cell r="A746" t="str">
            <v>500 (1) b6</v>
          </cell>
          <cell r="B746" t="str">
            <v>Pipe Culverts 1520 mm dia. Class IV RCPC</v>
          </cell>
          <cell r="C746" t="str">
            <v>Linear Meter</v>
          </cell>
          <cell r="D746" t="str">
            <v>l.m.</v>
          </cell>
        </row>
        <row r="747">
          <cell r="A747" t="str">
            <v>500 (1) b7</v>
          </cell>
          <cell r="B747" t="str">
            <v>1830 mm dia. Class IV RCPC Linear Meter</v>
          </cell>
          <cell r="C747" t="str">
            <v>Linear Meter</v>
          </cell>
          <cell r="D747" t="str">
            <v>l.m.</v>
          </cell>
        </row>
        <row r="748">
          <cell r="A748" t="str">
            <v>500 (2)</v>
          </cell>
          <cell r="B748" t="str">
            <v>Storm Drain</v>
          </cell>
          <cell r="C748" t="str">
            <v>Linear Meter</v>
          </cell>
          <cell r="D748" t="str">
            <v>l.m.</v>
          </cell>
        </row>
        <row r="749">
          <cell r="A749" t="str">
            <v>500 (3) a</v>
          </cell>
          <cell r="B749" t="str">
            <v>Lined Canal Rectangular CHB</v>
          </cell>
          <cell r="C749" t="str">
            <v>Linear Meter</v>
          </cell>
          <cell r="D749" t="str">
            <v>l.m.</v>
          </cell>
        </row>
        <row r="750">
          <cell r="A750" t="str">
            <v>500 (3) b1</v>
          </cell>
          <cell r="B750" t="str">
            <v>Lined Canal Rectangular Concrete</v>
          </cell>
          <cell r="C750" t="str">
            <v>Linear Meter</v>
          </cell>
          <cell r="D750" t="str">
            <v>l.m.</v>
          </cell>
        </row>
        <row r="751">
          <cell r="A751" t="str">
            <v>500 (3) b2</v>
          </cell>
          <cell r="B751" t="str">
            <v>Lined Canal V-Shape Concrete</v>
          </cell>
          <cell r="C751" t="str">
            <v>Linear Meter</v>
          </cell>
          <cell r="D751" t="str">
            <v>l.m.</v>
          </cell>
        </row>
        <row r="752">
          <cell r="A752" t="str">
            <v>500 (3) c1</v>
          </cell>
          <cell r="B752" t="str">
            <v>Lined Canal Rectangular Masonry</v>
          </cell>
          <cell r="C752" t="str">
            <v>Linear Meter</v>
          </cell>
          <cell r="D752" t="str">
            <v>l.m.</v>
          </cell>
        </row>
        <row r="753">
          <cell r="A753" t="str">
            <v>500 (3) c2</v>
          </cell>
          <cell r="B753" t="str">
            <v>Lined Canal V-Shape Masonry</v>
          </cell>
          <cell r="C753" t="str">
            <v>Linear Meter</v>
          </cell>
          <cell r="D753" t="str">
            <v>l.m.</v>
          </cell>
        </row>
        <row r="754">
          <cell r="A754" t="str">
            <v>501 (1)</v>
          </cell>
          <cell r="B754" t="str">
            <v>Underdrain 150 mm dia.</v>
          </cell>
          <cell r="C754" t="str">
            <v>Linear Meter</v>
          </cell>
          <cell r="D754" t="str">
            <v>l.m.</v>
          </cell>
        </row>
        <row r="755">
          <cell r="A755" t="str">
            <v>501 (2)</v>
          </cell>
          <cell r="B755" t="str">
            <v>Blind drain</v>
          </cell>
          <cell r="C755" t="str">
            <v>Linear Meter</v>
          </cell>
          <cell r="D755" t="str">
            <v>l.m.</v>
          </cell>
        </row>
        <row r="756">
          <cell r="A756" t="str">
            <v>501 (3)</v>
          </cell>
          <cell r="B756" t="str">
            <v>Granular backfill filter material for underdrains</v>
          </cell>
          <cell r="C756" t="str">
            <v>Cubic Meter</v>
          </cell>
          <cell r="D756" t="str">
            <v>cu. m.</v>
          </cell>
        </row>
        <row r="757">
          <cell r="A757" t="str">
            <v>501 (4)</v>
          </cell>
          <cell r="B757" t="str">
            <v>Underdrain</v>
          </cell>
          <cell r="C757" t="str">
            <v>Lump Sum</v>
          </cell>
          <cell r="D757" t="str">
            <v>ls</v>
          </cell>
        </row>
        <row r="758">
          <cell r="A758" t="str">
            <v>501 (5)</v>
          </cell>
          <cell r="B758" t="str">
            <v>Blind drain</v>
          </cell>
          <cell r="C758" t="str">
            <v>Lump Sum</v>
          </cell>
          <cell r="D758" t="str">
            <v>ls</v>
          </cell>
        </row>
        <row r="759">
          <cell r="A759" t="str">
            <v>502 (1) a1</v>
          </cell>
          <cell r="B759" t="str">
            <v>Manholes 610 mm dia. Concrete</v>
          </cell>
          <cell r="C759" t="str">
            <v>Each</v>
          </cell>
          <cell r="D759" t="str">
            <v>each</v>
          </cell>
        </row>
        <row r="760">
          <cell r="A760" t="str">
            <v>502 (1) a2</v>
          </cell>
          <cell r="B760" t="str">
            <v>Manholes 760 mm dia. Concrete</v>
          </cell>
          <cell r="C760" t="str">
            <v>Each</v>
          </cell>
          <cell r="D760" t="str">
            <v>each</v>
          </cell>
        </row>
        <row r="761">
          <cell r="A761" t="str">
            <v>502 (1) a3</v>
          </cell>
          <cell r="B761" t="str">
            <v>Manholes 910 mm dia. Concrete</v>
          </cell>
          <cell r="C761" t="str">
            <v>Each</v>
          </cell>
          <cell r="D761" t="str">
            <v>each</v>
          </cell>
        </row>
        <row r="762">
          <cell r="A762" t="str">
            <v>502 (1) a4</v>
          </cell>
          <cell r="B762" t="str">
            <v>Manholes 1070 mm dia. Concrete</v>
          </cell>
          <cell r="C762" t="str">
            <v>Each</v>
          </cell>
          <cell r="D762" t="str">
            <v>each</v>
          </cell>
        </row>
        <row r="763">
          <cell r="A763" t="str">
            <v>502 (1) a5</v>
          </cell>
          <cell r="B763" t="str">
            <v>Manholes 1220 mm dia. Concrete</v>
          </cell>
          <cell r="C763" t="str">
            <v>Each</v>
          </cell>
          <cell r="D763" t="str">
            <v>each</v>
          </cell>
        </row>
        <row r="764">
          <cell r="A764" t="str">
            <v>502 (1) a6</v>
          </cell>
          <cell r="B764" t="str">
            <v>Manholes 1520 mm dia. Concrete</v>
          </cell>
          <cell r="C764" t="str">
            <v>Each</v>
          </cell>
          <cell r="D764" t="str">
            <v>each</v>
          </cell>
        </row>
        <row r="765">
          <cell r="A765" t="str">
            <v>502 (1) a7</v>
          </cell>
          <cell r="B765" t="str">
            <v>Manholes 1830 mm dia. Concrete</v>
          </cell>
          <cell r="C765" t="str">
            <v>Each</v>
          </cell>
          <cell r="D765" t="str">
            <v>each</v>
          </cell>
        </row>
        <row r="766">
          <cell r="A766" t="str">
            <v>502 (1) b1</v>
          </cell>
          <cell r="B766" t="str">
            <v>Manholes 610 mm dia. CHB</v>
          </cell>
          <cell r="C766" t="str">
            <v>Each</v>
          </cell>
          <cell r="D766" t="str">
            <v>each</v>
          </cell>
        </row>
        <row r="767">
          <cell r="A767" t="str">
            <v>502 (1) b2</v>
          </cell>
          <cell r="B767" t="str">
            <v>Manholes 760 mm dia. CHB</v>
          </cell>
          <cell r="C767" t="str">
            <v>Each</v>
          </cell>
          <cell r="D767" t="str">
            <v>each</v>
          </cell>
        </row>
        <row r="768">
          <cell r="A768" t="str">
            <v>502 (1) b3</v>
          </cell>
          <cell r="B768" t="str">
            <v>Manholes 910 mm dia. CHB</v>
          </cell>
          <cell r="C768" t="str">
            <v>Each</v>
          </cell>
          <cell r="D768" t="str">
            <v>each</v>
          </cell>
        </row>
        <row r="769">
          <cell r="A769" t="str">
            <v>502 (1) b4</v>
          </cell>
          <cell r="B769" t="str">
            <v>Manholes 1070 mm dia. CHB</v>
          </cell>
          <cell r="C769" t="str">
            <v>Each</v>
          </cell>
          <cell r="D769" t="str">
            <v>each</v>
          </cell>
        </row>
        <row r="770">
          <cell r="A770" t="str">
            <v>502 (1) b5</v>
          </cell>
          <cell r="B770" t="str">
            <v>Manholes 1220 mm dia. CHB</v>
          </cell>
          <cell r="C770" t="str">
            <v>Each</v>
          </cell>
          <cell r="D770" t="str">
            <v>each</v>
          </cell>
        </row>
        <row r="771">
          <cell r="A771" t="str">
            <v>502 (1) b6</v>
          </cell>
          <cell r="B771" t="str">
            <v>Manholes 1520 mm dia. CHB</v>
          </cell>
          <cell r="C771" t="str">
            <v>Each</v>
          </cell>
          <cell r="D771" t="str">
            <v>each</v>
          </cell>
        </row>
        <row r="772">
          <cell r="A772" t="str">
            <v>502 (1) b7</v>
          </cell>
          <cell r="B772" t="str">
            <v>Manholes 1830 mm dia. CHB</v>
          </cell>
          <cell r="C772" t="str">
            <v>Each</v>
          </cell>
          <cell r="D772" t="str">
            <v>each</v>
          </cell>
        </row>
        <row r="773">
          <cell r="A773" t="str">
            <v>502 (2) a1</v>
          </cell>
          <cell r="B773" t="str">
            <v>Inlets, type 610 mm dia</v>
          </cell>
          <cell r="C773" t="str">
            <v>Each</v>
          </cell>
          <cell r="D773" t="str">
            <v>each</v>
          </cell>
        </row>
        <row r="774">
          <cell r="A774" t="str">
            <v>502 (2) a2</v>
          </cell>
          <cell r="B774" t="str">
            <v>Inlets, type 760 mm dia.</v>
          </cell>
          <cell r="C774" t="str">
            <v>Each</v>
          </cell>
          <cell r="D774" t="str">
            <v>each</v>
          </cell>
        </row>
        <row r="775">
          <cell r="A775" t="str">
            <v>502 (2) a3</v>
          </cell>
          <cell r="B775" t="str">
            <v>Inlets, type 910 mm dia.</v>
          </cell>
          <cell r="C775" t="str">
            <v>Each</v>
          </cell>
          <cell r="D775" t="str">
            <v>each</v>
          </cell>
        </row>
        <row r="776">
          <cell r="A776" t="str">
            <v>502 (2) a4</v>
          </cell>
          <cell r="B776" t="str">
            <v>Inlets, type 1070 mm dia.</v>
          </cell>
          <cell r="C776" t="str">
            <v>Each</v>
          </cell>
          <cell r="D776" t="str">
            <v>each</v>
          </cell>
        </row>
        <row r="777">
          <cell r="A777" t="str">
            <v>502 (2) a5</v>
          </cell>
          <cell r="B777" t="str">
            <v>Inlets, type 1220 mm dia.</v>
          </cell>
          <cell r="C777" t="str">
            <v>Each</v>
          </cell>
          <cell r="D777" t="str">
            <v>each</v>
          </cell>
        </row>
        <row r="778">
          <cell r="A778" t="str">
            <v>502 (2) a6</v>
          </cell>
          <cell r="B778" t="str">
            <v>Inlets, type 1520 mm dia.</v>
          </cell>
          <cell r="C778" t="str">
            <v>Each</v>
          </cell>
          <cell r="D778" t="str">
            <v>each</v>
          </cell>
        </row>
        <row r="779">
          <cell r="A779" t="str">
            <v>502 (2) a7</v>
          </cell>
          <cell r="B779" t="str">
            <v>Inlets, type 1830 mm dia.</v>
          </cell>
          <cell r="C779" t="str">
            <v>Each</v>
          </cell>
          <cell r="D779" t="str">
            <v>each</v>
          </cell>
        </row>
        <row r="780">
          <cell r="A780" t="str">
            <v>502 (3) a1</v>
          </cell>
          <cell r="B780" t="str">
            <v>Catch basins 610 mm dia.</v>
          </cell>
          <cell r="C780" t="str">
            <v>Each</v>
          </cell>
          <cell r="D780" t="str">
            <v>each</v>
          </cell>
        </row>
        <row r="781">
          <cell r="A781" t="str">
            <v>502 (3) a2</v>
          </cell>
          <cell r="B781" t="str">
            <v>Catch basins 760 mm dia.</v>
          </cell>
          <cell r="C781" t="str">
            <v>Each</v>
          </cell>
          <cell r="D781" t="str">
            <v>each</v>
          </cell>
        </row>
        <row r="782">
          <cell r="A782" t="str">
            <v>502 (3) a3</v>
          </cell>
          <cell r="B782" t="str">
            <v>Catch basins 910 mm dia.</v>
          </cell>
          <cell r="C782" t="str">
            <v>Each</v>
          </cell>
          <cell r="D782" t="str">
            <v>each</v>
          </cell>
        </row>
        <row r="783">
          <cell r="A783" t="str">
            <v>502 (3) a4</v>
          </cell>
          <cell r="B783" t="str">
            <v>Catch basins 1070 mm dia.</v>
          </cell>
          <cell r="C783" t="str">
            <v>Each</v>
          </cell>
          <cell r="D783" t="str">
            <v>each</v>
          </cell>
        </row>
        <row r="784">
          <cell r="A784" t="str">
            <v>502 (3) a5</v>
          </cell>
          <cell r="B784" t="str">
            <v>Catch basins 1220 mm dia.</v>
          </cell>
          <cell r="C784" t="str">
            <v>Each</v>
          </cell>
          <cell r="D784" t="str">
            <v>each</v>
          </cell>
        </row>
        <row r="785">
          <cell r="A785" t="str">
            <v>502 (3) a6</v>
          </cell>
          <cell r="B785" t="str">
            <v>Catch basins 1520 mm dia.</v>
          </cell>
          <cell r="C785" t="str">
            <v>Each</v>
          </cell>
          <cell r="D785" t="str">
            <v>each</v>
          </cell>
        </row>
        <row r="786">
          <cell r="A786" t="str">
            <v>502 (3) a7</v>
          </cell>
          <cell r="B786" t="str">
            <v>Catch basins 1830 mm dia.</v>
          </cell>
          <cell r="C786" t="str">
            <v>Each</v>
          </cell>
          <cell r="D786" t="str">
            <v>each</v>
          </cell>
        </row>
        <row r="787">
          <cell r="A787" t="str">
            <v>502 (4) a1</v>
          </cell>
          <cell r="B787" t="str">
            <v>Concrete covers 610 mm dia.</v>
          </cell>
          <cell r="C787" t="str">
            <v>Each</v>
          </cell>
          <cell r="D787" t="str">
            <v>each</v>
          </cell>
        </row>
        <row r="788">
          <cell r="A788" t="str">
            <v>502 (4) a2</v>
          </cell>
          <cell r="B788" t="str">
            <v>Concrete covers 760 mm dia.</v>
          </cell>
          <cell r="C788" t="str">
            <v>Each</v>
          </cell>
          <cell r="D788" t="str">
            <v>each</v>
          </cell>
        </row>
        <row r="789">
          <cell r="A789" t="str">
            <v>502 (4) a3</v>
          </cell>
          <cell r="B789" t="str">
            <v>Concrete covers 910 mm dia.</v>
          </cell>
          <cell r="C789" t="str">
            <v>Each</v>
          </cell>
          <cell r="D789" t="str">
            <v>each</v>
          </cell>
        </row>
        <row r="790">
          <cell r="A790" t="str">
            <v>502 (4) a4</v>
          </cell>
          <cell r="B790" t="str">
            <v>Concrete covers 1070 mm dia.</v>
          </cell>
          <cell r="C790" t="str">
            <v>Each</v>
          </cell>
          <cell r="D790" t="str">
            <v>each</v>
          </cell>
        </row>
        <row r="791">
          <cell r="A791" t="str">
            <v>502 (4) a5</v>
          </cell>
          <cell r="B791" t="str">
            <v>Concrete covers 1220 mm dia.</v>
          </cell>
          <cell r="C791" t="str">
            <v>Each</v>
          </cell>
          <cell r="D791" t="str">
            <v>each</v>
          </cell>
        </row>
        <row r="792">
          <cell r="A792" t="str">
            <v>502 (4) a6</v>
          </cell>
          <cell r="B792" t="str">
            <v>Concrete covers 1520 mm dia.</v>
          </cell>
          <cell r="C792" t="str">
            <v>Each</v>
          </cell>
          <cell r="D792" t="str">
            <v>each</v>
          </cell>
        </row>
        <row r="793">
          <cell r="A793" t="str">
            <v>502 (4) a7</v>
          </cell>
          <cell r="B793" t="str">
            <v>Concrete covers 1830 mm dia.</v>
          </cell>
          <cell r="C793" t="str">
            <v>Each</v>
          </cell>
          <cell r="D793" t="str">
            <v>each</v>
          </cell>
        </row>
        <row r="794">
          <cell r="A794" t="str">
            <v>502 (5)</v>
          </cell>
          <cell r="B794" t="str">
            <v>Metal frames and gratings, type</v>
          </cell>
          <cell r="C794" t="str">
            <v>Pair</v>
          </cell>
          <cell r="D794" t="e">
            <v>#N/A</v>
          </cell>
        </row>
        <row r="795">
          <cell r="A795" t="str">
            <v>502 (6)</v>
          </cell>
          <cell r="B795" t="str">
            <v>Metal frames and covers</v>
          </cell>
          <cell r="C795" t="str">
            <v>Pair</v>
          </cell>
          <cell r="D795" t="e">
            <v>#N/A</v>
          </cell>
        </row>
        <row r="796">
          <cell r="A796" t="str">
            <v>502 (7)</v>
          </cell>
          <cell r="B796" t="str">
            <v>Adjusting manholes</v>
          </cell>
          <cell r="C796" t="str">
            <v>Each</v>
          </cell>
          <cell r="D796" t="str">
            <v>each</v>
          </cell>
        </row>
        <row r="797">
          <cell r="A797" t="str">
            <v>502 (8)</v>
          </cell>
          <cell r="B797" t="str">
            <v>Adjusting catch basin</v>
          </cell>
          <cell r="C797" t="str">
            <v>Each</v>
          </cell>
          <cell r="D797" t="str">
            <v>each</v>
          </cell>
        </row>
        <row r="798">
          <cell r="A798" t="str">
            <v>502 (9)</v>
          </cell>
          <cell r="B798" t="str">
            <v>Berm Ditch Gutter</v>
          </cell>
          <cell r="C798" t="str">
            <v>Linear Meter</v>
          </cell>
          <cell r="D798" t="str">
            <v>l.m.</v>
          </cell>
        </row>
        <row r="799">
          <cell r="A799" t="str">
            <v>502 (10)</v>
          </cell>
          <cell r="B799" t="str">
            <v>U-Type Vertical Slope Ditch Precast</v>
          </cell>
          <cell r="C799" t="str">
            <v>Linear Meter</v>
          </cell>
          <cell r="D799" t="str">
            <v>l.m.</v>
          </cell>
        </row>
        <row r="800">
          <cell r="A800" t="str">
            <v>502 (11)</v>
          </cell>
          <cell r="B800" t="str">
            <v>Splash Pad Precast</v>
          </cell>
          <cell r="C800" t="str">
            <v>Each</v>
          </cell>
          <cell r="D800" t="str">
            <v>each</v>
          </cell>
        </row>
        <row r="801">
          <cell r="A801" t="str">
            <v>503 (1)</v>
          </cell>
          <cell r="B801" t="str">
            <v>Metal frames and grating</v>
          </cell>
          <cell r="C801" t="str">
            <v>Set</v>
          </cell>
          <cell r="D801" t="str">
            <v>set</v>
          </cell>
        </row>
        <row r="802">
          <cell r="A802" t="str">
            <v>503 (2)</v>
          </cell>
          <cell r="B802" t="str">
            <v>Metal frames and grating</v>
          </cell>
          <cell r="C802" t="str">
            <v>Kilogram</v>
          </cell>
          <cell r="D802" t="str">
            <v>kg.</v>
          </cell>
        </row>
        <row r="803">
          <cell r="A803" t="str">
            <v>504 (1) a</v>
          </cell>
          <cell r="B803" t="str">
            <v>Removing, cleaning, stockpiling salvaged culvert pipe 610 mm dia.</v>
          </cell>
          <cell r="C803" t="str">
            <v>Linear Meter</v>
          </cell>
          <cell r="D803" t="str">
            <v>l.m.</v>
          </cell>
        </row>
        <row r="804">
          <cell r="A804" t="str">
            <v>504 (1) b</v>
          </cell>
          <cell r="B804" t="str">
            <v>Removing, cleaning, stockpiling salvaged culvert pipe 760 mm dia.</v>
          </cell>
          <cell r="C804" t="str">
            <v>Linear Meter</v>
          </cell>
          <cell r="D804" t="str">
            <v>l.m.</v>
          </cell>
        </row>
        <row r="805">
          <cell r="A805" t="str">
            <v>504 (1) c</v>
          </cell>
          <cell r="B805" t="str">
            <v>Removing, cleaning, stockpiling salvaged culvert pipe 910 mm dia.</v>
          </cell>
          <cell r="C805" t="str">
            <v>Linear Meter</v>
          </cell>
          <cell r="D805" t="str">
            <v>l.m.</v>
          </cell>
        </row>
        <row r="806">
          <cell r="A806" t="str">
            <v>504 (1) d</v>
          </cell>
          <cell r="B806" t="str">
            <v>Removing, cleaning, stockpiling salvaged culvert pipe 1070 mm dia.</v>
          </cell>
          <cell r="C806" t="str">
            <v>Linear Meter</v>
          </cell>
          <cell r="D806" t="str">
            <v>l.m.</v>
          </cell>
        </row>
        <row r="807">
          <cell r="A807" t="str">
            <v>504 (1) e</v>
          </cell>
          <cell r="B807" t="str">
            <v>Removing, cleaning, stockpiling salvaged culvert pipe 1220 mm dia.</v>
          </cell>
          <cell r="C807" t="str">
            <v>Linear Meter</v>
          </cell>
          <cell r="D807" t="str">
            <v>l.m.</v>
          </cell>
        </row>
        <row r="808">
          <cell r="A808" t="str">
            <v>504 (1) f</v>
          </cell>
          <cell r="B808" t="str">
            <v>Removing, cleaning, stockpiling salvaged culvert pipe 1520 mm dia.</v>
          </cell>
          <cell r="C808" t="str">
            <v>Linear Meter</v>
          </cell>
          <cell r="D808" t="str">
            <v>l.m.</v>
          </cell>
        </row>
        <row r="809">
          <cell r="A809" t="str">
            <v>504 (2) a</v>
          </cell>
          <cell r="B809" t="str">
            <v>Removing, cleaning, and relaying salvaged culvert pipe 610 mm dia.</v>
          </cell>
          <cell r="C809" t="str">
            <v>Linear Meter</v>
          </cell>
          <cell r="D809" t="str">
            <v>l.m.</v>
          </cell>
        </row>
        <row r="810">
          <cell r="A810" t="str">
            <v>504 (2) b</v>
          </cell>
          <cell r="B810" t="str">
            <v>Removing, cleaning, and relaying salvaged culvert pipe 760 mm dia.</v>
          </cell>
          <cell r="C810" t="str">
            <v>Linear Meter</v>
          </cell>
          <cell r="D810" t="str">
            <v>l.m.</v>
          </cell>
        </row>
        <row r="811">
          <cell r="A811" t="str">
            <v>504 (2) c</v>
          </cell>
          <cell r="B811" t="str">
            <v>Removing, cleaning, and relaying salvaged culvert pipe 910 mm dia.</v>
          </cell>
          <cell r="C811" t="str">
            <v>Linear Meter</v>
          </cell>
          <cell r="D811" t="str">
            <v>l.m.</v>
          </cell>
        </row>
        <row r="812">
          <cell r="A812" t="str">
            <v>504 (2) d</v>
          </cell>
          <cell r="B812" t="str">
            <v>Removing, cleaning, and relaying salvaged culvert pipe 1070 mm dia.</v>
          </cell>
          <cell r="C812" t="str">
            <v>Linear Meter</v>
          </cell>
          <cell r="D812" t="str">
            <v>l.m.</v>
          </cell>
        </row>
        <row r="813">
          <cell r="A813" t="str">
            <v>504 (2) e</v>
          </cell>
          <cell r="B813" t="str">
            <v>Removing, cleaning, and relaying salvaged culvert pipe 1220 mm dia.</v>
          </cell>
          <cell r="C813" t="str">
            <v>Linear Meter</v>
          </cell>
          <cell r="D813" t="str">
            <v>l.m.</v>
          </cell>
        </row>
        <row r="814">
          <cell r="A814" t="str">
            <v>504 (2) f</v>
          </cell>
          <cell r="B814" t="str">
            <v>Removing, cleaning, and relaying salvaged culvert pipe 1520 mm dia.</v>
          </cell>
          <cell r="C814" t="str">
            <v>Linear Meter</v>
          </cell>
          <cell r="D814" t="str">
            <v>l.m.</v>
          </cell>
        </row>
        <row r="815">
          <cell r="A815" t="str">
            <v>504 (3) a</v>
          </cell>
          <cell r="B815" t="str">
            <v>Cleaning culvert pipe in place 610 mm dia., half-silted</v>
          </cell>
          <cell r="C815" t="str">
            <v>Linear Meter</v>
          </cell>
          <cell r="D815" t="str">
            <v>l.m.</v>
          </cell>
        </row>
        <row r="816">
          <cell r="A816" t="str">
            <v>504 (3) b</v>
          </cell>
          <cell r="B816" t="str">
            <v>Cleaning culvert pipe in place 760 mm dia., half-silted</v>
          </cell>
          <cell r="C816" t="str">
            <v>Linear Meter</v>
          </cell>
          <cell r="D816" t="str">
            <v>l.m.</v>
          </cell>
        </row>
        <row r="817">
          <cell r="A817" t="str">
            <v>504 (3) c</v>
          </cell>
          <cell r="B817" t="str">
            <v>Cleaning culvert pipe in place 910 mm dia., half-silted</v>
          </cell>
          <cell r="C817" t="str">
            <v>Linear Meter</v>
          </cell>
          <cell r="D817" t="str">
            <v>l.m.</v>
          </cell>
        </row>
        <row r="818">
          <cell r="A818" t="str">
            <v>504 (3) d</v>
          </cell>
          <cell r="B818" t="str">
            <v>Cleaning culvert pipe in place 1070 mm dia., half-silted</v>
          </cell>
          <cell r="C818" t="str">
            <v>Linear Meter</v>
          </cell>
          <cell r="D818" t="str">
            <v>l.m.</v>
          </cell>
        </row>
        <row r="819">
          <cell r="A819" t="str">
            <v>504 (3) e</v>
          </cell>
          <cell r="B819" t="str">
            <v>Cleaning culvert pipe in place 1220 mm dia., half-silted</v>
          </cell>
          <cell r="C819" t="str">
            <v>Linear Meter</v>
          </cell>
          <cell r="D819" t="str">
            <v>l.m.</v>
          </cell>
        </row>
        <row r="820">
          <cell r="A820" t="str">
            <v>504 (3) f</v>
          </cell>
          <cell r="B820" t="str">
            <v>Cleaning culvert pipe in place 1520 mm dia., half-silted</v>
          </cell>
          <cell r="C820" t="str">
            <v>Linear Meter</v>
          </cell>
          <cell r="D820" t="str">
            <v>l.m.</v>
          </cell>
        </row>
        <row r="821">
          <cell r="A821" t="str">
            <v>504 (4)</v>
          </cell>
          <cell r="B821" t="str">
            <v>Reconditioning drainage structures</v>
          </cell>
          <cell r="C821" t="str">
            <v>Each</v>
          </cell>
          <cell r="D821" t="str">
            <v>each</v>
          </cell>
        </row>
        <row r="822">
          <cell r="A822" t="str">
            <v>504 (5)</v>
          </cell>
          <cell r="B822" t="str">
            <v>Cleaning/Reconditioning of drainage structures</v>
          </cell>
          <cell r="C822" t="str">
            <v>Lump Sum</v>
          </cell>
          <cell r="D822" t="str">
            <v>ls</v>
          </cell>
        </row>
        <row r="823">
          <cell r="A823" t="str">
            <v>505 (1) a</v>
          </cell>
          <cell r="B823" t="str">
            <v>Riprap Class A</v>
          </cell>
          <cell r="C823" t="str">
            <v>Cubic Meter</v>
          </cell>
          <cell r="D823" t="str">
            <v>cu. m.</v>
          </cell>
        </row>
        <row r="824">
          <cell r="A824" t="str">
            <v>505 (1) b</v>
          </cell>
          <cell r="B824" t="str">
            <v>Riprap Class B</v>
          </cell>
          <cell r="C824" t="str">
            <v>Cubic Meter</v>
          </cell>
          <cell r="D824" t="str">
            <v>cu. m.</v>
          </cell>
        </row>
        <row r="825">
          <cell r="A825" t="str">
            <v>505 (1) c</v>
          </cell>
          <cell r="B825" t="str">
            <v>Riprap Class C</v>
          </cell>
          <cell r="C825" t="str">
            <v>Cubic Meter</v>
          </cell>
          <cell r="D825" t="str">
            <v>cu. m.</v>
          </cell>
        </row>
        <row r="826">
          <cell r="A826" t="str">
            <v>505 (1) d</v>
          </cell>
          <cell r="B826" t="str">
            <v>Riprap Class D</v>
          </cell>
          <cell r="C826" t="str">
            <v>Cubic Meter</v>
          </cell>
          <cell r="D826" t="str">
            <v>cu. m.</v>
          </cell>
        </row>
        <row r="827">
          <cell r="A827" t="str">
            <v>505 (2) a</v>
          </cell>
          <cell r="B827" t="str">
            <v>Grouted Riprap Class A</v>
          </cell>
          <cell r="C827" t="str">
            <v>Cubic Meter</v>
          </cell>
          <cell r="D827" t="str">
            <v>cu. m.</v>
          </cell>
        </row>
        <row r="828">
          <cell r="A828" t="str">
            <v>505 (2) b</v>
          </cell>
          <cell r="B828" t="str">
            <v>Grouted Riprap Class B</v>
          </cell>
          <cell r="C828" t="str">
            <v>Cubic Meter</v>
          </cell>
          <cell r="D828" t="str">
            <v>cu. m.</v>
          </cell>
        </row>
        <row r="829">
          <cell r="A829" t="str">
            <v>505 (2) c</v>
          </cell>
          <cell r="B829" t="str">
            <v>Grouted Riprap Class C</v>
          </cell>
          <cell r="C829" t="str">
            <v>Cubic Meter</v>
          </cell>
          <cell r="D829" t="str">
            <v>cu. m.</v>
          </cell>
        </row>
        <row r="830">
          <cell r="A830" t="str">
            <v>505 (2) d</v>
          </cell>
          <cell r="B830" t="str">
            <v>Grouted Riprap Class D</v>
          </cell>
          <cell r="C830" t="str">
            <v>Cubic Meter</v>
          </cell>
          <cell r="D830" t="str">
            <v>cu. m.</v>
          </cell>
        </row>
        <row r="831">
          <cell r="A831" t="str">
            <v>505 (3)</v>
          </cell>
          <cell r="B831" t="str">
            <v>Filter layer of granular material</v>
          </cell>
          <cell r="C831" t="str">
            <v>Cubic Meter</v>
          </cell>
          <cell r="D831" t="str">
            <v>cu. m.</v>
          </cell>
        </row>
        <row r="832">
          <cell r="A832" t="str">
            <v>506 (1)</v>
          </cell>
          <cell r="B832" t="str">
            <v>Stone Masonry</v>
          </cell>
          <cell r="C832" t="str">
            <v>Cubic Meter</v>
          </cell>
          <cell r="D832" t="str">
            <v>cu. m.</v>
          </cell>
        </row>
        <row r="833">
          <cell r="A833" t="str">
            <v>507 (1)</v>
          </cell>
          <cell r="B833" t="str">
            <v>Rubble Concrete</v>
          </cell>
          <cell r="C833" t="str">
            <v>Cubic Meter</v>
          </cell>
          <cell r="D833" t="str">
            <v>cu. m.</v>
          </cell>
        </row>
        <row r="834">
          <cell r="A834" t="str">
            <v>508 (1)</v>
          </cell>
          <cell r="B834" t="str">
            <v>Hand-Laid Rock Embankment</v>
          </cell>
          <cell r="C834" t="str">
            <v>Cubic Meter</v>
          </cell>
          <cell r="D834" t="str">
            <v>cu. m.</v>
          </cell>
        </row>
        <row r="835">
          <cell r="A835" t="str">
            <v>509 (1) a1</v>
          </cell>
          <cell r="B835" t="str">
            <v>Sheet Piles Timber Furnished and Driven</v>
          </cell>
          <cell r="C835" t="str">
            <v>Linear Meter</v>
          </cell>
          <cell r="D835" t="str">
            <v>l.m.</v>
          </cell>
        </row>
        <row r="836">
          <cell r="A836" t="str">
            <v>509 (1) b1</v>
          </cell>
          <cell r="B836" t="str">
            <v>Sheet Piles Steel Slope Protection</v>
          </cell>
          <cell r="C836" t="str">
            <v>Linear Meter</v>
          </cell>
          <cell r="D836" t="str">
            <v>l.m.</v>
          </cell>
        </row>
        <row r="837">
          <cell r="A837" t="str">
            <v>509 (1) b2</v>
          </cell>
          <cell r="B837" t="str">
            <v>Sheet Piles Steel Cofferdamming</v>
          </cell>
          <cell r="C837" t="str">
            <v>Linear Meter</v>
          </cell>
          <cell r="D837" t="str">
            <v>l.m.</v>
          </cell>
        </row>
        <row r="838">
          <cell r="A838" t="str">
            <v>509 (1) c1</v>
          </cell>
          <cell r="B838" t="str">
            <v>Sheet Piles Concrete Furnished</v>
          </cell>
          <cell r="C838" t="str">
            <v>Linear Meter</v>
          </cell>
          <cell r="D838" t="str">
            <v>l.m.</v>
          </cell>
        </row>
        <row r="839">
          <cell r="A839" t="str">
            <v>509 (1) c2</v>
          </cell>
          <cell r="B839" t="str">
            <v>Sheet Piles Concrete Driven</v>
          </cell>
          <cell r="C839" t="str">
            <v>Linear Meter</v>
          </cell>
          <cell r="D839" t="str">
            <v>l.m.</v>
          </cell>
        </row>
        <row r="840">
          <cell r="A840" t="str">
            <v>509 (1) c3</v>
          </cell>
          <cell r="B840" t="str">
            <v>Sheet Piles Concrete Furnished and Driven</v>
          </cell>
          <cell r="C840" t="str">
            <v>Linear Meter</v>
          </cell>
          <cell r="D840" t="str">
            <v>l.m.</v>
          </cell>
        </row>
        <row r="841">
          <cell r="A841" t="str">
            <v>509 (1) d1</v>
          </cell>
          <cell r="B841" t="str">
            <v>Sheet Piles PVC Furnished</v>
          </cell>
          <cell r="C841" t="str">
            <v>Linear Meter</v>
          </cell>
          <cell r="D841" t="str">
            <v>l.m.</v>
          </cell>
        </row>
        <row r="842">
          <cell r="A842" t="str">
            <v>509 (1) d2</v>
          </cell>
          <cell r="B842" t="str">
            <v>Sheet Piles PVC Driven</v>
          </cell>
          <cell r="C842" t="str">
            <v>Linear Meter</v>
          </cell>
          <cell r="D842" t="str">
            <v>l.m.</v>
          </cell>
        </row>
        <row r="843">
          <cell r="A843" t="str">
            <v>510 (1)</v>
          </cell>
          <cell r="B843" t="str">
            <v>Bed Course Granular Material Concrete</v>
          </cell>
          <cell r="C843" t="str">
            <v>Cubic Meter</v>
          </cell>
          <cell r="D843" t="str">
            <v>cu. m.</v>
          </cell>
        </row>
        <row r="844">
          <cell r="A844" t="str">
            <v>510 (2)</v>
          </cell>
          <cell r="B844" t="str">
            <v>Concrete Slope Protection</v>
          </cell>
          <cell r="C844" t="str">
            <v>Cubic Meter</v>
          </cell>
          <cell r="D844" t="str">
            <v>cu. m.</v>
          </cell>
        </row>
        <row r="845">
          <cell r="A845" t="str">
            <v>511 (1) a1</v>
          </cell>
          <cell r="B845" t="str">
            <v>Gabions 0.5m x 1m x 3m Metallic Coated</v>
          </cell>
          <cell r="C845" t="str">
            <v>Cubic Meter</v>
          </cell>
          <cell r="D845" t="str">
            <v>cu. m.</v>
          </cell>
        </row>
        <row r="846">
          <cell r="A846" t="str">
            <v>511 (1) a2</v>
          </cell>
          <cell r="B846" t="str">
            <v>Gabions 0.5m x 1m x 4m Metallic Coated</v>
          </cell>
          <cell r="C846" t="str">
            <v>Cubic Meter</v>
          </cell>
          <cell r="D846" t="str">
            <v>cu. m.</v>
          </cell>
        </row>
        <row r="847">
          <cell r="A847" t="str">
            <v>511 (1) a3</v>
          </cell>
          <cell r="B847" t="str">
            <v>Gabions 1m x 1m x 2m Metallic Coated</v>
          </cell>
          <cell r="C847" t="str">
            <v>Cubic Meter</v>
          </cell>
          <cell r="D847" t="str">
            <v>cu. m.</v>
          </cell>
        </row>
        <row r="848">
          <cell r="A848" t="str">
            <v>511 (1) a4</v>
          </cell>
          <cell r="B848" t="str">
            <v>Gabions 1m x 1m x 3m Metallic Coated</v>
          </cell>
          <cell r="C848" t="str">
            <v>Cubic Meter</v>
          </cell>
          <cell r="D848" t="str">
            <v>cu. m.</v>
          </cell>
        </row>
        <row r="849">
          <cell r="A849" t="str">
            <v>511 (1) a5</v>
          </cell>
          <cell r="B849" t="str">
            <v>Gabions 1m x 1m x 4m Metallic Coated</v>
          </cell>
          <cell r="C849" t="str">
            <v>Cubic Meter</v>
          </cell>
          <cell r="D849" t="str">
            <v>cu. m.</v>
          </cell>
        </row>
        <row r="850">
          <cell r="A850" t="str">
            <v>511 (1) a6</v>
          </cell>
          <cell r="B850" t="str">
            <v>Gabions 0.5m x 1m x 2m Metallic Coated</v>
          </cell>
          <cell r="C850" t="str">
            <v>Cubic Meter</v>
          </cell>
          <cell r="D850" t="str">
            <v>cu. m.</v>
          </cell>
        </row>
        <row r="851">
          <cell r="A851" t="str">
            <v>511 (1) b1</v>
          </cell>
          <cell r="B851" t="str">
            <v>Gabions 0.5m x 1m x 3m PVC Coated</v>
          </cell>
          <cell r="C851" t="str">
            <v>Cubic Meter</v>
          </cell>
          <cell r="D851" t="str">
            <v>cu. m.</v>
          </cell>
        </row>
        <row r="852">
          <cell r="A852" t="str">
            <v>511 (1) b2</v>
          </cell>
          <cell r="B852" t="str">
            <v>Gabions 0.5m x 1m x 4m PVC Coated</v>
          </cell>
          <cell r="C852" t="str">
            <v>Cubic Meter</v>
          </cell>
          <cell r="D852" t="str">
            <v>cu. m.</v>
          </cell>
        </row>
        <row r="853">
          <cell r="A853" t="str">
            <v>511 (1) b3</v>
          </cell>
          <cell r="B853" t="str">
            <v>Gabions 1m x 1m x 2m PVC Coated</v>
          </cell>
          <cell r="C853" t="str">
            <v>Cubic Meter</v>
          </cell>
          <cell r="D853" t="str">
            <v>cu. m.</v>
          </cell>
        </row>
        <row r="854">
          <cell r="A854" t="str">
            <v>511 (1) b4</v>
          </cell>
          <cell r="B854" t="str">
            <v>Gabions 1m x 1m x 3m PVC Coated</v>
          </cell>
          <cell r="C854" t="str">
            <v>Cubic Meter</v>
          </cell>
          <cell r="D854" t="str">
            <v>cu. m.</v>
          </cell>
        </row>
        <row r="855">
          <cell r="A855" t="str">
            <v>511 (1) b5</v>
          </cell>
          <cell r="B855" t="str">
            <v>Gabions 1m x 1m x 4m PVC Coated</v>
          </cell>
          <cell r="C855" t="str">
            <v>Cubic Meter</v>
          </cell>
          <cell r="D855" t="str">
            <v>cu. m.</v>
          </cell>
        </row>
        <row r="856">
          <cell r="A856" t="str">
            <v>511 (1) b6</v>
          </cell>
          <cell r="B856" t="str">
            <v>Gabions 0.5m x 1m x 2m PVC Coated</v>
          </cell>
          <cell r="C856" t="str">
            <v>Cubic Meter</v>
          </cell>
          <cell r="D856" t="str">
            <v>cu. m.</v>
          </cell>
        </row>
        <row r="857">
          <cell r="A857" t="str">
            <v>511 (2) a1</v>
          </cell>
          <cell r="B857" t="str">
            <v>Mattresses 0.3m x 2m x 6m Metallic Coated</v>
          </cell>
          <cell r="C857" t="str">
            <v>Cubic Meter</v>
          </cell>
          <cell r="D857" t="str">
            <v>cu. m.</v>
          </cell>
        </row>
        <row r="858">
          <cell r="A858" t="str">
            <v>511 (2) a2</v>
          </cell>
          <cell r="B858" t="str">
            <v>Mattresses 0.3m x 2m x 6m PVC Coated</v>
          </cell>
          <cell r="C858" t="str">
            <v>Cubic Meter</v>
          </cell>
          <cell r="D858" t="str">
            <v>cu. m.</v>
          </cell>
        </row>
        <row r="859">
          <cell r="A859" t="str">
            <v>511 (3)</v>
          </cell>
          <cell r="B859" t="str">
            <v>Filter Cloth</v>
          </cell>
          <cell r="C859" t="str">
            <v>Square Meter</v>
          </cell>
          <cell r="D859" t="str">
            <v>sq. m.</v>
          </cell>
        </row>
        <row r="860">
          <cell r="A860" t="str">
            <v>511 (4) a1</v>
          </cell>
          <cell r="B860" t="str">
            <v>Polyester Net Gabion 1 tonne Type I</v>
          </cell>
          <cell r="C860" t="str">
            <v>Each</v>
          </cell>
          <cell r="D860" t="str">
            <v>each</v>
          </cell>
        </row>
        <row r="861">
          <cell r="A861" t="str">
            <v>511 (4) a2</v>
          </cell>
          <cell r="B861" t="str">
            <v>Polyester Net Gabion 2 tonnes Type I</v>
          </cell>
          <cell r="C861" t="str">
            <v>Each</v>
          </cell>
          <cell r="D861" t="str">
            <v>each</v>
          </cell>
        </row>
        <row r="862">
          <cell r="A862" t="str">
            <v>511 (4) a3</v>
          </cell>
          <cell r="B862" t="str">
            <v>Polyester Net Gabion 3 tonnes Type I</v>
          </cell>
          <cell r="C862" t="str">
            <v>Each</v>
          </cell>
          <cell r="D862" t="str">
            <v>each</v>
          </cell>
        </row>
        <row r="863">
          <cell r="A863" t="str">
            <v>511 (4) a4</v>
          </cell>
          <cell r="B863" t="str">
            <v>Polyester Net Gabion 4 tonnes Type I</v>
          </cell>
          <cell r="C863" t="str">
            <v>Each</v>
          </cell>
          <cell r="D863" t="str">
            <v>each</v>
          </cell>
        </row>
        <row r="864">
          <cell r="A864" t="str">
            <v>511 (4) b1</v>
          </cell>
          <cell r="B864" t="str">
            <v>Polyester Net Gabion 1 tonne Type II</v>
          </cell>
          <cell r="C864" t="str">
            <v>Each</v>
          </cell>
          <cell r="D864" t="str">
            <v>each</v>
          </cell>
        </row>
        <row r="865">
          <cell r="A865" t="str">
            <v>511 (4) b2</v>
          </cell>
          <cell r="B865" t="str">
            <v>Polyester Net Gabion 2 tonnes Type II</v>
          </cell>
          <cell r="C865" t="str">
            <v>Each</v>
          </cell>
          <cell r="D865" t="str">
            <v>each</v>
          </cell>
        </row>
        <row r="866">
          <cell r="A866" t="str">
            <v>511 (4) b3</v>
          </cell>
          <cell r="B866" t="str">
            <v>Polyester Net Gabion 3 tonnes Type II</v>
          </cell>
          <cell r="C866" t="str">
            <v>Each</v>
          </cell>
          <cell r="D866" t="str">
            <v>each</v>
          </cell>
        </row>
        <row r="867">
          <cell r="A867" t="str">
            <v>511 (4) b4</v>
          </cell>
          <cell r="B867" t="str">
            <v>Polyester Net Gabion 4 tonnes Type II</v>
          </cell>
          <cell r="C867" t="str">
            <v>Each</v>
          </cell>
          <cell r="D867" t="str">
            <v>each</v>
          </cell>
        </row>
        <row r="868">
          <cell r="A868" t="str">
            <v>511 (4) b5</v>
          </cell>
          <cell r="B868" t="str">
            <v>Polyester Net Gabion 5 tonnes Type II</v>
          </cell>
          <cell r="C868" t="str">
            <v>Each</v>
          </cell>
          <cell r="D868" t="str">
            <v>each</v>
          </cell>
        </row>
        <row r="869">
          <cell r="A869" t="str">
            <v>511 (4) b6</v>
          </cell>
          <cell r="B869" t="str">
            <v>Polyester Net Gabion 6 tonnes Type II</v>
          </cell>
          <cell r="C869" t="str">
            <v>Each</v>
          </cell>
          <cell r="D869" t="str">
            <v>each</v>
          </cell>
        </row>
        <row r="870">
          <cell r="A870" t="str">
            <v>512 (1) a</v>
          </cell>
          <cell r="B870" t="str">
            <v>Erosion Control Mat Type 1</v>
          </cell>
          <cell r="C870" t="str">
            <v>Square Meter</v>
          </cell>
          <cell r="D870" t="str">
            <v>sq. m.</v>
          </cell>
        </row>
        <row r="871">
          <cell r="A871" t="str">
            <v>512 (1) b</v>
          </cell>
          <cell r="B871" t="str">
            <v>Erosion Control Mat Type 2</v>
          </cell>
          <cell r="C871" t="str">
            <v>Square Meter</v>
          </cell>
          <cell r="D871" t="str">
            <v>sq. m.</v>
          </cell>
        </row>
        <row r="872">
          <cell r="A872" t="str">
            <v>512 (1) c</v>
          </cell>
          <cell r="B872" t="str">
            <v>Erosion Control Mat Type 3</v>
          </cell>
          <cell r="C872" t="str">
            <v>Square Meter</v>
          </cell>
          <cell r="D872" t="str">
            <v>sq. m.</v>
          </cell>
        </row>
        <row r="873">
          <cell r="A873" t="str">
            <v>512 (1) d</v>
          </cell>
          <cell r="B873" t="str">
            <v>Erosion Control Mat Type 4</v>
          </cell>
          <cell r="C873" t="str">
            <v>Square Meter</v>
          </cell>
          <cell r="D873" t="str">
            <v>sq. m.</v>
          </cell>
        </row>
        <row r="874">
          <cell r="A874" t="str">
            <v>512 (1) e</v>
          </cell>
          <cell r="B874" t="str">
            <v>Erosion Control Mat Type 5</v>
          </cell>
          <cell r="C874" t="str">
            <v>Square Meter</v>
          </cell>
          <cell r="D874" t="str">
            <v>sq. m.</v>
          </cell>
        </row>
        <row r="875">
          <cell r="A875" t="str">
            <v>512 (2)</v>
          </cell>
          <cell r="B875" t="str">
            <v>Roving</v>
          </cell>
          <cell r="C875" t="str">
            <v>Square Meter</v>
          </cell>
          <cell r="D875" t="str">
            <v>sq. m.</v>
          </cell>
        </row>
        <row r="876">
          <cell r="A876" t="str">
            <v>512 (3)</v>
          </cell>
          <cell r="B876" t="str">
            <v>Cellular Confinement Systems</v>
          </cell>
          <cell r="C876" t="str">
            <v>Square Meter</v>
          </cell>
          <cell r="D876" t="str">
            <v>sq. m.</v>
          </cell>
        </row>
        <row r="877">
          <cell r="A877" t="str">
            <v>513 (1)</v>
          </cell>
          <cell r="B877" t="str">
            <v>Permanent Ground Anchor</v>
          </cell>
          <cell r="C877" t="str">
            <v>Square Meter</v>
          </cell>
          <cell r="D877" t="str">
            <v>sq. m.</v>
          </cell>
        </row>
        <row r="878">
          <cell r="A878" t="str">
            <v>514 (1)</v>
          </cell>
          <cell r="B878" t="str">
            <v>Shotcrete with reinforcing steel</v>
          </cell>
          <cell r="C878" t="str">
            <v>Square Meter</v>
          </cell>
          <cell r="D878" t="str">
            <v>sq. m.</v>
          </cell>
        </row>
        <row r="879">
          <cell r="A879" t="str">
            <v>514 (2)</v>
          </cell>
          <cell r="B879" t="str">
            <v>Shotcrete with reinforcing fibers</v>
          </cell>
          <cell r="C879" t="str">
            <v>Square Meter</v>
          </cell>
          <cell r="D879" t="str">
            <v>sq. m.</v>
          </cell>
        </row>
        <row r="880">
          <cell r="A880" t="str">
            <v>515 (1)</v>
          </cell>
          <cell r="B880" t="str">
            <v>Mechanically-Stabilized Earth (MSE) Retaining Walls</v>
          </cell>
          <cell r="C880" t="str">
            <v>Square Meter</v>
          </cell>
          <cell r="D880" t="str">
            <v>sq. m.</v>
          </cell>
        </row>
        <row r="881">
          <cell r="A881" t="str">
            <v>515 (2)</v>
          </cell>
          <cell r="B881" t="str">
            <v>Select Granular Backfill</v>
          </cell>
          <cell r="C881" t="str">
            <v>Cubic Meter</v>
          </cell>
          <cell r="D881" t="str">
            <v>cu. m.</v>
          </cell>
        </row>
        <row r="882">
          <cell r="A882" t="str">
            <v>515 (3)</v>
          </cell>
          <cell r="B882" t="str">
            <v>Structural Backfill</v>
          </cell>
          <cell r="C882" t="str">
            <v>Cubic Meter</v>
          </cell>
          <cell r="D882" t="str">
            <v>cu. m.</v>
          </cell>
        </row>
        <row r="883">
          <cell r="A883" t="str">
            <v>516 (1)</v>
          </cell>
          <cell r="B883" t="str">
            <v>Wet Stone Masonry</v>
          </cell>
          <cell r="C883" t="str">
            <v>Linear Meter</v>
          </cell>
          <cell r="D883" t="str">
            <v>l.m.</v>
          </cell>
        </row>
        <row r="884">
          <cell r="A884" t="str">
            <v>516 (2)</v>
          </cell>
          <cell r="B884" t="str">
            <v>Wet Stone Masonry</v>
          </cell>
          <cell r="C884" t="str">
            <v>Cubic Meter</v>
          </cell>
          <cell r="D884" t="str">
            <v>cu. m.</v>
          </cell>
        </row>
        <row r="885">
          <cell r="A885" t="str">
            <v>517 (1) a</v>
          </cell>
          <cell r="B885" t="str">
            <v>Drain Pipe Galvanized</v>
          </cell>
          <cell r="C885" t="str">
            <v>Linear Meter</v>
          </cell>
          <cell r="D885" t="str">
            <v>l.m.</v>
          </cell>
        </row>
        <row r="886">
          <cell r="A886" t="str">
            <v>517 (1) b</v>
          </cell>
          <cell r="B886" t="str">
            <v>Drain Pipe PVC</v>
          </cell>
          <cell r="C886" t="str">
            <v>Linear Meter</v>
          </cell>
          <cell r="D886" t="str">
            <v>l.m.</v>
          </cell>
        </row>
        <row r="887">
          <cell r="A887" t="str">
            <v>517 (2)</v>
          </cell>
          <cell r="B887" t="str">
            <v>Replacement of Drain Pipe</v>
          </cell>
          <cell r="C887" t="str">
            <v>Lump Sum</v>
          </cell>
          <cell r="D887" t="str">
            <v>ls</v>
          </cell>
        </row>
        <row r="888">
          <cell r="A888" t="str">
            <v>517 (3) a</v>
          </cell>
          <cell r="B888" t="str">
            <v>Deck Drain Type-1 Cast Iron</v>
          </cell>
          <cell r="C888" t="str">
            <v>Each</v>
          </cell>
          <cell r="D888" t="str">
            <v>each</v>
          </cell>
        </row>
        <row r="889">
          <cell r="A889" t="str">
            <v>517 (3) b</v>
          </cell>
          <cell r="B889" t="str">
            <v>Deck Drain Type-2 Cast Iron</v>
          </cell>
          <cell r="C889" t="str">
            <v>Each</v>
          </cell>
          <cell r="D889" t="str">
            <v>each</v>
          </cell>
        </row>
        <row r="890">
          <cell r="A890" t="str">
            <v>520 (1)</v>
          </cell>
          <cell r="B890" t="str">
            <v>Hydroseeding</v>
          </cell>
          <cell r="C890" t="str">
            <v>Square Meter</v>
          </cell>
          <cell r="D890" t="str">
            <v>sq. m.</v>
          </cell>
        </row>
        <row r="891">
          <cell r="A891" t="str">
            <v>522 (1)</v>
          </cell>
          <cell r="B891" t="str">
            <v>Rockfall Netting</v>
          </cell>
          <cell r="C891" t="str">
            <v>Square Meter</v>
          </cell>
          <cell r="D891" t="str">
            <v>sq. m.</v>
          </cell>
        </row>
        <row r="892">
          <cell r="A892" t="str">
            <v>522 (2)</v>
          </cell>
          <cell r="B892" t="str">
            <v>Rockfall Barrier</v>
          </cell>
          <cell r="C892" t="str">
            <v>Linear Meter</v>
          </cell>
          <cell r="D892" t="str">
            <v>l.m.</v>
          </cell>
        </row>
        <row r="893">
          <cell r="A893" t="str">
            <v>522A (1)</v>
          </cell>
          <cell r="B893" t="str">
            <v>Active Protection System</v>
          </cell>
          <cell r="C893" t="str">
            <v>Square Meter</v>
          </cell>
          <cell r="D893" t="str">
            <v>sq. m.</v>
          </cell>
        </row>
        <row r="894">
          <cell r="A894" t="str">
            <v>522A (2)</v>
          </cell>
          <cell r="B894" t="str">
            <v>Passive/Rockfall Barrier</v>
          </cell>
          <cell r="C894" t="str">
            <v>Linear Meter</v>
          </cell>
          <cell r="D894" t="str">
            <v>l.m.</v>
          </cell>
        </row>
        <row r="895">
          <cell r="A895" t="str">
            <v>522B (1)</v>
          </cell>
          <cell r="B895" t="str">
            <v>Landslide Protection System</v>
          </cell>
          <cell r="C895" t="str">
            <v>Square Meter</v>
          </cell>
          <cell r="D895" t="str">
            <v>sq. m.</v>
          </cell>
        </row>
        <row r="896">
          <cell r="A896" t="str">
            <v>PART H</v>
          </cell>
          <cell r="B896" t="str">
            <v>MISCELLANEOUS STRUCTURES</v>
          </cell>
          <cell r="D896" t="e">
            <v>#N/A</v>
          </cell>
        </row>
        <row r="897">
          <cell r="A897" t="str">
            <v>600 (1)</v>
          </cell>
          <cell r="B897" t="str">
            <v>Concrete Curb Cast in place</v>
          </cell>
          <cell r="C897" t="str">
            <v>Linear Meter</v>
          </cell>
          <cell r="D897" t="str">
            <v>l.m.</v>
          </cell>
        </row>
        <row r="898">
          <cell r="A898" t="str">
            <v>600 (2)</v>
          </cell>
          <cell r="B898" t="str">
            <v>Asphalt Curb Cast in place</v>
          </cell>
          <cell r="C898" t="str">
            <v>Linear Meter</v>
          </cell>
          <cell r="D898" t="str">
            <v>l.m.</v>
          </cell>
        </row>
        <row r="899">
          <cell r="A899" t="str">
            <v>600 (3)</v>
          </cell>
          <cell r="B899" t="str">
            <v>Concrete Gutter Cast in place</v>
          </cell>
          <cell r="C899" t="str">
            <v>Linear Meter</v>
          </cell>
          <cell r="D899" t="str">
            <v>l.m.</v>
          </cell>
        </row>
        <row r="900">
          <cell r="A900" t="str">
            <v>600 (4)</v>
          </cell>
          <cell r="B900" t="str">
            <v>Curb and Gutter Cast in place</v>
          </cell>
          <cell r="C900" t="str">
            <v>Linear Meter</v>
          </cell>
          <cell r="D900" t="str">
            <v>l.m.</v>
          </cell>
        </row>
        <row r="901">
          <cell r="A901" t="str">
            <v>600 (5)</v>
          </cell>
          <cell r="B901" t="str">
            <v>Concrete Curb Precast</v>
          </cell>
          <cell r="C901" t="str">
            <v>Piece</v>
          </cell>
          <cell r="D901" t="str">
            <v>pc</v>
          </cell>
        </row>
        <row r="902">
          <cell r="A902" t="str">
            <v>600 (6)</v>
          </cell>
          <cell r="B902" t="str">
            <v>Concrete Gutter Precast</v>
          </cell>
          <cell r="C902" t="str">
            <v>Piece</v>
          </cell>
          <cell r="D902" t="str">
            <v>pc</v>
          </cell>
        </row>
        <row r="903">
          <cell r="A903" t="str">
            <v>600 (7)</v>
          </cell>
          <cell r="B903" t="str">
            <v>Curb and Gutter Precast</v>
          </cell>
          <cell r="C903" t="str">
            <v>Piece</v>
          </cell>
          <cell r="D903" t="str">
            <v>pc</v>
          </cell>
        </row>
        <row r="904">
          <cell r="A904" t="str">
            <v>601 (1)</v>
          </cell>
          <cell r="B904" t="str">
            <v>Sidewalk 100 mm thk.</v>
          </cell>
          <cell r="C904" t="str">
            <v>Square Meter</v>
          </cell>
          <cell r="D904" t="str">
            <v>sq. m.</v>
          </cell>
        </row>
        <row r="905">
          <cell r="A905" t="str">
            <v>602 (1) a</v>
          </cell>
          <cell r="B905" t="str">
            <v>Right-of-Way monuments Timber</v>
          </cell>
          <cell r="C905" t="str">
            <v>Each</v>
          </cell>
          <cell r="D905" t="str">
            <v>each</v>
          </cell>
        </row>
        <row r="906">
          <cell r="A906" t="str">
            <v>602 (1) b</v>
          </cell>
          <cell r="B906" t="str">
            <v>Right-of-Way monuments Concrete</v>
          </cell>
          <cell r="C906" t="str">
            <v>Each</v>
          </cell>
          <cell r="D906" t="str">
            <v>each</v>
          </cell>
        </row>
        <row r="907">
          <cell r="A907" t="str">
            <v>602 (2) a</v>
          </cell>
          <cell r="B907" t="str">
            <v>Maintenance marker posts Cast-in-place</v>
          </cell>
          <cell r="C907" t="str">
            <v>Each</v>
          </cell>
          <cell r="D907" t="str">
            <v>each</v>
          </cell>
        </row>
        <row r="908">
          <cell r="A908" t="str">
            <v>602 (2) b</v>
          </cell>
          <cell r="B908" t="str">
            <v>Maintenance marker posts Precast</v>
          </cell>
          <cell r="C908" t="str">
            <v>Each</v>
          </cell>
          <cell r="D908" t="str">
            <v>each</v>
          </cell>
        </row>
        <row r="909">
          <cell r="A909" t="str">
            <v>602 (2) c</v>
          </cell>
          <cell r="B909" t="str">
            <v>marker posts Timber</v>
          </cell>
          <cell r="C909" t="str">
            <v>Each</v>
          </cell>
          <cell r="D909" t="str">
            <v>each</v>
          </cell>
        </row>
        <row r="910">
          <cell r="A910" t="str">
            <v>602 (3) a</v>
          </cell>
          <cell r="B910" t="str">
            <v>Kilometer posts Cast-in-place</v>
          </cell>
          <cell r="C910" t="str">
            <v>Each</v>
          </cell>
          <cell r="D910" t="str">
            <v>each</v>
          </cell>
        </row>
        <row r="911">
          <cell r="A911" t="str">
            <v>602 (3) b</v>
          </cell>
          <cell r="B911" t="str">
            <v>Kilometer posts Precast</v>
          </cell>
          <cell r="C911" t="str">
            <v>Each</v>
          </cell>
          <cell r="D911" t="str">
            <v>each</v>
          </cell>
        </row>
        <row r="912">
          <cell r="A912" t="str">
            <v>602 (4) a</v>
          </cell>
          <cell r="B912" t="str">
            <v>Guide Posts 1000±50 high, 100mm±5 wide, 50mm±5 thick, 500mm depth (min) Timber with 3" dia. (75mm) reflector</v>
          </cell>
          <cell r="C912" t="str">
            <v>Each</v>
          </cell>
          <cell r="D912" t="str">
            <v>each</v>
          </cell>
        </row>
        <row r="913">
          <cell r="A913" t="str">
            <v>602 (4) b1</v>
          </cell>
          <cell r="B913" t="str">
            <v>Guide Posts 1000±50 high, 100mm±5 wide, 50mm±5 thick, 350mm depth (min) Flexible Non-timber with 3" dia. (75mm) reflector</v>
          </cell>
          <cell r="C913" t="str">
            <v>Each</v>
          </cell>
          <cell r="D913" t="str">
            <v>each</v>
          </cell>
        </row>
        <row r="914">
          <cell r="A914" t="str">
            <v>602 (4) b2</v>
          </cell>
          <cell r="B914" t="str">
            <v>Guide Posts 1000±50 high, 100mm±5 wide, 50mm±5 thick, 350mm depth (min) Semi-flexible Non-timber with 3" dia. (75mm) reflector</v>
          </cell>
          <cell r="C914" t="str">
            <v>Each</v>
          </cell>
          <cell r="D914" t="str">
            <v>each</v>
          </cell>
        </row>
        <row r="915">
          <cell r="A915" t="str">
            <v>602 (4) b3</v>
          </cell>
          <cell r="B915" t="str">
            <v>Guide Posts 1000±50 high, 100mm±5 wide, 50mm±5 thick, 500mm depth (min) Rigid Non-timber with 3" dia. (75mm) reflector</v>
          </cell>
          <cell r="C915" t="str">
            <v>Each</v>
          </cell>
          <cell r="D915" t="str">
            <v>each</v>
          </cell>
        </row>
        <row r="916">
          <cell r="A916" t="str">
            <v>602 (5)</v>
          </cell>
          <cell r="B916" t="str">
            <v>Precast Guide posts Rectangular</v>
          </cell>
          <cell r="C916" t="str">
            <v>Each</v>
          </cell>
          <cell r="D916" t="str">
            <v>each</v>
          </cell>
        </row>
        <row r="917">
          <cell r="A917" t="str">
            <v>602 (6)</v>
          </cell>
          <cell r="B917" t="str">
            <v>Cast-in-place Guide posts</v>
          </cell>
          <cell r="C917" t="str">
            <v>Each</v>
          </cell>
          <cell r="D917" t="str">
            <v>each</v>
          </cell>
        </row>
        <row r="918">
          <cell r="A918" t="str">
            <v>603 (1)</v>
          </cell>
          <cell r="B918" t="str">
            <v>Guardrail (Wire rope or Wire cable)</v>
          </cell>
          <cell r="C918" t="str">
            <v>Linear Meter</v>
          </cell>
          <cell r="D918" t="str">
            <v>l.m.</v>
          </cell>
        </row>
        <row r="919">
          <cell r="A919" t="str">
            <v>603 (2)</v>
          </cell>
          <cell r="B919" t="str">
            <v>Cable Guardrail (Chain Link Fabric)</v>
          </cell>
          <cell r="C919" t="str">
            <v>Linear Meter</v>
          </cell>
          <cell r="D919" t="str">
            <v>l.m.</v>
          </cell>
        </row>
        <row r="920">
          <cell r="A920" t="str">
            <v>603 (3) a1</v>
          </cell>
          <cell r="B920" t="str">
            <v>Metal Guardrail (Metal Beam) Including Post Single W-Beam</v>
          </cell>
          <cell r="C920" t="str">
            <v>Linear Meter</v>
          </cell>
          <cell r="D920" t="str">
            <v>l.m.</v>
          </cell>
        </row>
        <row r="921">
          <cell r="A921" t="str">
            <v>603 (3) a2</v>
          </cell>
          <cell r="B921" t="str">
            <v>Metal Guardrail (Metal Beam) Including Post Single Thrie-Beam</v>
          </cell>
          <cell r="C921" t="str">
            <v>Linear Meter</v>
          </cell>
          <cell r="D921" t="str">
            <v>l.m.</v>
          </cell>
        </row>
        <row r="922">
          <cell r="A922" t="str">
            <v>603 (3) b1</v>
          </cell>
          <cell r="B922" t="str">
            <v>Metal Guardrail (Metal Beam) Including Post Double W-Beam</v>
          </cell>
          <cell r="C922" t="str">
            <v>Linear Meter</v>
          </cell>
          <cell r="D922" t="str">
            <v>l.m.</v>
          </cell>
        </row>
        <row r="923">
          <cell r="A923" t="str">
            <v>603 (3) b2</v>
          </cell>
          <cell r="B923" t="str">
            <v>Metal Guardrail (Metal Beam) Including Post Double Thrie-Beam</v>
          </cell>
          <cell r="C923" t="str">
            <v>Linear Meter</v>
          </cell>
          <cell r="D923" t="str">
            <v>l.m.</v>
          </cell>
        </row>
        <row r="924">
          <cell r="A924" t="str">
            <v xml:space="preserve">603 (4) a </v>
          </cell>
          <cell r="B924" t="str">
            <v>Metal Beam End Piece Fish Tail</v>
          </cell>
          <cell r="C924" t="str">
            <v>Each</v>
          </cell>
          <cell r="D924" t="str">
            <v>each</v>
          </cell>
        </row>
        <row r="925">
          <cell r="A925" t="str">
            <v>603 (4) b</v>
          </cell>
          <cell r="B925" t="str">
            <v>Metal Beam End Piece Bull Nose</v>
          </cell>
          <cell r="C925" t="str">
            <v>Each</v>
          </cell>
          <cell r="D925" t="str">
            <v>each</v>
          </cell>
        </row>
        <row r="926">
          <cell r="A926" t="str">
            <v>603 (4) c</v>
          </cell>
          <cell r="B926" t="str">
            <v>Metal Beam End Piece Eccentric Loader Breakaway Cable Terminal (ELT)</v>
          </cell>
          <cell r="C926" t="str">
            <v>Each</v>
          </cell>
          <cell r="D926" t="str">
            <v>each</v>
          </cell>
        </row>
        <row r="927">
          <cell r="A927" t="str">
            <v>603 (5)</v>
          </cell>
          <cell r="B927" t="str">
            <v>Guardrail (Timber)</v>
          </cell>
          <cell r="C927" t="str">
            <v>Linear Meter</v>
          </cell>
          <cell r="D927" t="str">
            <v>l.m.</v>
          </cell>
        </row>
        <row r="928">
          <cell r="A928" t="str">
            <v>603 (6) a</v>
          </cell>
          <cell r="B928" t="str">
            <v>Installation of Metal Guardrail (Metal Beam) Including Post W-Beam</v>
          </cell>
          <cell r="C928" t="str">
            <v>Linear Meter</v>
          </cell>
          <cell r="D928" t="str">
            <v>l.m.</v>
          </cell>
        </row>
        <row r="929">
          <cell r="A929" t="str">
            <v>603 (6) b</v>
          </cell>
          <cell r="B929" t="str">
            <v>Installation of Metal Guardrail (Metal Beam) Including Post Thrie-Beam</v>
          </cell>
          <cell r="C929" t="str">
            <v>Linear Meter</v>
          </cell>
          <cell r="D929" t="str">
            <v>l.m.</v>
          </cell>
        </row>
        <row r="930">
          <cell r="A930" t="str">
            <v>604 (1)</v>
          </cell>
          <cell r="B930" t="str">
            <v>Fencing Barbed wire</v>
          </cell>
          <cell r="C930" t="str">
            <v>Linear Meter</v>
          </cell>
          <cell r="D930" t="str">
            <v>l.m.</v>
          </cell>
        </row>
        <row r="931">
          <cell r="A931" t="str">
            <v>604 (2)</v>
          </cell>
          <cell r="B931" t="str">
            <v>Fencing Chain Link Fence Fabric</v>
          </cell>
          <cell r="C931" t="str">
            <v>Linear Meter</v>
          </cell>
          <cell r="D931" t="str">
            <v>l.m.</v>
          </cell>
        </row>
        <row r="932">
          <cell r="A932" t="str">
            <v>604 (3)</v>
          </cell>
          <cell r="B932" t="str">
            <v>Fencing Posts</v>
          </cell>
          <cell r="C932" t="str">
            <v>Each</v>
          </cell>
          <cell r="D932" t="str">
            <v>each</v>
          </cell>
        </row>
        <row r="933">
          <cell r="A933" t="str">
            <v>604 (4)</v>
          </cell>
          <cell r="B933" t="str">
            <v>Fencing Gates</v>
          </cell>
          <cell r="C933" t="str">
            <v>Each</v>
          </cell>
          <cell r="D933" t="str">
            <v>each</v>
          </cell>
        </row>
        <row r="934">
          <cell r="A934" t="str">
            <v>604 (5)</v>
          </cell>
          <cell r="B934" t="str">
            <v>Concrete Fence including Post</v>
          </cell>
          <cell r="C934" t="str">
            <v>Square Meter</v>
          </cell>
          <cell r="D934" t="str">
            <v>sq. m.</v>
          </cell>
        </row>
        <row r="935">
          <cell r="A935" t="str">
            <v>604 (6)</v>
          </cell>
          <cell r="B935" t="str">
            <v>Precast Concrete Fencing including Post</v>
          </cell>
          <cell r="C935" t="str">
            <v>Square Meter</v>
          </cell>
          <cell r="D935" t="str">
            <v>sq. m.</v>
          </cell>
        </row>
        <row r="936">
          <cell r="A936" t="str">
            <v>604 (7)</v>
          </cell>
          <cell r="B936" t="str">
            <v>Precast Concrete Fencing including Post</v>
          </cell>
          <cell r="C936" t="str">
            <v>Each</v>
          </cell>
          <cell r="D936" t="str">
            <v>each</v>
          </cell>
        </row>
        <row r="937">
          <cell r="A937" t="str">
            <v>605 (1) a1</v>
          </cell>
          <cell r="B937" t="str">
            <v>Warning Signs 600 mm W1-1A</v>
          </cell>
          <cell r="C937" t="str">
            <v>Each</v>
          </cell>
          <cell r="D937" t="str">
            <v>each</v>
          </cell>
        </row>
        <row r="938">
          <cell r="A938" t="str">
            <v>605 (1) a2</v>
          </cell>
          <cell r="B938" t="str">
            <v>Warning Signs 750 mm W1-1B</v>
          </cell>
          <cell r="C938" t="str">
            <v>Each</v>
          </cell>
          <cell r="D938" t="str">
            <v>each</v>
          </cell>
        </row>
        <row r="939">
          <cell r="A939" t="str">
            <v>605 (1) a3</v>
          </cell>
          <cell r="B939" t="str">
            <v>Warning Signs 900 mm W1-1C</v>
          </cell>
          <cell r="C939" t="str">
            <v>Each</v>
          </cell>
          <cell r="D939" t="str">
            <v>each</v>
          </cell>
        </row>
        <row r="940">
          <cell r="A940" t="str">
            <v>605 (1) b1</v>
          </cell>
          <cell r="B940" t="str">
            <v>Warning Signs 600 mm W1-2A</v>
          </cell>
          <cell r="C940" t="str">
            <v>Each</v>
          </cell>
          <cell r="D940" t="str">
            <v>each</v>
          </cell>
        </row>
        <row r="941">
          <cell r="A941" t="str">
            <v>605 (1) b2</v>
          </cell>
          <cell r="B941" t="str">
            <v>Warning Signs 750 mm W1-2B</v>
          </cell>
          <cell r="C941" t="str">
            <v>Each</v>
          </cell>
          <cell r="D941" t="str">
            <v>each</v>
          </cell>
        </row>
        <row r="942">
          <cell r="A942" t="str">
            <v>605 (1) b3</v>
          </cell>
          <cell r="B942" t="str">
            <v>Warning Signs 900 mm W1-2C</v>
          </cell>
          <cell r="C942" t="str">
            <v>Each</v>
          </cell>
          <cell r="D942" t="str">
            <v>each</v>
          </cell>
        </row>
        <row r="943">
          <cell r="A943" t="str">
            <v>605 (1) c1</v>
          </cell>
          <cell r="B943" t="str">
            <v>Warning Signs 600 mm W1-3A</v>
          </cell>
          <cell r="C943" t="str">
            <v>Each</v>
          </cell>
          <cell r="D943" t="str">
            <v>each</v>
          </cell>
        </row>
        <row r="944">
          <cell r="A944" t="str">
            <v>605 (1) c2</v>
          </cell>
          <cell r="B944" t="str">
            <v>Warning Signs 750 mm W1-3B</v>
          </cell>
          <cell r="C944" t="str">
            <v>Each</v>
          </cell>
          <cell r="D944" t="str">
            <v>each</v>
          </cell>
        </row>
        <row r="945">
          <cell r="A945" t="str">
            <v>605 (1) c3</v>
          </cell>
          <cell r="B945" t="str">
            <v>Warning Signs 900 mm W1-3C</v>
          </cell>
          <cell r="C945" t="str">
            <v>Each</v>
          </cell>
          <cell r="D945" t="str">
            <v>each</v>
          </cell>
        </row>
        <row r="946">
          <cell r="A946" t="str">
            <v>605 (1) d1</v>
          </cell>
          <cell r="B946" t="str">
            <v>Warning Signs 600 mm W1-4A</v>
          </cell>
          <cell r="C946" t="str">
            <v>Each</v>
          </cell>
          <cell r="D946" t="str">
            <v>each</v>
          </cell>
        </row>
        <row r="947">
          <cell r="A947" t="str">
            <v>605 (1) d2</v>
          </cell>
          <cell r="B947" t="str">
            <v>Warning Signs 750 mm W1-4B</v>
          </cell>
          <cell r="C947" t="str">
            <v>Each</v>
          </cell>
          <cell r="D947" t="str">
            <v>each</v>
          </cell>
        </row>
        <row r="948">
          <cell r="A948" t="str">
            <v>605 (1) d3</v>
          </cell>
          <cell r="B948" t="str">
            <v>Warning Signs 900 mm W1-4C</v>
          </cell>
          <cell r="C948" t="str">
            <v>Each</v>
          </cell>
          <cell r="D948" t="str">
            <v>each</v>
          </cell>
        </row>
        <row r="949">
          <cell r="A949" t="str">
            <v>605 (1) e1</v>
          </cell>
          <cell r="B949" t="str">
            <v>Warning Signs 600 mm W1-5A</v>
          </cell>
          <cell r="C949" t="str">
            <v>Each</v>
          </cell>
          <cell r="D949" t="str">
            <v>each</v>
          </cell>
        </row>
        <row r="950">
          <cell r="A950" t="str">
            <v>605 (1) e2</v>
          </cell>
          <cell r="B950" t="str">
            <v>Warning Signs 750 mm W1-5B</v>
          </cell>
          <cell r="C950" t="str">
            <v>Each</v>
          </cell>
          <cell r="D950" t="str">
            <v>each</v>
          </cell>
        </row>
        <row r="951">
          <cell r="A951" t="str">
            <v>605 (1) f1</v>
          </cell>
          <cell r="B951" t="str">
            <v>Warning Signs 600 mm W1-6A</v>
          </cell>
          <cell r="C951" t="str">
            <v>Each</v>
          </cell>
          <cell r="D951" t="str">
            <v>each</v>
          </cell>
        </row>
        <row r="952">
          <cell r="A952" t="str">
            <v>605 (1) f2</v>
          </cell>
          <cell r="B952" t="str">
            <v>Warning Signs 750 mm W1-6B</v>
          </cell>
          <cell r="C952" t="str">
            <v>Each</v>
          </cell>
          <cell r="D952" t="str">
            <v>each</v>
          </cell>
        </row>
        <row r="953">
          <cell r="A953" t="str">
            <v>605 (1) g1</v>
          </cell>
          <cell r="B953" t="str">
            <v>Warning Signs 450 mm W2-1A</v>
          </cell>
          <cell r="C953" t="str">
            <v>Each</v>
          </cell>
          <cell r="D953" t="str">
            <v>each</v>
          </cell>
        </row>
        <row r="954">
          <cell r="A954" t="str">
            <v>605 (1) g2</v>
          </cell>
          <cell r="B954" t="str">
            <v>Warning Signs 600 mm W2-1B</v>
          </cell>
          <cell r="C954" t="str">
            <v>Each</v>
          </cell>
          <cell r="D954" t="str">
            <v>each</v>
          </cell>
        </row>
        <row r="955">
          <cell r="A955" t="str">
            <v>605 (1) g2</v>
          </cell>
          <cell r="B955" t="str">
            <v>Warning Signs 750 mm W2-1C</v>
          </cell>
          <cell r="C955" t="str">
            <v>Each</v>
          </cell>
          <cell r="D955" t="str">
            <v>each</v>
          </cell>
        </row>
        <row r="956">
          <cell r="A956" t="str">
            <v>605 (1) g4</v>
          </cell>
          <cell r="B956" t="str">
            <v>Warning Signs 900 mm W2-1D</v>
          </cell>
          <cell r="C956" t="str">
            <v>Each</v>
          </cell>
          <cell r="D956" t="str">
            <v>each</v>
          </cell>
        </row>
        <row r="957">
          <cell r="A957" t="str">
            <v>605 (1) h1</v>
          </cell>
          <cell r="B957" t="str">
            <v>Warning Signs 450 mm W2-2A</v>
          </cell>
          <cell r="C957" t="str">
            <v>Each</v>
          </cell>
          <cell r="D957" t="str">
            <v>each</v>
          </cell>
        </row>
        <row r="958">
          <cell r="A958" t="str">
            <v>605 (1) h2</v>
          </cell>
          <cell r="B958" t="str">
            <v>Warning Signs 600 mm W2-2B</v>
          </cell>
          <cell r="C958" t="str">
            <v>Each</v>
          </cell>
          <cell r="D958" t="str">
            <v>each</v>
          </cell>
        </row>
        <row r="959">
          <cell r="A959" t="str">
            <v>605 (1) h3</v>
          </cell>
          <cell r="B959" t="str">
            <v>Warning Signs 750 mm W2-2C</v>
          </cell>
          <cell r="C959" t="str">
            <v>Each</v>
          </cell>
          <cell r="D959" t="str">
            <v>each</v>
          </cell>
        </row>
        <row r="960">
          <cell r="A960" t="str">
            <v>605 (1) h4</v>
          </cell>
          <cell r="B960" t="str">
            <v>Warning Signs 900 mm W2-2D</v>
          </cell>
          <cell r="C960" t="str">
            <v>Each</v>
          </cell>
          <cell r="D960" t="str">
            <v>each</v>
          </cell>
        </row>
        <row r="961">
          <cell r="A961" t="str">
            <v>605 (1) i1</v>
          </cell>
          <cell r="B961" t="str">
            <v>Warning Signs 600 mm W2-3A</v>
          </cell>
          <cell r="C961" t="str">
            <v>Each</v>
          </cell>
          <cell r="D961" t="str">
            <v>each</v>
          </cell>
        </row>
        <row r="962">
          <cell r="A962" t="str">
            <v>605 (1) i2</v>
          </cell>
          <cell r="B962" t="str">
            <v>Warning Signs 750 mm W2-3B</v>
          </cell>
          <cell r="C962" t="str">
            <v>Each</v>
          </cell>
          <cell r="D962" t="str">
            <v>each</v>
          </cell>
        </row>
        <row r="963">
          <cell r="A963" t="str">
            <v>605 (1) i3</v>
          </cell>
          <cell r="B963" t="str">
            <v>Warning Signs 900 mm W2-3C</v>
          </cell>
          <cell r="C963" t="str">
            <v>Each</v>
          </cell>
          <cell r="D963" t="str">
            <v>each</v>
          </cell>
        </row>
        <row r="964">
          <cell r="A964" t="str">
            <v>605 (1) j1</v>
          </cell>
          <cell r="B964" t="str">
            <v>Warning Signs 450 mm W2-4A</v>
          </cell>
          <cell r="C964" t="str">
            <v>Each</v>
          </cell>
          <cell r="D964" t="str">
            <v>each</v>
          </cell>
        </row>
        <row r="965">
          <cell r="A965" t="str">
            <v>605 (1) j2</v>
          </cell>
          <cell r="B965" t="str">
            <v>Warning Signs 600 mm W2-4B</v>
          </cell>
          <cell r="C965" t="str">
            <v>Each</v>
          </cell>
          <cell r="D965" t="str">
            <v>each</v>
          </cell>
        </row>
        <row r="966">
          <cell r="A966" t="str">
            <v>605 (1) j3</v>
          </cell>
          <cell r="B966" t="str">
            <v>Warning Signs 750 mm W2-4C</v>
          </cell>
          <cell r="C966" t="str">
            <v>Each</v>
          </cell>
          <cell r="D966" t="str">
            <v>each</v>
          </cell>
        </row>
        <row r="967">
          <cell r="A967" t="str">
            <v>605 (1) j4</v>
          </cell>
          <cell r="B967" t="str">
            <v>Warning Signs 900 mm W2-4D</v>
          </cell>
          <cell r="C967" t="str">
            <v>Each</v>
          </cell>
          <cell r="D967" t="str">
            <v>each</v>
          </cell>
        </row>
        <row r="968">
          <cell r="A968" t="str">
            <v>605 (1) k1</v>
          </cell>
          <cell r="B968" t="str">
            <v>Warning Signs 450 mm W2-5A</v>
          </cell>
          <cell r="C968" t="str">
            <v>Each</v>
          </cell>
          <cell r="D968" t="str">
            <v>each</v>
          </cell>
        </row>
        <row r="969">
          <cell r="A969" t="str">
            <v>605 (1) k2</v>
          </cell>
          <cell r="B969" t="str">
            <v>Warning Signs 600 mm W2-5B</v>
          </cell>
          <cell r="C969" t="str">
            <v>Each</v>
          </cell>
          <cell r="D969" t="str">
            <v>each</v>
          </cell>
        </row>
        <row r="970">
          <cell r="A970" t="str">
            <v>605 (1) k3</v>
          </cell>
          <cell r="B970" t="str">
            <v>Warning Signs 750 mm W2-5C</v>
          </cell>
          <cell r="C970" t="str">
            <v>Each</v>
          </cell>
          <cell r="D970" t="str">
            <v>each</v>
          </cell>
        </row>
        <row r="971">
          <cell r="A971" t="str">
            <v>605 (1) k4</v>
          </cell>
          <cell r="B971" t="str">
            <v>Warning Signs 900 mm W2-5D</v>
          </cell>
          <cell r="C971" t="str">
            <v>Each</v>
          </cell>
          <cell r="D971" t="str">
            <v>each</v>
          </cell>
        </row>
        <row r="972">
          <cell r="A972" t="str">
            <v>605 (1) l1</v>
          </cell>
          <cell r="B972" t="str">
            <v>Warning Signs 450 mm W2-6A</v>
          </cell>
          <cell r="C972" t="str">
            <v>Each</v>
          </cell>
          <cell r="D972" t="str">
            <v>each</v>
          </cell>
        </row>
        <row r="973">
          <cell r="A973" t="str">
            <v>605 (1) l2</v>
          </cell>
          <cell r="B973" t="str">
            <v>Warning Signs 600 mm W2-6B</v>
          </cell>
          <cell r="C973" t="str">
            <v>Each</v>
          </cell>
          <cell r="D973" t="str">
            <v>each</v>
          </cell>
        </row>
        <row r="974">
          <cell r="A974" t="str">
            <v>605 (1) l3</v>
          </cell>
          <cell r="B974" t="str">
            <v>Warning Signs 750 mm W2-6C</v>
          </cell>
          <cell r="C974" t="str">
            <v>Each</v>
          </cell>
          <cell r="D974" t="str">
            <v>each</v>
          </cell>
        </row>
        <row r="975">
          <cell r="A975" t="str">
            <v>605 (1) l4</v>
          </cell>
          <cell r="B975" t="str">
            <v>Warning Signs 900 mm W2-6D</v>
          </cell>
          <cell r="C975" t="str">
            <v>Each</v>
          </cell>
          <cell r="D975" t="str">
            <v>each</v>
          </cell>
        </row>
        <row r="976">
          <cell r="A976" t="str">
            <v>605 (1) m1</v>
          </cell>
          <cell r="B976" t="str">
            <v>Warning Signs 450 mm W2-7A</v>
          </cell>
          <cell r="C976" t="str">
            <v>Each</v>
          </cell>
          <cell r="D976" t="str">
            <v>each</v>
          </cell>
        </row>
        <row r="977">
          <cell r="A977" t="str">
            <v>605 (1) m2</v>
          </cell>
          <cell r="B977" t="str">
            <v>Warning Signs 600 mm W2-7B</v>
          </cell>
          <cell r="C977" t="str">
            <v>Each</v>
          </cell>
          <cell r="D977" t="str">
            <v>each</v>
          </cell>
        </row>
        <row r="978">
          <cell r="A978" t="str">
            <v>605 (1) m3</v>
          </cell>
          <cell r="B978" t="str">
            <v>Warning Signs 750 mm W2-7C</v>
          </cell>
          <cell r="C978" t="str">
            <v>Each</v>
          </cell>
          <cell r="D978" t="str">
            <v>each</v>
          </cell>
        </row>
        <row r="979">
          <cell r="A979" t="str">
            <v>605 (1) n1</v>
          </cell>
          <cell r="B979" t="str">
            <v>Warning Signs 600 mm W2-8B</v>
          </cell>
          <cell r="C979" t="str">
            <v>Each</v>
          </cell>
          <cell r="D979" t="str">
            <v>each</v>
          </cell>
        </row>
        <row r="980">
          <cell r="A980" t="str">
            <v>605 (1) n2</v>
          </cell>
          <cell r="B980" t="str">
            <v>Warning Signs 750 mm W2-8C</v>
          </cell>
          <cell r="C980" t="str">
            <v>Each</v>
          </cell>
          <cell r="D980" t="str">
            <v>each</v>
          </cell>
        </row>
        <row r="981">
          <cell r="A981" t="str">
            <v>605 (1) n3</v>
          </cell>
          <cell r="B981" t="str">
            <v>Warning Signs 900 mm W2-8D</v>
          </cell>
          <cell r="C981" t="str">
            <v>Each</v>
          </cell>
          <cell r="D981" t="str">
            <v>each</v>
          </cell>
        </row>
        <row r="982">
          <cell r="A982" t="str">
            <v>605 (1) o1</v>
          </cell>
          <cell r="B982" t="str">
            <v>Warning Signs 600 mm W2-9B</v>
          </cell>
          <cell r="C982" t="str">
            <v>Each</v>
          </cell>
          <cell r="D982" t="str">
            <v>each</v>
          </cell>
        </row>
        <row r="983">
          <cell r="A983" t="str">
            <v>605 (1) o1</v>
          </cell>
          <cell r="B983" t="str">
            <v>Warning Signs 750 mm W2-9C</v>
          </cell>
          <cell r="C983" t="str">
            <v>Each</v>
          </cell>
          <cell r="D983" t="str">
            <v>each</v>
          </cell>
        </row>
        <row r="984">
          <cell r="A984" t="str">
            <v>605 (1) o3</v>
          </cell>
          <cell r="B984" t="str">
            <v>Warning Signs 900 mm W2-9D</v>
          </cell>
          <cell r="C984" t="str">
            <v>Each</v>
          </cell>
          <cell r="D984" t="str">
            <v>each</v>
          </cell>
        </row>
        <row r="985">
          <cell r="A985" t="str">
            <v>605 (1) p1</v>
          </cell>
          <cell r="B985" t="str">
            <v>Warning Signs 450 mm W2-10A</v>
          </cell>
          <cell r="C985" t="str">
            <v>Each</v>
          </cell>
          <cell r="D985" t="str">
            <v>each</v>
          </cell>
        </row>
        <row r="986">
          <cell r="A986" t="str">
            <v>605 (1) p2</v>
          </cell>
          <cell r="B986" t="str">
            <v>Warning Signs 600 mm W2-10B</v>
          </cell>
          <cell r="C986" t="str">
            <v>Each</v>
          </cell>
          <cell r="D986" t="str">
            <v>each</v>
          </cell>
        </row>
        <row r="987">
          <cell r="A987" t="str">
            <v>605 (1) p3</v>
          </cell>
          <cell r="B987" t="str">
            <v>Warning Signs 750 mm W2-10C</v>
          </cell>
          <cell r="C987" t="str">
            <v>Each</v>
          </cell>
          <cell r="D987" t="str">
            <v>each</v>
          </cell>
        </row>
        <row r="988">
          <cell r="A988" t="str">
            <v>605 (1) p4</v>
          </cell>
          <cell r="B988" t="str">
            <v>Warning Signs 900 mm W2-10D</v>
          </cell>
          <cell r="C988" t="str">
            <v>Each</v>
          </cell>
          <cell r="D988" t="str">
            <v>each</v>
          </cell>
        </row>
        <row r="989">
          <cell r="A989" t="str">
            <v>605 (1) q1</v>
          </cell>
          <cell r="B989" t="str">
            <v>Warning Signs 600 mm W3-1A</v>
          </cell>
          <cell r="C989" t="str">
            <v>Each</v>
          </cell>
          <cell r="D989" t="str">
            <v>each</v>
          </cell>
        </row>
        <row r="990">
          <cell r="A990" t="str">
            <v>605 (1) q2</v>
          </cell>
          <cell r="B990" t="str">
            <v>Warning Signs 750 mm W3-1B</v>
          </cell>
          <cell r="C990" t="str">
            <v>Each</v>
          </cell>
          <cell r="D990" t="str">
            <v>each</v>
          </cell>
        </row>
        <row r="991">
          <cell r="A991" t="str">
            <v>605 (1) q3</v>
          </cell>
          <cell r="B991" t="str">
            <v>Warning Signs 900 mm W3-1C</v>
          </cell>
          <cell r="C991" t="str">
            <v>Each</v>
          </cell>
          <cell r="D991" t="str">
            <v>each</v>
          </cell>
        </row>
        <row r="992">
          <cell r="A992" t="str">
            <v>605 (1) q4</v>
          </cell>
          <cell r="B992" t="str">
            <v>Warning Signs 1200 mm W3-1D</v>
          </cell>
          <cell r="C992" t="str">
            <v>Each</v>
          </cell>
          <cell r="D992" t="str">
            <v>each</v>
          </cell>
        </row>
        <row r="993">
          <cell r="A993" t="str">
            <v>605 (1) r1</v>
          </cell>
          <cell r="B993" t="str">
            <v>Warning Signs 450 mm W3-2A</v>
          </cell>
          <cell r="C993" t="str">
            <v>Each</v>
          </cell>
          <cell r="D993" t="str">
            <v>each</v>
          </cell>
        </row>
        <row r="994">
          <cell r="A994" t="str">
            <v>605 (1) r2</v>
          </cell>
          <cell r="B994" t="str">
            <v>Warning Signs 600 mm W3-2B</v>
          </cell>
          <cell r="C994" t="str">
            <v>Each</v>
          </cell>
          <cell r="D994" t="str">
            <v>each</v>
          </cell>
        </row>
        <row r="995">
          <cell r="A995" t="str">
            <v>605 (1) s1</v>
          </cell>
          <cell r="B995" t="str">
            <v>Warning Signs 750 mm W3-2C</v>
          </cell>
          <cell r="C995" t="str">
            <v>Each</v>
          </cell>
          <cell r="D995" t="str">
            <v>each</v>
          </cell>
        </row>
        <row r="996">
          <cell r="A996" t="str">
            <v>605 (1) s2</v>
          </cell>
          <cell r="B996" t="str">
            <v>Warning Signs 450 mm W3-3A</v>
          </cell>
          <cell r="C996" t="str">
            <v>Each</v>
          </cell>
          <cell r="D996" t="str">
            <v>each</v>
          </cell>
        </row>
        <row r="997">
          <cell r="A997" t="str">
            <v>605 (1) s3</v>
          </cell>
          <cell r="B997" t="str">
            <v>Warning Signs 600 mm W3-3B</v>
          </cell>
          <cell r="C997" t="str">
            <v>Each</v>
          </cell>
          <cell r="D997" t="str">
            <v>each</v>
          </cell>
        </row>
        <row r="998">
          <cell r="A998" t="str">
            <v>605 (1) s4</v>
          </cell>
          <cell r="B998" t="str">
            <v>Warning Signs 750 mm W3-3C</v>
          </cell>
          <cell r="C998" t="str">
            <v>Each</v>
          </cell>
          <cell r="D998" t="str">
            <v>each</v>
          </cell>
        </row>
        <row r="999">
          <cell r="A999" t="str">
            <v>605 (1) t1</v>
          </cell>
          <cell r="B999" t="str">
            <v>Warning Signs 450 mm W4-1A</v>
          </cell>
          <cell r="C999" t="str">
            <v>Each</v>
          </cell>
          <cell r="D999" t="str">
            <v>each</v>
          </cell>
        </row>
        <row r="1000">
          <cell r="A1000" t="str">
            <v>605 (1) t2</v>
          </cell>
          <cell r="B1000" t="str">
            <v>Warning Signs 600 mm W4-1B</v>
          </cell>
          <cell r="C1000" t="str">
            <v>Each</v>
          </cell>
          <cell r="D1000" t="str">
            <v>each</v>
          </cell>
        </row>
        <row r="1001">
          <cell r="A1001" t="str">
            <v>605 (1) t3</v>
          </cell>
          <cell r="B1001" t="str">
            <v>Warning Signs 750 mm W4-1C</v>
          </cell>
          <cell r="C1001" t="str">
            <v>Each</v>
          </cell>
          <cell r="D1001" t="str">
            <v>each</v>
          </cell>
        </row>
        <row r="1002">
          <cell r="A1002" t="str">
            <v>605 (1) t4</v>
          </cell>
          <cell r="B1002" t="str">
            <v>Warning Signs 450 x 700 mm W4-1PA</v>
          </cell>
          <cell r="C1002" t="str">
            <v>Each</v>
          </cell>
          <cell r="D1002" t="str">
            <v>each</v>
          </cell>
        </row>
        <row r="1003">
          <cell r="A1003" t="str">
            <v>605 (1) t5</v>
          </cell>
          <cell r="B1003" t="str">
            <v>Warning Signs 600 x 900 mm W4-1PB</v>
          </cell>
          <cell r="C1003" t="str">
            <v>Each</v>
          </cell>
          <cell r="D1003" t="str">
            <v>each</v>
          </cell>
        </row>
        <row r="1004">
          <cell r="A1004" t="str">
            <v>605 (1) t6</v>
          </cell>
          <cell r="B1004" t="str">
            <v>Warning Signs 750 x 1200 mm W4-1PC</v>
          </cell>
          <cell r="C1004" t="str">
            <v>Each</v>
          </cell>
          <cell r="D1004" t="str">
            <v>each</v>
          </cell>
        </row>
        <row r="1005">
          <cell r="A1005" t="str">
            <v>605 (1) u1</v>
          </cell>
          <cell r="B1005" t="str">
            <v>Warning Signs 450 mm W4-2A</v>
          </cell>
          <cell r="C1005" t="str">
            <v>Each</v>
          </cell>
          <cell r="D1005" t="str">
            <v>each</v>
          </cell>
        </row>
        <row r="1006">
          <cell r="A1006" t="str">
            <v>605 (1) u2</v>
          </cell>
          <cell r="B1006" t="str">
            <v>Warning Signs 600 mm W4-2B</v>
          </cell>
          <cell r="C1006" t="str">
            <v>Each</v>
          </cell>
          <cell r="D1006" t="str">
            <v>each</v>
          </cell>
        </row>
        <row r="1007">
          <cell r="A1007" t="str">
            <v>605 (1) u3</v>
          </cell>
          <cell r="B1007" t="str">
            <v>Warning Signs 750 mm W4-2C</v>
          </cell>
          <cell r="C1007" t="str">
            <v>Each</v>
          </cell>
          <cell r="D1007" t="str">
            <v>each</v>
          </cell>
        </row>
        <row r="1008">
          <cell r="A1008" t="str">
            <v>605 (1) u4</v>
          </cell>
          <cell r="B1008" t="str">
            <v>Warning Signs 450 x 700 mm W4-2PA</v>
          </cell>
          <cell r="C1008" t="str">
            <v>Each</v>
          </cell>
          <cell r="D1008" t="str">
            <v>each</v>
          </cell>
        </row>
        <row r="1009">
          <cell r="A1009" t="str">
            <v>605 (1) u5</v>
          </cell>
          <cell r="B1009" t="str">
            <v>Warning Signs 600 x 900 mm W4-2PB</v>
          </cell>
          <cell r="C1009" t="str">
            <v>Each</v>
          </cell>
          <cell r="D1009" t="str">
            <v>each</v>
          </cell>
        </row>
        <row r="1010">
          <cell r="A1010" t="str">
            <v>605 (1) u6</v>
          </cell>
          <cell r="B1010" t="str">
            <v>Warning Signs 750 x 1200 mm W4-2PC</v>
          </cell>
          <cell r="C1010" t="str">
            <v>Each</v>
          </cell>
          <cell r="D1010" t="str">
            <v>each</v>
          </cell>
        </row>
        <row r="1011">
          <cell r="A1011" t="str">
            <v>605 (1) v1</v>
          </cell>
          <cell r="B1011" t="str">
            <v>Warning Signs 450 mm W4-3A</v>
          </cell>
          <cell r="C1011" t="str">
            <v>Each</v>
          </cell>
          <cell r="D1011" t="str">
            <v>each</v>
          </cell>
        </row>
        <row r="1012">
          <cell r="A1012" t="str">
            <v>605 (1) v2</v>
          </cell>
          <cell r="B1012" t="str">
            <v>Warning Signs 600 mm W4-3B</v>
          </cell>
          <cell r="C1012" t="str">
            <v>Each</v>
          </cell>
          <cell r="D1012" t="str">
            <v>each</v>
          </cell>
        </row>
        <row r="1013">
          <cell r="A1013" t="str">
            <v>605 (1) v3</v>
          </cell>
          <cell r="B1013" t="str">
            <v>Warning Signs 750 mm W4-3C</v>
          </cell>
          <cell r="C1013" t="str">
            <v>Each</v>
          </cell>
          <cell r="D1013" t="str">
            <v>each</v>
          </cell>
        </row>
        <row r="1014">
          <cell r="A1014" t="str">
            <v>605 (1) v4</v>
          </cell>
          <cell r="B1014" t="str">
            <v>Warning Signs 900 mm W4-3D</v>
          </cell>
          <cell r="C1014" t="str">
            <v>Each</v>
          </cell>
          <cell r="D1014" t="str">
            <v>each</v>
          </cell>
        </row>
        <row r="1015">
          <cell r="A1015" t="str">
            <v>605 (1) w1</v>
          </cell>
          <cell r="B1015" t="str">
            <v>Warning Signs 450 mm W4-4A</v>
          </cell>
          <cell r="C1015" t="str">
            <v>Each</v>
          </cell>
          <cell r="D1015" t="str">
            <v>each</v>
          </cell>
        </row>
        <row r="1016">
          <cell r="A1016" t="str">
            <v>605 (1) w2</v>
          </cell>
          <cell r="B1016" t="str">
            <v>Warning Signs 600 mm W4-4B</v>
          </cell>
          <cell r="C1016" t="str">
            <v>Each</v>
          </cell>
          <cell r="D1016" t="str">
            <v>each</v>
          </cell>
        </row>
        <row r="1017">
          <cell r="A1017" t="str">
            <v>605 (1) w3</v>
          </cell>
          <cell r="B1017" t="str">
            <v>Warning Signs 750 mm W4-4C</v>
          </cell>
          <cell r="C1017" t="str">
            <v>Each</v>
          </cell>
          <cell r="D1017" t="str">
            <v>each</v>
          </cell>
        </row>
        <row r="1018">
          <cell r="A1018" t="str">
            <v>605 (1) w4</v>
          </cell>
          <cell r="B1018" t="str">
            <v>Warning Signs 900 mm W4-4D</v>
          </cell>
          <cell r="C1018" t="str">
            <v>Each</v>
          </cell>
          <cell r="D1018" t="str">
            <v>each</v>
          </cell>
        </row>
        <row r="1019">
          <cell r="A1019" t="str">
            <v>605 (1) x1</v>
          </cell>
          <cell r="B1019" t="str">
            <v>Warning Signs 600 mm W5-1B</v>
          </cell>
          <cell r="C1019" t="str">
            <v>Each</v>
          </cell>
          <cell r="D1019" t="str">
            <v>each</v>
          </cell>
        </row>
        <row r="1020">
          <cell r="A1020" t="str">
            <v>605 (1) x2</v>
          </cell>
          <cell r="B1020" t="str">
            <v>Warning Signs 750 mm W5-1C</v>
          </cell>
          <cell r="C1020" t="str">
            <v>Each</v>
          </cell>
          <cell r="D1020" t="str">
            <v>each</v>
          </cell>
        </row>
        <row r="1021">
          <cell r="A1021" t="str">
            <v>605 (1) y1</v>
          </cell>
          <cell r="B1021" t="str">
            <v>Warning Signs 450 mm W5-2A</v>
          </cell>
          <cell r="C1021" t="str">
            <v>Each</v>
          </cell>
          <cell r="D1021" t="str">
            <v>each</v>
          </cell>
        </row>
        <row r="1022">
          <cell r="A1022" t="str">
            <v>605 (1) y2</v>
          </cell>
          <cell r="B1022" t="str">
            <v>Warning Signs 600 mm W5-2B</v>
          </cell>
          <cell r="C1022" t="str">
            <v>Each</v>
          </cell>
          <cell r="D1022" t="str">
            <v>each</v>
          </cell>
        </row>
        <row r="1023">
          <cell r="A1023" t="str">
            <v>605 (1) y3</v>
          </cell>
          <cell r="B1023" t="str">
            <v>Warning Signs 750 mm W5-2C</v>
          </cell>
          <cell r="C1023" t="str">
            <v>Each</v>
          </cell>
          <cell r="D1023" t="str">
            <v>each</v>
          </cell>
        </row>
        <row r="1024">
          <cell r="A1024" t="str">
            <v>605 (1) y4</v>
          </cell>
          <cell r="B1024" t="str">
            <v>Warning Signs 900 mm W5-2D</v>
          </cell>
          <cell r="C1024" t="str">
            <v>Each</v>
          </cell>
          <cell r="D1024" t="str">
            <v>each</v>
          </cell>
        </row>
        <row r="1025">
          <cell r="A1025" t="str">
            <v>605 (1) z1</v>
          </cell>
          <cell r="B1025" t="str">
            <v>Warning Signs 450 mm W5-3A</v>
          </cell>
          <cell r="C1025" t="str">
            <v>Each</v>
          </cell>
          <cell r="D1025" t="str">
            <v>each</v>
          </cell>
        </row>
        <row r="1026">
          <cell r="A1026" t="str">
            <v>605 (1) z2</v>
          </cell>
          <cell r="B1026" t="str">
            <v>Warning Signs 600 mm W5-3B</v>
          </cell>
          <cell r="C1026" t="str">
            <v>Each</v>
          </cell>
          <cell r="D1026" t="str">
            <v>each</v>
          </cell>
        </row>
        <row r="1027">
          <cell r="A1027" t="str">
            <v>605 (1) z3</v>
          </cell>
          <cell r="B1027" t="str">
            <v>Warning Signs 750 mm W5-3C</v>
          </cell>
          <cell r="C1027" t="str">
            <v>Each</v>
          </cell>
          <cell r="D1027" t="str">
            <v>each</v>
          </cell>
        </row>
        <row r="1028">
          <cell r="A1028" t="str">
            <v>605 (1) z4</v>
          </cell>
          <cell r="B1028" t="str">
            <v>Warning Signs 900 mm W5-3D</v>
          </cell>
          <cell r="C1028" t="str">
            <v>Each</v>
          </cell>
          <cell r="D1028" t="str">
            <v>each</v>
          </cell>
        </row>
        <row r="1029">
          <cell r="A1029" t="str">
            <v>605 (1) aa1</v>
          </cell>
          <cell r="B1029" t="str">
            <v>Warning Signs 600 mm W5-4B</v>
          </cell>
          <cell r="C1029" t="str">
            <v>Each</v>
          </cell>
          <cell r="D1029" t="str">
            <v>each</v>
          </cell>
        </row>
        <row r="1030">
          <cell r="A1030" t="str">
            <v>605 (1) aa2</v>
          </cell>
          <cell r="B1030" t="str">
            <v>Warning Signs 750 mm W5-4C</v>
          </cell>
          <cell r="C1030" t="str">
            <v>Each</v>
          </cell>
          <cell r="D1030" t="str">
            <v>each</v>
          </cell>
        </row>
        <row r="1031">
          <cell r="A1031" t="str">
            <v>605 (1) aa3</v>
          </cell>
          <cell r="B1031" t="str">
            <v>Warning Signs 900 mm W5-4D</v>
          </cell>
          <cell r="C1031" t="str">
            <v>Each</v>
          </cell>
          <cell r="D1031" t="str">
            <v>each</v>
          </cell>
        </row>
        <row r="1032">
          <cell r="A1032" t="str">
            <v>605 (1) ab1</v>
          </cell>
          <cell r="B1032" t="str">
            <v>Warning Signs 450 mm W5-5A</v>
          </cell>
          <cell r="C1032" t="str">
            <v>Each</v>
          </cell>
          <cell r="D1032" t="str">
            <v>each</v>
          </cell>
        </row>
        <row r="1033">
          <cell r="A1033" t="str">
            <v>605 (1) ab2</v>
          </cell>
          <cell r="B1033" t="str">
            <v>Warning Signs 600 mm W5-5B</v>
          </cell>
          <cell r="C1033" t="str">
            <v>Each</v>
          </cell>
          <cell r="D1033" t="str">
            <v>each</v>
          </cell>
        </row>
        <row r="1034">
          <cell r="A1034" t="str">
            <v>605 (1) ab3</v>
          </cell>
          <cell r="B1034" t="str">
            <v>Warning Signs 750 mm W5-5C</v>
          </cell>
          <cell r="C1034" t="str">
            <v>Each</v>
          </cell>
          <cell r="D1034" t="str">
            <v>each</v>
          </cell>
        </row>
        <row r="1035">
          <cell r="A1035" t="str">
            <v>605 (1) ac1</v>
          </cell>
          <cell r="B1035" t="str">
            <v>Warning Signs 450 mm W5-6A</v>
          </cell>
          <cell r="C1035" t="str">
            <v>Each</v>
          </cell>
          <cell r="D1035" t="str">
            <v>each</v>
          </cell>
        </row>
        <row r="1036">
          <cell r="A1036" t="str">
            <v>605 (1) ac2</v>
          </cell>
          <cell r="B1036" t="str">
            <v>Warning Signs 600 mm W5-6B</v>
          </cell>
          <cell r="C1036" t="str">
            <v>Each</v>
          </cell>
          <cell r="D1036" t="str">
            <v>each</v>
          </cell>
        </row>
        <row r="1037">
          <cell r="A1037" t="str">
            <v>605 (1) ac3</v>
          </cell>
          <cell r="B1037" t="str">
            <v>Warning Signs 750 mm W5-6C</v>
          </cell>
          <cell r="C1037" t="str">
            <v>Each</v>
          </cell>
          <cell r="D1037" t="str">
            <v>each</v>
          </cell>
        </row>
        <row r="1038">
          <cell r="A1038" t="str">
            <v>605 (1) ac4</v>
          </cell>
          <cell r="B1038" t="str">
            <v>Warning Signs 900 mm W5-6D</v>
          </cell>
          <cell r="C1038" t="str">
            <v>Each</v>
          </cell>
          <cell r="D1038" t="str">
            <v>each</v>
          </cell>
        </row>
        <row r="1039">
          <cell r="A1039" t="str">
            <v>605 (1) ad1</v>
          </cell>
          <cell r="B1039" t="str">
            <v>Warning Signs 450 mm W5-7A</v>
          </cell>
          <cell r="C1039" t="str">
            <v>Each</v>
          </cell>
          <cell r="D1039" t="str">
            <v>each</v>
          </cell>
        </row>
        <row r="1040">
          <cell r="A1040" t="str">
            <v>605 (1) ad2</v>
          </cell>
          <cell r="B1040" t="str">
            <v>Warning Signs 600 mm W5-7B</v>
          </cell>
          <cell r="C1040" t="str">
            <v>Each</v>
          </cell>
          <cell r="D1040" t="str">
            <v>each</v>
          </cell>
        </row>
        <row r="1041">
          <cell r="A1041" t="str">
            <v>605 (1) ad3</v>
          </cell>
          <cell r="B1041" t="str">
            <v>Warning Signs 750 mm W5-7C</v>
          </cell>
          <cell r="C1041" t="str">
            <v>Each</v>
          </cell>
          <cell r="D1041" t="str">
            <v>each</v>
          </cell>
        </row>
        <row r="1042">
          <cell r="A1042" t="str">
            <v>605 (1) ad4</v>
          </cell>
          <cell r="B1042" t="str">
            <v>Warning Signs 900 mm W5-7D</v>
          </cell>
          <cell r="C1042" t="str">
            <v>Each</v>
          </cell>
          <cell r="D1042" t="str">
            <v>each</v>
          </cell>
        </row>
        <row r="1043">
          <cell r="A1043" t="str">
            <v>605 (1) ae1</v>
          </cell>
          <cell r="B1043" t="str">
            <v>Warning Signs 600 mm W5-8B</v>
          </cell>
          <cell r="C1043" t="str">
            <v>Each</v>
          </cell>
          <cell r="D1043" t="str">
            <v>each</v>
          </cell>
        </row>
        <row r="1044">
          <cell r="A1044" t="str">
            <v>605 (1) ae2</v>
          </cell>
          <cell r="B1044" t="str">
            <v>Warning Signs 750 mm W5-8C</v>
          </cell>
          <cell r="C1044" t="str">
            <v>Each</v>
          </cell>
          <cell r="D1044" t="str">
            <v>each</v>
          </cell>
        </row>
        <row r="1045">
          <cell r="A1045" t="str">
            <v>605 (1) ae3</v>
          </cell>
          <cell r="B1045" t="str">
            <v>Warning Signs 900 mm W5-8D</v>
          </cell>
          <cell r="C1045" t="str">
            <v>Each</v>
          </cell>
          <cell r="D1045" t="str">
            <v>each</v>
          </cell>
        </row>
        <row r="1046">
          <cell r="A1046" t="str">
            <v>605 (1) af1</v>
          </cell>
          <cell r="B1046" t="str">
            <v>Warning Signs 450 mm W5-9A</v>
          </cell>
          <cell r="C1046" t="str">
            <v>Each</v>
          </cell>
          <cell r="D1046" t="str">
            <v>each</v>
          </cell>
        </row>
        <row r="1047">
          <cell r="A1047" t="str">
            <v>605 (1) af2</v>
          </cell>
          <cell r="B1047" t="str">
            <v>Warning Signs 600 mm W5-9B</v>
          </cell>
          <cell r="C1047" t="str">
            <v>Each</v>
          </cell>
          <cell r="D1047" t="str">
            <v>each</v>
          </cell>
        </row>
        <row r="1048">
          <cell r="A1048" t="str">
            <v>605 (1) af3</v>
          </cell>
          <cell r="B1048" t="str">
            <v>Warning Signs 750 mm W5-9C</v>
          </cell>
          <cell r="C1048" t="str">
            <v>Each</v>
          </cell>
          <cell r="D1048" t="str">
            <v>each</v>
          </cell>
        </row>
        <row r="1049">
          <cell r="A1049" t="str">
            <v>605 (1) af4</v>
          </cell>
          <cell r="B1049" t="str">
            <v>Warning Signs 900 mm W5-9D</v>
          </cell>
          <cell r="C1049" t="str">
            <v>Each</v>
          </cell>
          <cell r="D1049" t="str">
            <v>each</v>
          </cell>
        </row>
        <row r="1050">
          <cell r="A1050" t="str">
            <v>605 (1) af5</v>
          </cell>
          <cell r="B1050" t="str">
            <v>Warning Signs 450mm X 700 mm W5-9PA</v>
          </cell>
          <cell r="C1050" t="str">
            <v>Each</v>
          </cell>
          <cell r="D1050" t="str">
            <v>each</v>
          </cell>
        </row>
        <row r="1051">
          <cell r="A1051" t="str">
            <v>605 (1) af6</v>
          </cell>
          <cell r="B1051" t="str">
            <v>Warning Signs 600mm X 900 mm W5-9PB</v>
          </cell>
          <cell r="C1051" t="str">
            <v>Each</v>
          </cell>
          <cell r="D1051" t="str">
            <v>each</v>
          </cell>
        </row>
        <row r="1052">
          <cell r="A1052" t="str">
            <v>605 (1) af7</v>
          </cell>
          <cell r="B1052" t="str">
            <v>Warning Signs 750mm X 1200 mm W5-9PC</v>
          </cell>
          <cell r="C1052" t="str">
            <v>Each</v>
          </cell>
          <cell r="D1052" t="str">
            <v>each</v>
          </cell>
        </row>
        <row r="1053">
          <cell r="A1053" t="str">
            <v>605 (1) ag1</v>
          </cell>
          <cell r="B1053" t="str">
            <v>Warning Signs 600 mm W5-10B</v>
          </cell>
          <cell r="C1053" t="str">
            <v>Each</v>
          </cell>
          <cell r="D1053" t="str">
            <v>each</v>
          </cell>
        </row>
        <row r="1054">
          <cell r="A1054" t="str">
            <v>605 (1) ag2</v>
          </cell>
          <cell r="B1054" t="str">
            <v>Warning Signs 750 mm W5-10C</v>
          </cell>
          <cell r="C1054" t="str">
            <v>Each</v>
          </cell>
          <cell r="D1054" t="str">
            <v>each</v>
          </cell>
        </row>
        <row r="1055">
          <cell r="A1055" t="str">
            <v>605 (1) ag3</v>
          </cell>
          <cell r="B1055" t="str">
            <v>Warning Signs 900 mm W5-10D</v>
          </cell>
          <cell r="C1055" t="str">
            <v>Each</v>
          </cell>
          <cell r="D1055" t="str">
            <v>each</v>
          </cell>
        </row>
        <row r="1056">
          <cell r="A1056" t="str">
            <v>605 (1) ah1</v>
          </cell>
          <cell r="B1056" t="str">
            <v>Warning Signs 450 mm W5-11A</v>
          </cell>
          <cell r="C1056" t="str">
            <v>Each</v>
          </cell>
          <cell r="D1056" t="str">
            <v>each</v>
          </cell>
        </row>
        <row r="1057">
          <cell r="A1057" t="str">
            <v>605 (1) ah2</v>
          </cell>
          <cell r="B1057" t="str">
            <v>Warning Signs 600 mm W5-11B</v>
          </cell>
          <cell r="C1057" t="str">
            <v>Each</v>
          </cell>
          <cell r="D1057" t="str">
            <v>each</v>
          </cell>
        </row>
        <row r="1058">
          <cell r="A1058" t="str">
            <v>605 (1) ah3</v>
          </cell>
          <cell r="B1058" t="str">
            <v>Warning Signs 750 mm W5-11C</v>
          </cell>
          <cell r="C1058" t="str">
            <v>Each</v>
          </cell>
          <cell r="D1058" t="str">
            <v>each</v>
          </cell>
        </row>
        <row r="1059">
          <cell r="A1059" t="str">
            <v>605 (1) ah4</v>
          </cell>
          <cell r="B1059" t="str">
            <v>Warning Signs 900 mm W5-11D</v>
          </cell>
          <cell r="C1059" t="str">
            <v>Each</v>
          </cell>
          <cell r="D1059" t="str">
            <v>each</v>
          </cell>
        </row>
        <row r="1060">
          <cell r="A1060" t="str">
            <v>605 (1) ai1</v>
          </cell>
          <cell r="B1060" t="str">
            <v>Warning Signs 600mm X 600 mm W6-1B</v>
          </cell>
          <cell r="C1060" t="str">
            <v>Each</v>
          </cell>
          <cell r="D1060" t="str">
            <v>each</v>
          </cell>
        </row>
        <row r="1061">
          <cell r="A1061" t="str">
            <v>605 (1) ai2</v>
          </cell>
          <cell r="B1061" t="str">
            <v>Warning Signs 750mm X 750 mm W6-1C</v>
          </cell>
          <cell r="C1061" t="str">
            <v>Each</v>
          </cell>
          <cell r="D1061" t="str">
            <v>each</v>
          </cell>
        </row>
        <row r="1062">
          <cell r="A1062" t="str">
            <v>605 (1) ai3</v>
          </cell>
          <cell r="B1062" t="str">
            <v>Warning Signs 450mm X 750 mm W6-1P</v>
          </cell>
          <cell r="C1062" t="str">
            <v>Each</v>
          </cell>
          <cell r="D1062" t="str">
            <v>each</v>
          </cell>
        </row>
        <row r="1063">
          <cell r="A1063" t="str">
            <v>605 (1) aj1</v>
          </cell>
          <cell r="B1063" t="str">
            <v>Warning Signs 600mm X 600 mm W6-2B</v>
          </cell>
          <cell r="C1063" t="str">
            <v>Each</v>
          </cell>
          <cell r="D1063" t="str">
            <v>each</v>
          </cell>
        </row>
        <row r="1064">
          <cell r="A1064" t="str">
            <v>605 (1) aj2</v>
          </cell>
          <cell r="B1064" t="str">
            <v>Warning Signs 750mm X 750 mm W6-2C</v>
          </cell>
          <cell r="C1064" t="str">
            <v>Each</v>
          </cell>
          <cell r="D1064" t="str">
            <v>each</v>
          </cell>
        </row>
        <row r="1065">
          <cell r="A1065" t="str">
            <v>605 (1) ak1</v>
          </cell>
          <cell r="B1065" t="str">
            <v>Warning Signs 300mm X 450 mm W6-3</v>
          </cell>
          <cell r="C1065" t="str">
            <v>Each</v>
          </cell>
          <cell r="D1065" t="str">
            <v>each</v>
          </cell>
        </row>
        <row r="1066">
          <cell r="A1066" t="str">
            <v>605 (1) al1</v>
          </cell>
          <cell r="B1066" t="str">
            <v>Warning Signs 450mm X 450 mm W6-4A</v>
          </cell>
          <cell r="C1066" t="str">
            <v>Each</v>
          </cell>
          <cell r="D1066" t="str">
            <v>each</v>
          </cell>
        </row>
        <row r="1067">
          <cell r="A1067" t="str">
            <v>605 (1) al2</v>
          </cell>
          <cell r="B1067" t="str">
            <v>Warning Signs 600mm X 600 mm W6-4B</v>
          </cell>
          <cell r="C1067" t="str">
            <v>Each</v>
          </cell>
          <cell r="D1067" t="str">
            <v>each</v>
          </cell>
        </row>
        <row r="1068">
          <cell r="A1068" t="str">
            <v>605 (1) al3</v>
          </cell>
          <cell r="B1068" t="str">
            <v>Warning Signs 750mm X 750 mm W6-4C</v>
          </cell>
          <cell r="C1068" t="str">
            <v>Each</v>
          </cell>
          <cell r="D1068" t="str">
            <v>each</v>
          </cell>
        </row>
        <row r="1069">
          <cell r="A1069" t="str">
            <v>605 (1) am1</v>
          </cell>
          <cell r="B1069" t="str">
            <v>Warning Signs 400mm X 900 mm W6-5A</v>
          </cell>
          <cell r="C1069" t="str">
            <v>Each</v>
          </cell>
          <cell r="D1069" t="str">
            <v>each</v>
          </cell>
        </row>
        <row r="1070">
          <cell r="A1070" t="str">
            <v>605 (1) am2</v>
          </cell>
          <cell r="B1070" t="str">
            <v>Warning Signs 600mm X 900 mm W6-5B</v>
          </cell>
          <cell r="C1070" t="str">
            <v>Each</v>
          </cell>
          <cell r="D1070" t="str">
            <v>each</v>
          </cell>
        </row>
        <row r="1071">
          <cell r="A1071" t="str">
            <v>605 (1) an1</v>
          </cell>
          <cell r="B1071" t="str">
            <v>Warning Signs Railroad Cross Position W7-1</v>
          </cell>
          <cell r="C1071" t="str">
            <v>Each</v>
          </cell>
          <cell r="D1071" t="str">
            <v>each</v>
          </cell>
        </row>
        <row r="1072">
          <cell r="A1072" t="str">
            <v>605 (1) ao1</v>
          </cell>
          <cell r="B1072" t="str">
            <v>Warning Signs 600 mm W7-2B</v>
          </cell>
          <cell r="C1072" t="str">
            <v>Each</v>
          </cell>
          <cell r="D1072" t="str">
            <v>each</v>
          </cell>
        </row>
        <row r="1073">
          <cell r="A1073" t="str">
            <v>605 (1) ao2</v>
          </cell>
          <cell r="B1073" t="str">
            <v>Warning Signs 750 mm W7-2C</v>
          </cell>
          <cell r="C1073" t="str">
            <v>Each</v>
          </cell>
          <cell r="D1073" t="str">
            <v>each</v>
          </cell>
        </row>
        <row r="1074">
          <cell r="A1074" t="str">
            <v>605 (1) ao3</v>
          </cell>
          <cell r="B1074" t="str">
            <v>Warning Signs 900 mm W7-2D</v>
          </cell>
          <cell r="C1074" t="str">
            <v>Each</v>
          </cell>
          <cell r="D1074" t="str">
            <v>each</v>
          </cell>
        </row>
        <row r="1075">
          <cell r="A1075" t="str">
            <v>605 (1) ap1</v>
          </cell>
          <cell r="B1075" t="str">
            <v>Warning Signs 600 mm W7-3B</v>
          </cell>
          <cell r="C1075" t="str">
            <v>Each</v>
          </cell>
          <cell r="D1075" t="str">
            <v>each</v>
          </cell>
        </row>
        <row r="1076">
          <cell r="A1076" t="str">
            <v>605 (1) ap2</v>
          </cell>
          <cell r="B1076" t="str">
            <v>Warning Signs 750 mm W7-3C</v>
          </cell>
          <cell r="C1076" t="str">
            <v>Each</v>
          </cell>
          <cell r="D1076" t="str">
            <v>each</v>
          </cell>
        </row>
        <row r="1077">
          <cell r="A1077" t="str">
            <v>605 (1) ap3</v>
          </cell>
          <cell r="B1077" t="str">
            <v>Warning Signs 900 mm W7-3D</v>
          </cell>
          <cell r="C1077" t="str">
            <v>Each</v>
          </cell>
          <cell r="D1077" t="str">
            <v>each</v>
          </cell>
        </row>
        <row r="1078">
          <cell r="A1078" t="str">
            <v>605 (1) aq1</v>
          </cell>
          <cell r="B1078" t="str">
            <v>Warning Signs 700mm X 900 mm W7-4</v>
          </cell>
          <cell r="C1078" t="str">
            <v>Each</v>
          </cell>
          <cell r="D1078" t="str">
            <v>each</v>
          </cell>
        </row>
        <row r="1079">
          <cell r="A1079" t="str">
            <v>605 (1) ar1</v>
          </cell>
          <cell r="B1079" t="str">
            <v>Warning Signs 600mm X 400 mm W8-1A</v>
          </cell>
          <cell r="C1079" t="str">
            <v>Each</v>
          </cell>
          <cell r="D1079" t="str">
            <v>each</v>
          </cell>
        </row>
        <row r="1080">
          <cell r="A1080" t="str">
            <v>605 (1) ar2</v>
          </cell>
          <cell r="B1080" t="str">
            <v>Warning Signs 750mm X 500 mm W8-1B</v>
          </cell>
          <cell r="C1080" t="str">
            <v>Each</v>
          </cell>
          <cell r="D1080" t="str">
            <v>each</v>
          </cell>
        </row>
        <row r="1081">
          <cell r="A1081" t="str">
            <v>605 (1) ar3</v>
          </cell>
          <cell r="B1081" t="str">
            <v>Warning Signs 900mm X 600 mm W8-1C</v>
          </cell>
          <cell r="C1081" t="str">
            <v>Each</v>
          </cell>
          <cell r="D1081" t="str">
            <v>each</v>
          </cell>
        </row>
        <row r="1082">
          <cell r="A1082" t="str">
            <v>605 (1) as1</v>
          </cell>
          <cell r="B1082" t="str">
            <v>Warning Signs 600mm X 400 mm W8-2A</v>
          </cell>
          <cell r="C1082" t="str">
            <v>Each</v>
          </cell>
          <cell r="D1082" t="str">
            <v>each</v>
          </cell>
        </row>
        <row r="1083">
          <cell r="A1083" t="str">
            <v>605 (1) as2</v>
          </cell>
          <cell r="B1083" t="str">
            <v>Warning Signs 750mm X 500 mm W8-2B</v>
          </cell>
          <cell r="C1083" t="str">
            <v>Each</v>
          </cell>
          <cell r="D1083" t="str">
            <v>each</v>
          </cell>
        </row>
        <row r="1084">
          <cell r="A1084" t="str">
            <v>605 (1) as3</v>
          </cell>
          <cell r="B1084" t="str">
            <v>Warning Signs 900mm X 600 mm W8-2C</v>
          </cell>
          <cell r="C1084" t="str">
            <v>Each</v>
          </cell>
          <cell r="D1084" t="str">
            <v>each</v>
          </cell>
        </row>
        <row r="1085">
          <cell r="A1085" t="str">
            <v>605 (1) at1</v>
          </cell>
          <cell r="B1085" t="str">
            <v>Warning Signs 600mm X 200 mm W8-3A</v>
          </cell>
          <cell r="C1085" t="str">
            <v>Each</v>
          </cell>
          <cell r="D1085" t="str">
            <v>each</v>
          </cell>
        </row>
        <row r="1086">
          <cell r="A1086" t="str">
            <v>605 (1) at2</v>
          </cell>
          <cell r="B1086" t="str">
            <v>Warning Signs 750mm X 250 mm W8-3B</v>
          </cell>
          <cell r="C1086" t="str">
            <v>Each</v>
          </cell>
          <cell r="D1086" t="str">
            <v>each</v>
          </cell>
        </row>
        <row r="1087">
          <cell r="A1087" t="str">
            <v>605 (1) at3</v>
          </cell>
          <cell r="B1087" t="str">
            <v>Warning Signs 900mm X 300 mm W8-3C</v>
          </cell>
          <cell r="C1087" t="str">
            <v>Each</v>
          </cell>
          <cell r="D1087" t="str">
            <v>each</v>
          </cell>
        </row>
        <row r="1088">
          <cell r="A1088" t="str">
            <v>605 (1) au1</v>
          </cell>
          <cell r="B1088" t="str">
            <v>Warning Signs 600mm X 200 mm W8-4A</v>
          </cell>
          <cell r="C1088" t="str">
            <v>Each</v>
          </cell>
          <cell r="D1088" t="str">
            <v>each</v>
          </cell>
        </row>
        <row r="1089">
          <cell r="A1089" t="str">
            <v>605 (1) au2</v>
          </cell>
          <cell r="B1089" t="str">
            <v>Warning Signs 750mm X 250 mm W8-4B</v>
          </cell>
          <cell r="C1089" t="str">
            <v>Each</v>
          </cell>
          <cell r="D1089" t="str">
            <v>each</v>
          </cell>
        </row>
        <row r="1090">
          <cell r="A1090" t="str">
            <v>605 (1) au3</v>
          </cell>
          <cell r="B1090" t="str">
            <v>Warning Signs 900mm X 300 mm W8-4C</v>
          </cell>
          <cell r="C1090" t="str">
            <v>Each</v>
          </cell>
          <cell r="D1090" t="str">
            <v>each</v>
          </cell>
        </row>
        <row r="1091">
          <cell r="A1091" t="str">
            <v>605 (1) av1</v>
          </cell>
          <cell r="B1091" t="str">
            <v>Warning Signs 600mm X 400 mm W8-5A</v>
          </cell>
          <cell r="C1091" t="str">
            <v>Each</v>
          </cell>
          <cell r="D1091" t="str">
            <v>each</v>
          </cell>
        </row>
        <row r="1092">
          <cell r="A1092" t="str">
            <v>605 (1) av2</v>
          </cell>
          <cell r="B1092" t="str">
            <v>Warning Signs 750mm X 500 mm W8-5B</v>
          </cell>
          <cell r="C1092" t="str">
            <v>Each</v>
          </cell>
          <cell r="D1092" t="str">
            <v>each</v>
          </cell>
        </row>
        <row r="1093">
          <cell r="A1093" t="str">
            <v>605 (1) av3</v>
          </cell>
          <cell r="B1093" t="str">
            <v>Warning Signs 900mm X 600 mm W8-5C</v>
          </cell>
          <cell r="C1093" t="str">
            <v>Each</v>
          </cell>
          <cell r="D1093" t="str">
            <v>each</v>
          </cell>
        </row>
        <row r="1094">
          <cell r="A1094" t="str">
            <v>605 (1) aw1</v>
          </cell>
          <cell r="B1094" t="str">
            <v>Warning Signs 600mm X 200 mm W8-6A</v>
          </cell>
          <cell r="C1094" t="str">
            <v>Each</v>
          </cell>
          <cell r="D1094" t="str">
            <v>each</v>
          </cell>
        </row>
        <row r="1095">
          <cell r="A1095" t="str">
            <v>605 (1) aw2</v>
          </cell>
          <cell r="B1095" t="str">
            <v>Warning Signs 750mm X 250 mm W8-6B</v>
          </cell>
          <cell r="C1095" t="str">
            <v>Each</v>
          </cell>
          <cell r="D1095" t="str">
            <v>each</v>
          </cell>
        </row>
        <row r="1096">
          <cell r="A1096" t="str">
            <v>605 (1) aw3</v>
          </cell>
          <cell r="B1096" t="str">
            <v>Warning Signs 900mm X 300 mm W8-6C</v>
          </cell>
          <cell r="C1096" t="str">
            <v>Each</v>
          </cell>
          <cell r="D1096" t="str">
            <v>each</v>
          </cell>
        </row>
        <row r="1097">
          <cell r="A1097" t="str">
            <v>605 (1) ax1</v>
          </cell>
          <cell r="B1097" t="str">
            <v>Warning Signs 600mm X 200 mm W8-7A</v>
          </cell>
          <cell r="C1097" t="str">
            <v>Each</v>
          </cell>
          <cell r="D1097" t="str">
            <v>each</v>
          </cell>
        </row>
        <row r="1098">
          <cell r="A1098" t="str">
            <v>605 (1) ax2</v>
          </cell>
          <cell r="B1098" t="str">
            <v>Warning Signs 750mm X 250 mm W8-7B</v>
          </cell>
          <cell r="C1098" t="str">
            <v>Each</v>
          </cell>
          <cell r="D1098" t="str">
            <v>each</v>
          </cell>
        </row>
        <row r="1099">
          <cell r="A1099" t="str">
            <v>605 (1) ax3</v>
          </cell>
          <cell r="B1099" t="str">
            <v>Warning Signs 900mm X 300 mm W8-7C</v>
          </cell>
          <cell r="C1099" t="str">
            <v>Each</v>
          </cell>
          <cell r="D1099" t="str">
            <v>each</v>
          </cell>
        </row>
        <row r="1100">
          <cell r="A1100" t="str">
            <v>605 (1) ay1</v>
          </cell>
          <cell r="B1100" t="str">
            <v>Warning Signs 600mm X 400 mm W8-8A</v>
          </cell>
          <cell r="C1100" t="str">
            <v>Each</v>
          </cell>
          <cell r="D1100" t="str">
            <v>each</v>
          </cell>
        </row>
        <row r="1101">
          <cell r="A1101" t="str">
            <v>605 (1) ay2</v>
          </cell>
          <cell r="B1101" t="str">
            <v>Warning Signs 750mm X 500 mm W8-8B</v>
          </cell>
          <cell r="C1101" t="str">
            <v>Each</v>
          </cell>
          <cell r="D1101" t="str">
            <v>each</v>
          </cell>
        </row>
        <row r="1102">
          <cell r="A1102" t="str">
            <v>605 (1) ay3</v>
          </cell>
          <cell r="B1102" t="str">
            <v>Warning Signs 900mm X 600 mm W8-8C</v>
          </cell>
          <cell r="C1102" t="str">
            <v>Each</v>
          </cell>
          <cell r="D1102" t="str">
            <v>each</v>
          </cell>
        </row>
        <row r="1103">
          <cell r="A1103" t="str">
            <v>605 (1) az1</v>
          </cell>
          <cell r="B1103" t="str">
            <v>Warning Signs 600mm X 200 mm W8-9A</v>
          </cell>
          <cell r="C1103" t="str">
            <v>Each</v>
          </cell>
          <cell r="D1103" t="str">
            <v>each</v>
          </cell>
        </row>
        <row r="1104">
          <cell r="A1104" t="str">
            <v>605 (1) az2</v>
          </cell>
          <cell r="B1104" t="str">
            <v>Warning Signs 750mm X 250 mm W8-9B</v>
          </cell>
          <cell r="C1104" t="str">
            <v>Each</v>
          </cell>
          <cell r="D1104" t="str">
            <v>each</v>
          </cell>
        </row>
        <row r="1105">
          <cell r="A1105" t="str">
            <v>605 (1) az3</v>
          </cell>
          <cell r="B1105" t="str">
            <v>Warning Signs 900mm X 300 mm W8-9C</v>
          </cell>
          <cell r="C1105" t="str">
            <v>Each</v>
          </cell>
          <cell r="D1105" t="str">
            <v>each</v>
          </cell>
        </row>
        <row r="1106">
          <cell r="A1106" t="str">
            <v>605 (1) ba1</v>
          </cell>
          <cell r="B1106" t="str">
            <v>Warning Signs 600mm X 200 mm W8-10A</v>
          </cell>
          <cell r="C1106" t="str">
            <v>Each</v>
          </cell>
          <cell r="D1106" t="str">
            <v>each</v>
          </cell>
        </row>
        <row r="1107">
          <cell r="A1107" t="str">
            <v>605 (1) ba2</v>
          </cell>
          <cell r="B1107" t="str">
            <v>Warning Signs 750mm X 250 mm W8-10B</v>
          </cell>
          <cell r="C1107" t="str">
            <v>Each</v>
          </cell>
          <cell r="D1107" t="str">
            <v>each</v>
          </cell>
        </row>
        <row r="1108">
          <cell r="A1108" t="str">
            <v>605 (1) ba3</v>
          </cell>
          <cell r="B1108" t="str">
            <v>Warning Signs 900mm X 300 mm W8-10C</v>
          </cell>
          <cell r="C1108" t="str">
            <v>Each</v>
          </cell>
          <cell r="D1108" t="str">
            <v>each</v>
          </cell>
        </row>
        <row r="1109">
          <cell r="A1109" t="str">
            <v>605 (1) bb1</v>
          </cell>
          <cell r="B1109" t="str">
            <v>Warning Signs 1500mm X 600 mm W9-1A</v>
          </cell>
          <cell r="C1109" t="str">
            <v>Each</v>
          </cell>
          <cell r="D1109" t="str">
            <v>each</v>
          </cell>
        </row>
        <row r="1110">
          <cell r="A1110" t="str">
            <v>605 (1) bb2</v>
          </cell>
          <cell r="B1110" t="str">
            <v>Warning Signs 1950mm X 600 mm W9-1B</v>
          </cell>
          <cell r="C1110" t="str">
            <v>Each</v>
          </cell>
          <cell r="D1110" t="str">
            <v>each</v>
          </cell>
        </row>
        <row r="1111">
          <cell r="A1111" t="str">
            <v>605 (1) bb3</v>
          </cell>
          <cell r="B1111" t="str">
            <v>Warning Signs 1060mm X 600 mm W9-2A</v>
          </cell>
          <cell r="C1111" t="str">
            <v>Each</v>
          </cell>
          <cell r="D1111" t="str">
            <v>each</v>
          </cell>
        </row>
        <row r="1112">
          <cell r="A1112" t="str">
            <v>605 (1) bb4</v>
          </cell>
          <cell r="B1112" t="str">
            <v>Warning Signs 1060mm X 600 mm W9-2B</v>
          </cell>
          <cell r="C1112" t="str">
            <v>Each</v>
          </cell>
          <cell r="D1112" t="str">
            <v>each</v>
          </cell>
        </row>
        <row r="1113">
          <cell r="A1113" t="str">
            <v>605 (1) bb5</v>
          </cell>
          <cell r="B1113" t="str">
            <v>Warning Signs 1060mm X 600 mm W9-3</v>
          </cell>
          <cell r="C1113" t="str">
            <v>Each</v>
          </cell>
          <cell r="D1113" t="str">
            <v>each</v>
          </cell>
        </row>
        <row r="1114">
          <cell r="A1114" t="str">
            <v>605 (1) bb6</v>
          </cell>
          <cell r="B1114" t="str">
            <v>Warning Signs 950mm X 600 mm W9-4</v>
          </cell>
          <cell r="C1114" t="str">
            <v>Each</v>
          </cell>
          <cell r="D1114" t="str">
            <v>each</v>
          </cell>
        </row>
        <row r="1115">
          <cell r="A1115" t="str">
            <v>605 (1) bb7</v>
          </cell>
          <cell r="B1115" t="str">
            <v>Warning Signs 1060mm X 600 mm W9-5</v>
          </cell>
          <cell r="C1115" t="str">
            <v>Each</v>
          </cell>
          <cell r="D1115" t="str">
            <v>each</v>
          </cell>
        </row>
        <row r="1116">
          <cell r="A1116" t="str">
            <v>605 (2) a1</v>
          </cell>
          <cell r="B1116" t="str">
            <v>Regulatory Signs 450 x 450 mm R1-1A</v>
          </cell>
          <cell r="C1116" t="str">
            <v>Each</v>
          </cell>
          <cell r="D1116" t="str">
            <v>each</v>
          </cell>
        </row>
        <row r="1117">
          <cell r="A1117" t="str">
            <v>605 (2) a2</v>
          </cell>
          <cell r="B1117" t="str">
            <v>Regulatory Signs 600 x 600 mm R1-1B</v>
          </cell>
          <cell r="C1117" t="str">
            <v>Each</v>
          </cell>
          <cell r="D1117" t="str">
            <v>each</v>
          </cell>
        </row>
        <row r="1118">
          <cell r="A1118" t="str">
            <v>605 (2) a3</v>
          </cell>
          <cell r="B1118" t="str">
            <v>Regulatory Signs 750 x 750 mm R1-1C</v>
          </cell>
          <cell r="C1118" t="str">
            <v>Each</v>
          </cell>
          <cell r="D1118" t="str">
            <v>each</v>
          </cell>
        </row>
        <row r="1119">
          <cell r="A1119" t="str">
            <v>605 (2) a4</v>
          </cell>
          <cell r="B1119" t="str">
            <v>Regulatory Signs 900 x 900 mm R1-1D</v>
          </cell>
          <cell r="C1119" t="str">
            <v>Each</v>
          </cell>
          <cell r="D1119" t="str">
            <v>each</v>
          </cell>
        </row>
        <row r="1120">
          <cell r="A1120" t="str">
            <v>605 (2) b1</v>
          </cell>
          <cell r="B1120" t="str">
            <v>Regulatory Signs 600 mm R1-2A</v>
          </cell>
          <cell r="C1120" t="str">
            <v>Each</v>
          </cell>
          <cell r="D1120" t="str">
            <v>each</v>
          </cell>
        </row>
        <row r="1121">
          <cell r="A1121" t="str">
            <v>605 (2) b2</v>
          </cell>
          <cell r="B1121" t="str">
            <v>Regulatory Signs 750 mm R1-2B</v>
          </cell>
          <cell r="C1121" t="str">
            <v>Each</v>
          </cell>
          <cell r="D1121" t="str">
            <v>each</v>
          </cell>
        </row>
        <row r="1122">
          <cell r="A1122" t="str">
            <v>605 (2) b3</v>
          </cell>
          <cell r="B1122" t="str">
            <v>Regulatory Signs 900 mm R1-2C</v>
          </cell>
          <cell r="C1122" t="str">
            <v>Each</v>
          </cell>
          <cell r="D1122" t="str">
            <v>each</v>
          </cell>
        </row>
        <row r="1123">
          <cell r="A1123" t="str">
            <v>605 (2) b4</v>
          </cell>
          <cell r="B1123" t="str">
            <v>Regulatory Signs 640 x 900 mm R1-2P</v>
          </cell>
          <cell r="C1123" t="str">
            <v>Each</v>
          </cell>
          <cell r="D1123" t="str">
            <v>each</v>
          </cell>
        </row>
        <row r="1124">
          <cell r="A1124" t="str">
            <v>605 (2) c1</v>
          </cell>
          <cell r="B1124" t="str">
            <v>Regulatory Signs 500 x 750 mm R1-3</v>
          </cell>
          <cell r="C1124" t="str">
            <v>Each</v>
          </cell>
          <cell r="D1124" t="str">
            <v>each</v>
          </cell>
        </row>
        <row r="1125">
          <cell r="A1125" t="str">
            <v>605 (2) d1</v>
          </cell>
          <cell r="B1125" t="str">
            <v>Regulatory Signs 450 mm</v>
          </cell>
          <cell r="C1125" t="str">
            <v>Each</v>
          </cell>
          <cell r="D1125" t="str">
            <v>each</v>
          </cell>
        </row>
        <row r="1126">
          <cell r="A1126" t="str">
            <v>605 (2) d2</v>
          </cell>
          <cell r="B1126" t="str">
            <v>Regulatory Signs 450 mm R2-2A</v>
          </cell>
          <cell r="C1126" t="str">
            <v>Each</v>
          </cell>
          <cell r="D1126" t="str">
            <v>each</v>
          </cell>
        </row>
        <row r="1127">
          <cell r="A1127" t="str">
            <v>605 (2) d3</v>
          </cell>
          <cell r="B1127" t="str">
            <v>Regulatory Signs 450 mm R2-3A</v>
          </cell>
          <cell r="C1127" t="str">
            <v>Each</v>
          </cell>
          <cell r="D1127" t="str">
            <v>each</v>
          </cell>
        </row>
        <row r="1128">
          <cell r="A1128" t="str">
            <v>605 (2) d4</v>
          </cell>
          <cell r="B1128" t="str">
            <v>Regulatory Signs 450 mm R2-4A</v>
          </cell>
          <cell r="C1128" t="str">
            <v>Each</v>
          </cell>
          <cell r="D1128" t="str">
            <v>each</v>
          </cell>
        </row>
        <row r="1129">
          <cell r="A1129" t="str">
            <v>605 (2) d5</v>
          </cell>
          <cell r="B1129" t="str">
            <v>Regulatory Signs 450 mm R2-5A</v>
          </cell>
          <cell r="C1129" t="str">
            <v>Each</v>
          </cell>
          <cell r="D1129" t="str">
            <v>each</v>
          </cell>
        </row>
        <row r="1130">
          <cell r="A1130" t="str">
            <v>605 (2) d6</v>
          </cell>
          <cell r="B1130" t="str">
            <v>Regulatory Signs 450 mm R2-6A</v>
          </cell>
          <cell r="C1130" t="str">
            <v>Each</v>
          </cell>
          <cell r="D1130" t="str">
            <v>each</v>
          </cell>
        </row>
        <row r="1131">
          <cell r="A1131" t="str">
            <v>605 (2) d7</v>
          </cell>
          <cell r="B1131" t="str">
            <v>Regulatory Signs 450 mm R2-7A</v>
          </cell>
          <cell r="C1131" t="str">
            <v>Each</v>
          </cell>
          <cell r="D1131" t="str">
            <v>each</v>
          </cell>
        </row>
        <row r="1132">
          <cell r="A1132" t="str">
            <v>605 (2) e1</v>
          </cell>
          <cell r="B1132" t="str">
            <v>Regulatory Signs 600 mm R2-1B</v>
          </cell>
          <cell r="C1132" t="str">
            <v>Each</v>
          </cell>
          <cell r="D1132" t="str">
            <v>each</v>
          </cell>
        </row>
        <row r="1133">
          <cell r="A1133" t="str">
            <v>605 (2) e2</v>
          </cell>
          <cell r="B1133" t="str">
            <v>Regulatory Signs 600 mm R2-2B</v>
          </cell>
          <cell r="C1133" t="str">
            <v>Each</v>
          </cell>
          <cell r="D1133" t="str">
            <v>each</v>
          </cell>
        </row>
        <row r="1134">
          <cell r="A1134" t="str">
            <v>605 (2) e3</v>
          </cell>
          <cell r="B1134" t="str">
            <v>Regulatory Signs 600 mm R2-3B</v>
          </cell>
          <cell r="C1134" t="str">
            <v>Each</v>
          </cell>
          <cell r="D1134" t="str">
            <v>each</v>
          </cell>
        </row>
        <row r="1135">
          <cell r="A1135" t="str">
            <v>605 (2) e4</v>
          </cell>
          <cell r="B1135" t="str">
            <v>Regulatory Signs 600 mm R2-4B</v>
          </cell>
          <cell r="C1135" t="str">
            <v>Each</v>
          </cell>
          <cell r="D1135" t="str">
            <v>each</v>
          </cell>
        </row>
        <row r="1136">
          <cell r="A1136" t="str">
            <v>605 (2) e5</v>
          </cell>
          <cell r="B1136" t="str">
            <v>Regulatory Signs 600 mm R2-5B</v>
          </cell>
          <cell r="C1136" t="str">
            <v>Each</v>
          </cell>
          <cell r="D1136" t="str">
            <v>each</v>
          </cell>
        </row>
        <row r="1137">
          <cell r="A1137" t="str">
            <v>605 (2) e6</v>
          </cell>
          <cell r="B1137" t="str">
            <v>Regulatory Signs 600 mm R2-6B</v>
          </cell>
          <cell r="C1137" t="str">
            <v>Each</v>
          </cell>
          <cell r="D1137" t="str">
            <v>each</v>
          </cell>
        </row>
        <row r="1138">
          <cell r="A1138" t="str">
            <v>605 (2) e7</v>
          </cell>
          <cell r="B1138" t="str">
            <v>Regulatory Signs 600 mm R2-7B</v>
          </cell>
          <cell r="C1138" t="str">
            <v>Each</v>
          </cell>
          <cell r="D1138" t="str">
            <v>each</v>
          </cell>
        </row>
        <row r="1139">
          <cell r="A1139" t="str">
            <v>605 (2) f1</v>
          </cell>
          <cell r="B1139" t="str">
            <v>Regulatory Signs 750 mm R2-1C</v>
          </cell>
          <cell r="C1139" t="str">
            <v>Each</v>
          </cell>
          <cell r="D1139" t="str">
            <v>each</v>
          </cell>
        </row>
        <row r="1140">
          <cell r="A1140" t="str">
            <v>605 (2) f2</v>
          </cell>
          <cell r="B1140" t="str">
            <v>Regulatory Signs 750 mm R2-2C</v>
          </cell>
          <cell r="C1140" t="str">
            <v>Each</v>
          </cell>
          <cell r="D1140" t="str">
            <v>each</v>
          </cell>
        </row>
        <row r="1141">
          <cell r="A1141" t="str">
            <v>605 (2) f3</v>
          </cell>
          <cell r="B1141" t="str">
            <v>Regulatory Signs 750 mm R2-3C</v>
          </cell>
          <cell r="C1141" t="str">
            <v>Each</v>
          </cell>
          <cell r="D1141" t="str">
            <v>each</v>
          </cell>
        </row>
        <row r="1142">
          <cell r="A1142" t="str">
            <v>605 (2) f4</v>
          </cell>
          <cell r="B1142" t="str">
            <v>Regulatory Signs 750 mm R2-4C</v>
          </cell>
          <cell r="C1142" t="str">
            <v>Each</v>
          </cell>
          <cell r="D1142" t="str">
            <v>each</v>
          </cell>
        </row>
        <row r="1143">
          <cell r="A1143" t="str">
            <v>605 (2) f5</v>
          </cell>
          <cell r="B1143" t="str">
            <v>Regulatory Signs 750 mm R2-5C</v>
          </cell>
          <cell r="C1143" t="str">
            <v>Each</v>
          </cell>
          <cell r="D1143" t="str">
            <v>each</v>
          </cell>
        </row>
        <row r="1144">
          <cell r="A1144" t="str">
            <v>605 (2) f6</v>
          </cell>
          <cell r="B1144" t="str">
            <v>Regulatory Signs 750 mm R2-6C</v>
          </cell>
          <cell r="C1144" t="str">
            <v>Each</v>
          </cell>
          <cell r="D1144" t="str">
            <v>each</v>
          </cell>
        </row>
        <row r="1145">
          <cell r="A1145" t="str">
            <v>605 (2) f7</v>
          </cell>
          <cell r="B1145" t="str">
            <v>Regulatory Signs 750 mm R2-7C</v>
          </cell>
          <cell r="C1145" t="str">
            <v>Each</v>
          </cell>
          <cell r="D1145" t="str">
            <v>each</v>
          </cell>
        </row>
        <row r="1146">
          <cell r="A1146" t="str">
            <v>605 (2) g1</v>
          </cell>
          <cell r="B1146" t="str">
            <v>Regulatory Signs Disc Size 400 mm R2-1PA</v>
          </cell>
          <cell r="C1146" t="str">
            <v>Each</v>
          </cell>
          <cell r="D1146" t="str">
            <v>each</v>
          </cell>
        </row>
        <row r="1147">
          <cell r="A1147" t="str">
            <v>605 (2) g2</v>
          </cell>
          <cell r="B1147" t="str">
            <v>Regulatory Signs Disc Size 400 mm R2-2PA</v>
          </cell>
          <cell r="C1147" t="str">
            <v>Each</v>
          </cell>
          <cell r="D1147" t="str">
            <v>each</v>
          </cell>
        </row>
        <row r="1148">
          <cell r="A1148" t="str">
            <v>605 (2) g3</v>
          </cell>
          <cell r="B1148" t="str">
            <v>Regulatory Signs Disc Size 400 mm R2-3PA</v>
          </cell>
          <cell r="C1148" t="str">
            <v>Each</v>
          </cell>
          <cell r="D1148" t="str">
            <v>each</v>
          </cell>
        </row>
        <row r="1149">
          <cell r="A1149" t="str">
            <v>605 (2) g4</v>
          </cell>
          <cell r="B1149" t="str">
            <v>Regulatory Signs Disc Size 400 mm R2-5PA</v>
          </cell>
          <cell r="C1149" t="str">
            <v>Each</v>
          </cell>
          <cell r="D1149" t="str">
            <v>each</v>
          </cell>
        </row>
        <row r="1150">
          <cell r="A1150" t="str">
            <v>605 (2) g5</v>
          </cell>
          <cell r="B1150" t="str">
            <v>Regulatory Signs Disc Size 400 mm R2-6PA</v>
          </cell>
          <cell r="C1150" t="str">
            <v>Each</v>
          </cell>
          <cell r="D1150" t="str">
            <v>each</v>
          </cell>
        </row>
        <row r="1151">
          <cell r="A1151" t="str">
            <v>605 (2) h1</v>
          </cell>
          <cell r="B1151" t="str">
            <v>Regulatory Signs 450 x 750 mm R2-7PA</v>
          </cell>
          <cell r="C1151" t="str">
            <v>Each</v>
          </cell>
          <cell r="D1151" t="str">
            <v>each</v>
          </cell>
        </row>
        <row r="1152">
          <cell r="A1152" t="str">
            <v>605 (2) h2</v>
          </cell>
          <cell r="B1152" t="str">
            <v>Regulatory Signs 900 x 700 mm R2-7S</v>
          </cell>
          <cell r="C1152" t="str">
            <v>Each</v>
          </cell>
          <cell r="D1152" t="str">
            <v>each</v>
          </cell>
        </row>
        <row r="1153">
          <cell r="A1153" t="str">
            <v>605 (2) h3</v>
          </cell>
          <cell r="B1153" t="str">
            <v>Regulatory Signs 450 X 750 mm R2-8A (R)</v>
          </cell>
          <cell r="C1153" t="str">
            <v>Each</v>
          </cell>
          <cell r="D1153" t="str">
            <v>each</v>
          </cell>
        </row>
        <row r="1154">
          <cell r="A1154" t="str">
            <v>605 (2) h4</v>
          </cell>
          <cell r="B1154" t="str">
            <v>Regulatory Signs 450 X 750 mm R2-8A (L)</v>
          </cell>
          <cell r="C1154" t="str">
            <v>Each</v>
          </cell>
          <cell r="D1154" t="str">
            <v>each</v>
          </cell>
        </row>
        <row r="1155">
          <cell r="A1155" t="str">
            <v>605 (2) h5</v>
          </cell>
          <cell r="B1155" t="str">
            <v>Regulatory Signs 600 X 1000 mm R2-8B (R)</v>
          </cell>
          <cell r="C1155" t="str">
            <v>Each</v>
          </cell>
          <cell r="D1155" t="str">
            <v>each</v>
          </cell>
        </row>
        <row r="1156">
          <cell r="A1156" t="str">
            <v>605 (2) h6</v>
          </cell>
          <cell r="B1156" t="str">
            <v>Regulatory Signs 600 X 1000 mm R2-8B (L)</v>
          </cell>
          <cell r="C1156" t="str">
            <v>Each</v>
          </cell>
          <cell r="D1156" t="str">
            <v>each</v>
          </cell>
        </row>
        <row r="1157">
          <cell r="A1157" t="str">
            <v>605 (2) i1</v>
          </cell>
          <cell r="B1157" t="str">
            <v>Regulatory Signs 600 mm R3-1A</v>
          </cell>
          <cell r="C1157" t="str">
            <v>Each</v>
          </cell>
          <cell r="D1157" t="str">
            <v>each</v>
          </cell>
        </row>
        <row r="1158">
          <cell r="A1158" t="str">
            <v>605 (2) i2</v>
          </cell>
          <cell r="B1158" t="str">
            <v>Regulatory Signs 750 mm R3-1B</v>
          </cell>
          <cell r="C1158" t="str">
            <v>Each</v>
          </cell>
          <cell r="D1158" t="str">
            <v>each</v>
          </cell>
        </row>
        <row r="1159">
          <cell r="A1159" t="str">
            <v>605 (2) i3</v>
          </cell>
          <cell r="B1159" t="str">
            <v>Regulatory Signs 400 x 600 mm R3-1PA</v>
          </cell>
          <cell r="C1159" t="str">
            <v>Each</v>
          </cell>
          <cell r="D1159" t="str">
            <v>each</v>
          </cell>
        </row>
        <row r="1160">
          <cell r="A1160" t="str">
            <v>605 (2) i4</v>
          </cell>
          <cell r="B1160" t="str">
            <v>Regulatory Signs 600 x 900 mm R3-1PB</v>
          </cell>
          <cell r="C1160" t="str">
            <v>Each</v>
          </cell>
          <cell r="D1160" t="str">
            <v>each</v>
          </cell>
        </row>
        <row r="1161">
          <cell r="A1161" t="str">
            <v>605 (2) i5</v>
          </cell>
          <cell r="B1161" t="str">
            <v>Regulatory Signs 800 x 1200 mm R3-1PC</v>
          </cell>
          <cell r="C1161" t="str">
            <v>Each</v>
          </cell>
          <cell r="D1161" t="str">
            <v>each</v>
          </cell>
        </row>
        <row r="1162">
          <cell r="A1162" t="str">
            <v>605 (2) j1</v>
          </cell>
          <cell r="B1162" t="str">
            <v>Regulatory Signs 450 mm R3-2A</v>
          </cell>
          <cell r="C1162" t="str">
            <v>Each</v>
          </cell>
          <cell r="D1162" t="str">
            <v>each</v>
          </cell>
        </row>
        <row r="1163">
          <cell r="A1163" t="str">
            <v>605 (2) j2</v>
          </cell>
          <cell r="B1163" t="str">
            <v>Regulatory Signs 450 mm R3-3A</v>
          </cell>
          <cell r="C1163" t="str">
            <v>Each</v>
          </cell>
          <cell r="D1163" t="str">
            <v>each</v>
          </cell>
        </row>
        <row r="1164">
          <cell r="A1164" t="str">
            <v>605 (2) j3</v>
          </cell>
          <cell r="B1164" t="str">
            <v>Regulatory Signs 450 mm R3-4A</v>
          </cell>
          <cell r="C1164" t="str">
            <v>Each</v>
          </cell>
          <cell r="D1164" t="str">
            <v>each</v>
          </cell>
        </row>
        <row r="1165">
          <cell r="A1165" t="str">
            <v>605 (2) j4</v>
          </cell>
          <cell r="B1165" t="str">
            <v>Regulatory Signs 450 mm R3-5A</v>
          </cell>
          <cell r="C1165" t="str">
            <v>Each</v>
          </cell>
          <cell r="D1165" t="str">
            <v>each</v>
          </cell>
        </row>
        <row r="1166">
          <cell r="A1166" t="str">
            <v>605 (2) j5</v>
          </cell>
          <cell r="B1166" t="str">
            <v>Regulatory Signs 450 mm R3-6A</v>
          </cell>
          <cell r="C1166" t="str">
            <v>Each</v>
          </cell>
          <cell r="D1166" t="str">
            <v>each</v>
          </cell>
        </row>
        <row r="1167">
          <cell r="A1167" t="str">
            <v>605 (2) j6</v>
          </cell>
          <cell r="B1167" t="str">
            <v>Regulatory Signs 450 mm R3-7A</v>
          </cell>
          <cell r="C1167" t="str">
            <v>Each</v>
          </cell>
          <cell r="D1167" t="str">
            <v>each</v>
          </cell>
        </row>
        <row r="1168">
          <cell r="A1168" t="str">
            <v>605 (2) j7</v>
          </cell>
          <cell r="B1168" t="str">
            <v>Regulatory Signs 450 mm R3-8A</v>
          </cell>
          <cell r="C1168" t="str">
            <v>Each</v>
          </cell>
          <cell r="D1168" t="str">
            <v>each</v>
          </cell>
        </row>
        <row r="1169">
          <cell r="A1169" t="str">
            <v>605 (2) j8</v>
          </cell>
          <cell r="B1169" t="str">
            <v>Regulatory Signs 450 mm R3-9A</v>
          </cell>
          <cell r="C1169" t="str">
            <v>Each</v>
          </cell>
          <cell r="D1169" t="str">
            <v>each</v>
          </cell>
        </row>
        <row r="1170">
          <cell r="A1170" t="str">
            <v>605 (2) j9</v>
          </cell>
          <cell r="B1170" t="str">
            <v>Regulatory Signs 450 mm R3-10A</v>
          </cell>
          <cell r="C1170" t="str">
            <v>Each</v>
          </cell>
          <cell r="D1170" t="str">
            <v>each</v>
          </cell>
        </row>
        <row r="1171">
          <cell r="A1171" t="str">
            <v>605 (2) j10</v>
          </cell>
          <cell r="B1171" t="str">
            <v>Regulatory Signs 450 mm R3-11A</v>
          </cell>
          <cell r="C1171" t="str">
            <v>Each</v>
          </cell>
          <cell r="D1171" t="str">
            <v>each</v>
          </cell>
        </row>
        <row r="1172">
          <cell r="A1172" t="str">
            <v>605 (2) j11</v>
          </cell>
          <cell r="B1172" t="str">
            <v>Regulatory Signs 450 mm R3-12A</v>
          </cell>
          <cell r="C1172" t="str">
            <v>Each</v>
          </cell>
          <cell r="D1172" t="str">
            <v>each</v>
          </cell>
        </row>
        <row r="1173">
          <cell r="A1173" t="str">
            <v>605 (2) k1</v>
          </cell>
          <cell r="B1173" t="str">
            <v>Regulatory Signs 600 mm R3-2B</v>
          </cell>
          <cell r="C1173" t="str">
            <v>Each</v>
          </cell>
          <cell r="D1173" t="str">
            <v>each</v>
          </cell>
        </row>
        <row r="1174">
          <cell r="A1174" t="str">
            <v>605 (2) k2</v>
          </cell>
          <cell r="B1174" t="str">
            <v>Regulatory Signs 600 mm R3-3B</v>
          </cell>
          <cell r="C1174" t="str">
            <v>Each</v>
          </cell>
          <cell r="D1174" t="str">
            <v>each</v>
          </cell>
        </row>
        <row r="1175">
          <cell r="A1175" t="str">
            <v>605 (2) k3</v>
          </cell>
          <cell r="B1175" t="str">
            <v>Regulatory Signs 600 mm R3-4B</v>
          </cell>
          <cell r="C1175" t="str">
            <v>Each</v>
          </cell>
          <cell r="D1175" t="str">
            <v>each</v>
          </cell>
        </row>
        <row r="1176">
          <cell r="A1176" t="str">
            <v>605 (2) k4</v>
          </cell>
          <cell r="B1176" t="str">
            <v>Regulatory Signs 600 mm R3-5B</v>
          </cell>
          <cell r="C1176" t="str">
            <v>Each</v>
          </cell>
          <cell r="D1176" t="str">
            <v>each</v>
          </cell>
        </row>
        <row r="1177">
          <cell r="A1177" t="str">
            <v>605 (2) k5</v>
          </cell>
          <cell r="B1177" t="str">
            <v>Regulatory Signs 600 mm R3-6B</v>
          </cell>
          <cell r="C1177" t="str">
            <v>Each</v>
          </cell>
          <cell r="D1177" t="str">
            <v>each</v>
          </cell>
        </row>
        <row r="1178">
          <cell r="A1178" t="str">
            <v>605 (2) k6</v>
          </cell>
          <cell r="B1178" t="str">
            <v>Regulatory Signs 600 mm R3-7B</v>
          </cell>
          <cell r="C1178" t="str">
            <v>Each</v>
          </cell>
          <cell r="D1178" t="str">
            <v>each</v>
          </cell>
        </row>
        <row r="1179">
          <cell r="A1179" t="str">
            <v>605 (2) k7</v>
          </cell>
          <cell r="B1179" t="str">
            <v>Regulatory Signs 600 mm R3-8B</v>
          </cell>
          <cell r="C1179" t="str">
            <v>Each</v>
          </cell>
          <cell r="D1179" t="str">
            <v>each</v>
          </cell>
        </row>
        <row r="1180">
          <cell r="A1180" t="str">
            <v>605 (2) k8</v>
          </cell>
          <cell r="B1180" t="str">
            <v>Regulatory Signs 600 mm R3-9B</v>
          </cell>
          <cell r="C1180" t="str">
            <v>Each</v>
          </cell>
          <cell r="D1180" t="str">
            <v>each</v>
          </cell>
        </row>
        <row r="1181">
          <cell r="A1181" t="str">
            <v>605 (2) k9</v>
          </cell>
          <cell r="B1181" t="str">
            <v>Regulatory Signs 600 mm R3-10B</v>
          </cell>
          <cell r="C1181" t="str">
            <v>Each</v>
          </cell>
          <cell r="D1181" t="str">
            <v>each</v>
          </cell>
        </row>
        <row r="1182">
          <cell r="A1182" t="str">
            <v>605 (2) k10</v>
          </cell>
          <cell r="B1182" t="str">
            <v>Regulatory Signs 600 mm R3-11B</v>
          </cell>
          <cell r="C1182" t="str">
            <v>Each</v>
          </cell>
          <cell r="D1182" t="str">
            <v>each</v>
          </cell>
        </row>
        <row r="1183">
          <cell r="A1183" t="str">
            <v>605 (2) k11</v>
          </cell>
          <cell r="B1183" t="str">
            <v>Regulatory Signs 600 mm R3-12B</v>
          </cell>
          <cell r="C1183" t="str">
            <v>Each</v>
          </cell>
          <cell r="D1183" t="str">
            <v>each</v>
          </cell>
        </row>
        <row r="1184">
          <cell r="A1184" t="str">
            <v>605 (2) l1</v>
          </cell>
          <cell r="B1184" t="str">
            <v>Regulatory Signs 750 mm R3-2C</v>
          </cell>
          <cell r="C1184" t="str">
            <v>Each</v>
          </cell>
          <cell r="D1184" t="str">
            <v>each</v>
          </cell>
        </row>
        <row r="1185">
          <cell r="A1185" t="str">
            <v>605 (2) l2</v>
          </cell>
          <cell r="B1185" t="str">
            <v>Regulatory Signs 750 mm R3-3C</v>
          </cell>
          <cell r="C1185" t="str">
            <v>Each</v>
          </cell>
          <cell r="D1185" t="str">
            <v>each</v>
          </cell>
        </row>
        <row r="1186">
          <cell r="A1186" t="str">
            <v>605 (2) l3</v>
          </cell>
          <cell r="B1186" t="str">
            <v>Regulatory Signs 750 mm R3-4C</v>
          </cell>
          <cell r="C1186" t="str">
            <v>Each</v>
          </cell>
          <cell r="D1186" t="str">
            <v>each</v>
          </cell>
        </row>
        <row r="1187">
          <cell r="A1187" t="str">
            <v>605 (2) l4</v>
          </cell>
          <cell r="B1187" t="str">
            <v>Regulatory Signs 750 mm R3-5C</v>
          </cell>
          <cell r="C1187" t="str">
            <v>Each</v>
          </cell>
          <cell r="D1187" t="str">
            <v>each</v>
          </cell>
        </row>
        <row r="1188">
          <cell r="A1188" t="str">
            <v>605 (2) l5</v>
          </cell>
          <cell r="B1188" t="str">
            <v>Regulatory Signs 750 mm R3-6C</v>
          </cell>
          <cell r="C1188" t="str">
            <v>Each</v>
          </cell>
          <cell r="D1188" t="str">
            <v>each</v>
          </cell>
        </row>
        <row r="1189">
          <cell r="A1189" t="str">
            <v>605 (2) l6</v>
          </cell>
          <cell r="B1189" t="str">
            <v>Regulatory Signs 750 mm R3-7C</v>
          </cell>
          <cell r="C1189" t="str">
            <v>Each</v>
          </cell>
          <cell r="D1189" t="str">
            <v>each</v>
          </cell>
        </row>
        <row r="1190">
          <cell r="A1190" t="str">
            <v>605 (2) l7</v>
          </cell>
          <cell r="B1190" t="str">
            <v>Regulatory Signs 750 mm R3-8C</v>
          </cell>
          <cell r="C1190" t="str">
            <v>Each</v>
          </cell>
          <cell r="D1190" t="str">
            <v>each</v>
          </cell>
        </row>
        <row r="1191">
          <cell r="A1191" t="str">
            <v>605 (2) l8</v>
          </cell>
          <cell r="B1191" t="str">
            <v>Regulatory Signs 750 mm R3-9C</v>
          </cell>
          <cell r="C1191" t="str">
            <v>Each</v>
          </cell>
          <cell r="D1191" t="str">
            <v>each</v>
          </cell>
        </row>
        <row r="1192">
          <cell r="A1192" t="str">
            <v>605 (2) l9</v>
          </cell>
          <cell r="B1192" t="str">
            <v>Regulatory Signs 750 mm R3-10C</v>
          </cell>
          <cell r="C1192" t="str">
            <v>Each</v>
          </cell>
          <cell r="D1192" t="str">
            <v>each</v>
          </cell>
        </row>
        <row r="1193">
          <cell r="A1193" t="str">
            <v>605 (2) l10</v>
          </cell>
          <cell r="B1193" t="str">
            <v>Regulatory Signs 750 mm R3-11C</v>
          </cell>
          <cell r="C1193" t="str">
            <v>Each</v>
          </cell>
          <cell r="D1193" t="str">
            <v>each</v>
          </cell>
        </row>
        <row r="1194">
          <cell r="A1194" t="str">
            <v>605 (2) l11</v>
          </cell>
          <cell r="B1194" t="str">
            <v>Regulatory Signs 750 mm R3-12C</v>
          </cell>
          <cell r="C1194" t="str">
            <v>Each</v>
          </cell>
          <cell r="D1194" t="str">
            <v>each</v>
          </cell>
        </row>
        <row r="1195">
          <cell r="A1195" t="str">
            <v>605 (2) m1</v>
          </cell>
          <cell r="B1195" t="str">
            <v>Regulatory Signs 450 x 600 mm R3-10P1</v>
          </cell>
          <cell r="C1195" t="str">
            <v>Each</v>
          </cell>
          <cell r="D1195" t="str">
            <v>each</v>
          </cell>
        </row>
        <row r="1196">
          <cell r="A1196" t="str">
            <v>605 (2) m2</v>
          </cell>
          <cell r="B1196" t="str">
            <v>Regulatory Signs 450 X 600 mm R3-10P2</v>
          </cell>
          <cell r="C1196" t="str">
            <v>Each</v>
          </cell>
          <cell r="D1196" t="str">
            <v>each</v>
          </cell>
        </row>
        <row r="1197">
          <cell r="A1197" t="str">
            <v>605 (2) m3</v>
          </cell>
          <cell r="B1197" t="str">
            <v>Regulatory Signs 300 X 350 mm R3-10P3</v>
          </cell>
          <cell r="C1197" t="str">
            <v>Each</v>
          </cell>
          <cell r="D1197" t="str">
            <v>each</v>
          </cell>
        </row>
        <row r="1198">
          <cell r="A1198" t="str">
            <v>605 (2) n1</v>
          </cell>
          <cell r="B1198" t="str">
            <v>Regulatory Signs 600 mm R3-13A</v>
          </cell>
          <cell r="C1198" t="str">
            <v>Each</v>
          </cell>
          <cell r="D1198" t="str">
            <v>each</v>
          </cell>
        </row>
        <row r="1199">
          <cell r="A1199" t="str">
            <v>605 (2) n2</v>
          </cell>
          <cell r="B1199" t="str">
            <v>Regulatory Signs 900 mm R3-13B</v>
          </cell>
          <cell r="C1199" t="str">
            <v>Each</v>
          </cell>
          <cell r="D1199" t="str">
            <v>each</v>
          </cell>
        </row>
        <row r="1200">
          <cell r="A1200" t="str">
            <v>605 (2) n3</v>
          </cell>
          <cell r="B1200" t="str">
            <v>Regulatory Signs 450 x 750 mm R3-13 PA</v>
          </cell>
          <cell r="C1200" t="str">
            <v>Each</v>
          </cell>
          <cell r="D1200" t="str">
            <v>each</v>
          </cell>
        </row>
        <row r="1201">
          <cell r="A1201" t="str">
            <v>605 (2) n4</v>
          </cell>
          <cell r="B1201" t="str">
            <v>Regulatory Signs 600 x 1000 mm R3-13 PB</v>
          </cell>
          <cell r="C1201" t="str">
            <v>Each</v>
          </cell>
          <cell r="D1201" t="str">
            <v>each</v>
          </cell>
        </row>
        <row r="1202">
          <cell r="A1202" t="str">
            <v>605 (2) o1</v>
          </cell>
          <cell r="B1202" t="str">
            <v>Regulatory Signs 600 mm R3-14A</v>
          </cell>
          <cell r="C1202" t="str">
            <v>Each</v>
          </cell>
          <cell r="D1202" t="str">
            <v>each</v>
          </cell>
        </row>
        <row r="1203">
          <cell r="A1203" t="str">
            <v>605 (2) o2</v>
          </cell>
          <cell r="B1203" t="str">
            <v>Regulatory Signs 900 mm R3-14B</v>
          </cell>
          <cell r="C1203" t="str">
            <v>Each</v>
          </cell>
          <cell r="D1203" t="str">
            <v>each</v>
          </cell>
        </row>
        <row r="1204">
          <cell r="A1204" t="str">
            <v>605 (2) o3</v>
          </cell>
          <cell r="B1204" t="str">
            <v>Regulatory Signs 450 x 750 mm R3-14 PA</v>
          </cell>
          <cell r="C1204" t="str">
            <v>Each</v>
          </cell>
          <cell r="D1204" t="str">
            <v>each</v>
          </cell>
        </row>
        <row r="1205">
          <cell r="A1205" t="str">
            <v>605 (2) o4</v>
          </cell>
          <cell r="B1205" t="str">
            <v>Regulatory Signs 600 x 1000 mm R3-14 PB</v>
          </cell>
          <cell r="C1205" t="str">
            <v>Each</v>
          </cell>
          <cell r="D1205" t="str">
            <v>each</v>
          </cell>
        </row>
        <row r="1206">
          <cell r="A1206" t="str">
            <v>605 (2) p1</v>
          </cell>
          <cell r="B1206" t="str">
            <v>Regulatory Signs 600 mm R3-15A</v>
          </cell>
          <cell r="C1206" t="str">
            <v>Each</v>
          </cell>
          <cell r="D1206" t="str">
            <v>each</v>
          </cell>
        </row>
        <row r="1207">
          <cell r="A1207" t="str">
            <v>605 (2) p2</v>
          </cell>
          <cell r="B1207" t="str">
            <v>Regulatory Signs 900 mm R3-15B</v>
          </cell>
          <cell r="C1207" t="str">
            <v>Each</v>
          </cell>
          <cell r="D1207" t="str">
            <v>each</v>
          </cell>
        </row>
        <row r="1208">
          <cell r="A1208" t="str">
            <v>605 (2) p3</v>
          </cell>
          <cell r="B1208" t="str">
            <v>Regulatory Signs 450 x 750 mm R3-15 PA</v>
          </cell>
          <cell r="C1208" t="str">
            <v>Each</v>
          </cell>
          <cell r="D1208" t="str">
            <v>each</v>
          </cell>
        </row>
        <row r="1209">
          <cell r="A1209" t="str">
            <v>605 (2) p4</v>
          </cell>
          <cell r="B1209" t="str">
            <v>Regulatory Signs 600 x 1000 mm R3-15 PB</v>
          </cell>
          <cell r="C1209" t="str">
            <v>Each</v>
          </cell>
          <cell r="D1209" t="str">
            <v>each</v>
          </cell>
        </row>
        <row r="1210">
          <cell r="A1210" t="str">
            <v>605 (2) q1</v>
          </cell>
          <cell r="B1210" t="str">
            <v>Regulatory Signs 600 mm R3-16A</v>
          </cell>
          <cell r="C1210" t="str">
            <v>Each</v>
          </cell>
          <cell r="D1210" t="str">
            <v>each</v>
          </cell>
        </row>
        <row r="1211">
          <cell r="A1211" t="str">
            <v>605 (2) q2</v>
          </cell>
          <cell r="B1211" t="str">
            <v>Regulatory Signs 900 mm R3-16B</v>
          </cell>
          <cell r="C1211" t="str">
            <v>Each</v>
          </cell>
          <cell r="D1211" t="str">
            <v>each</v>
          </cell>
        </row>
        <row r="1212">
          <cell r="A1212" t="str">
            <v>605 (2) q3</v>
          </cell>
          <cell r="B1212" t="str">
            <v>Regulatory Signs 600 x 900 mm R3-16 PA</v>
          </cell>
          <cell r="C1212" t="str">
            <v>Each</v>
          </cell>
          <cell r="D1212" t="str">
            <v>each</v>
          </cell>
        </row>
        <row r="1213">
          <cell r="A1213" t="str">
            <v>605 (2) q4</v>
          </cell>
          <cell r="B1213" t="str">
            <v>Regulatory Signs 750 x 1000 mm R3-16 PB</v>
          </cell>
          <cell r="C1213" t="str">
            <v>Each</v>
          </cell>
          <cell r="D1213" t="str">
            <v>each</v>
          </cell>
        </row>
        <row r="1214">
          <cell r="A1214" t="str">
            <v>605 (2) r1</v>
          </cell>
          <cell r="B1214" t="str">
            <v>Regulatory Signs 450 mm R4-1A</v>
          </cell>
          <cell r="C1214" t="str">
            <v>Each</v>
          </cell>
          <cell r="D1214" t="str">
            <v>each</v>
          </cell>
        </row>
        <row r="1215">
          <cell r="A1215" t="str">
            <v>605 (2) r2</v>
          </cell>
          <cell r="B1215" t="str">
            <v>Regulatory Signs 600 mm R4-1B</v>
          </cell>
          <cell r="C1215" t="str">
            <v>Each</v>
          </cell>
          <cell r="D1215" t="str">
            <v>each</v>
          </cell>
        </row>
        <row r="1216">
          <cell r="A1216" t="str">
            <v>605 (2) r3</v>
          </cell>
          <cell r="B1216" t="str">
            <v>Regulatory Signs 900 mm R4-1C</v>
          </cell>
          <cell r="C1216" t="str">
            <v>Each</v>
          </cell>
          <cell r="D1216" t="str">
            <v>each</v>
          </cell>
        </row>
        <row r="1217">
          <cell r="A1217" t="str">
            <v>605 (2) r4</v>
          </cell>
          <cell r="B1217" t="str">
            <v>Regulatory Signs 450 x 450 mm R4-2A</v>
          </cell>
          <cell r="C1217" t="str">
            <v>Each</v>
          </cell>
          <cell r="D1217" t="str">
            <v>each</v>
          </cell>
        </row>
        <row r="1218">
          <cell r="A1218" t="str">
            <v>605 (2) s1</v>
          </cell>
          <cell r="B1218" t="str">
            <v>Regulatory Signs 600 x 600 mm R4-2B</v>
          </cell>
          <cell r="C1218" t="str">
            <v>Each</v>
          </cell>
          <cell r="D1218" t="str">
            <v>each</v>
          </cell>
        </row>
        <row r="1219">
          <cell r="A1219" t="str">
            <v>605 (2) s2</v>
          </cell>
          <cell r="B1219" t="str">
            <v>Regulatory Signs 450 x 750 mm R4-2PA</v>
          </cell>
          <cell r="C1219" t="str">
            <v>Each</v>
          </cell>
          <cell r="D1219" t="str">
            <v>each</v>
          </cell>
        </row>
        <row r="1220">
          <cell r="A1220" t="str">
            <v>605 (2) s3</v>
          </cell>
          <cell r="B1220" t="str">
            <v>Regulatory Signs 600 x 1000 mm R4-2PB</v>
          </cell>
          <cell r="C1220" t="str">
            <v>Each</v>
          </cell>
          <cell r="D1220" t="str">
            <v>each</v>
          </cell>
        </row>
        <row r="1221">
          <cell r="A1221" t="str">
            <v>605 (2) s4</v>
          </cell>
          <cell r="B1221" t="str">
            <v>Regulatory Signs 800 x 1334 mm R4-2PC</v>
          </cell>
          <cell r="C1221" t="str">
            <v>Each</v>
          </cell>
          <cell r="D1221" t="str">
            <v>each</v>
          </cell>
        </row>
        <row r="1222">
          <cell r="A1222" t="str">
            <v>605 (2) s5</v>
          </cell>
          <cell r="B1222" t="str">
            <v>Regulatory Signs 900 mm R4-3A</v>
          </cell>
          <cell r="C1222" t="str">
            <v>Each</v>
          </cell>
          <cell r="D1222" t="str">
            <v>each</v>
          </cell>
        </row>
        <row r="1223">
          <cell r="A1223" t="str">
            <v>605 (2) t1</v>
          </cell>
          <cell r="B1223" t="str">
            <v>Regulatory Signs 450 mm R5-1SA</v>
          </cell>
          <cell r="C1223" t="str">
            <v>Each</v>
          </cell>
          <cell r="D1223" t="str">
            <v>each</v>
          </cell>
        </row>
        <row r="1224">
          <cell r="A1224" t="str">
            <v>605 (2) t2</v>
          </cell>
          <cell r="B1224" t="str">
            <v>Regulatory Signs 600 mm R5-1SB</v>
          </cell>
          <cell r="C1224" t="str">
            <v>Each</v>
          </cell>
          <cell r="D1224" t="str">
            <v>each</v>
          </cell>
        </row>
        <row r="1225">
          <cell r="A1225" t="str">
            <v>605 (2) u1</v>
          </cell>
          <cell r="B1225" t="str">
            <v>Regulatory Signs 450 x 750 mm R5-1PA</v>
          </cell>
          <cell r="C1225" t="str">
            <v>Each</v>
          </cell>
          <cell r="D1225" t="str">
            <v>each</v>
          </cell>
        </row>
        <row r="1226">
          <cell r="A1226" t="str">
            <v>605 (2) u2</v>
          </cell>
          <cell r="B1226" t="str">
            <v>Regulatory Signs 600 x 1000 mm R5-1PC</v>
          </cell>
          <cell r="C1226" t="str">
            <v>Each</v>
          </cell>
          <cell r="D1226" t="str">
            <v>each</v>
          </cell>
        </row>
        <row r="1227">
          <cell r="A1227" t="str">
            <v>605 (2) v1</v>
          </cell>
          <cell r="B1227" t="str">
            <v>Regulatory Signs 450 x 750 mm R5-2PA</v>
          </cell>
          <cell r="C1227" t="str">
            <v>Each</v>
          </cell>
          <cell r="D1227" t="str">
            <v>each</v>
          </cell>
        </row>
        <row r="1228">
          <cell r="A1228" t="str">
            <v>605 (2) v2</v>
          </cell>
          <cell r="B1228" t="str">
            <v>Regulatory Signs 600 x 1000 mm R5-2PB</v>
          </cell>
          <cell r="C1228" t="str">
            <v>Each</v>
          </cell>
          <cell r="D1228" t="str">
            <v>each</v>
          </cell>
        </row>
        <row r="1229">
          <cell r="A1229" t="str">
            <v>605 (2) w1</v>
          </cell>
          <cell r="B1229" t="str">
            <v>Regulatory Signs 450 x 750 mm R5-3PA</v>
          </cell>
          <cell r="C1229" t="str">
            <v>Each</v>
          </cell>
          <cell r="D1229" t="str">
            <v>each</v>
          </cell>
        </row>
        <row r="1230">
          <cell r="A1230" t="str">
            <v>605 (2) w2</v>
          </cell>
          <cell r="B1230" t="str">
            <v>Regulatory Signs 600 x 1000 mm R5-3PB</v>
          </cell>
          <cell r="C1230" t="str">
            <v>Each</v>
          </cell>
          <cell r="D1230" t="str">
            <v>each</v>
          </cell>
        </row>
        <row r="1231">
          <cell r="A1231" t="str">
            <v>605 (2) x1</v>
          </cell>
          <cell r="B1231" t="str">
            <v>Regulatory Signs 450 x 750 mm R5-3CA</v>
          </cell>
          <cell r="C1231" t="str">
            <v>Each</v>
          </cell>
          <cell r="D1231" t="str">
            <v>each</v>
          </cell>
        </row>
        <row r="1232">
          <cell r="A1232" t="str">
            <v>605 (2) x2</v>
          </cell>
          <cell r="B1232" t="str">
            <v>Regulatory Signs 600 x 1000 mm R5-3CB</v>
          </cell>
          <cell r="C1232" t="str">
            <v>Each</v>
          </cell>
          <cell r="D1232" t="str">
            <v>each</v>
          </cell>
        </row>
        <row r="1233">
          <cell r="A1233" t="str">
            <v>605 (2) y1</v>
          </cell>
          <cell r="B1233" t="str">
            <v>Regulatory Signs 450 x 750 mm R5-4</v>
          </cell>
          <cell r="C1233" t="str">
            <v>Each</v>
          </cell>
          <cell r="D1233" t="str">
            <v>each</v>
          </cell>
        </row>
        <row r="1234">
          <cell r="A1234" t="str">
            <v>605 (2) y2</v>
          </cell>
          <cell r="B1234" t="str">
            <v>Regulatory Signs 450 x 750 mm R5-4A</v>
          </cell>
          <cell r="C1234" t="str">
            <v>Each</v>
          </cell>
          <cell r="D1234" t="str">
            <v>each</v>
          </cell>
        </row>
        <row r="1235">
          <cell r="A1235" t="str">
            <v>605 (2) z1</v>
          </cell>
          <cell r="B1235" t="str">
            <v>Regulatory Signs 450 x 750 mm R5-4B</v>
          </cell>
          <cell r="C1235" t="str">
            <v>Each</v>
          </cell>
          <cell r="D1235" t="str">
            <v>each</v>
          </cell>
        </row>
        <row r="1236">
          <cell r="A1236" t="str">
            <v>605 (2) z2</v>
          </cell>
          <cell r="B1236" t="str">
            <v>Regulatory Signs 450 x 750 mm R5-4C</v>
          </cell>
          <cell r="C1236" t="str">
            <v>Each</v>
          </cell>
          <cell r="D1236" t="str">
            <v>each</v>
          </cell>
        </row>
        <row r="1237">
          <cell r="A1237" t="str">
            <v>605 (2) aa1</v>
          </cell>
          <cell r="B1237" t="str">
            <v>Regulatory Signs 450 x 750 mm R5-5</v>
          </cell>
          <cell r="C1237" t="str">
            <v>Each</v>
          </cell>
          <cell r="D1237" t="str">
            <v>each</v>
          </cell>
        </row>
        <row r="1238">
          <cell r="A1238" t="str">
            <v>605 (2) aa2</v>
          </cell>
          <cell r="B1238" t="str">
            <v>Regulatory Signs 450 x 750 mm R5-5A</v>
          </cell>
          <cell r="C1238" t="str">
            <v>Each</v>
          </cell>
          <cell r="D1238" t="str">
            <v>each</v>
          </cell>
        </row>
        <row r="1239">
          <cell r="A1239" t="str">
            <v>605 (2) aa3</v>
          </cell>
          <cell r="B1239" t="str">
            <v>Regulatory Signs 450 x 750 mm R5-5B</v>
          </cell>
          <cell r="C1239" t="str">
            <v>Each</v>
          </cell>
          <cell r="D1239" t="str">
            <v>each</v>
          </cell>
        </row>
        <row r="1240">
          <cell r="A1240" t="str">
            <v>605 (2) ab1</v>
          </cell>
          <cell r="B1240" t="str">
            <v>Regulatory Signs 450 x 750 mm R5-6</v>
          </cell>
          <cell r="C1240" t="str">
            <v>Each</v>
          </cell>
          <cell r="D1240" t="str">
            <v>each</v>
          </cell>
        </row>
        <row r="1241">
          <cell r="A1241" t="str">
            <v>605 (2) ab2</v>
          </cell>
          <cell r="B1241" t="str">
            <v>Regulatory Signs 450 x 750 mm R5-6A</v>
          </cell>
          <cell r="C1241" t="str">
            <v>Each</v>
          </cell>
          <cell r="D1241" t="str">
            <v>each</v>
          </cell>
        </row>
        <row r="1242">
          <cell r="A1242" t="str">
            <v>605 (2) ab3</v>
          </cell>
          <cell r="B1242" t="str">
            <v>Regulatory Signs 450 x 750 mm R5-7</v>
          </cell>
          <cell r="C1242" t="str">
            <v>Each</v>
          </cell>
          <cell r="D1242" t="str">
            <v>each</v>
          </cell>
        </row>
        <row r="1243">
          <cell r="A1243" t="str">
            <v>605 (2) ac1</v>
          </cell>
          <cell r="B1243" t="str">
            <v>Regulatory Signs 450 x 750 mm R5-8</v>
          </cell>
          <cell r="C1243" t="str">
            <v>Each</v>
          </cell>
          <cell r="D1243" t="str">
            <v>each</v>
          </cell>
        </row>
        <row r="1244">
          <cell r="A1244" t="str">
            <v>605 (2) ac2</v>
          </cell>
          <cell r="B1244" t="str">
            <v>Regulatory Signs 400 x 900 mm R5-9A</v>
          </cell>
          <cell r="C1244" t="str">
            <v>Each</v>
          </cell>
          <cell r="D1244" t="str">
            <v>each</v>
          </cell>
        </row>
        <row r="1245">
          <cell r="A1245" t="str">
            <v>605 (2) ac3</v>
          </cell>
          <cell r="B1245" t="str">
            <v>Regulatory Signs 400 x 900 mm R5-9B</v>
          </cell>
          <cell r="C1245" t="str">
            <v>Each</v>
          </cell>
          <cell r="D1245" t="str">
            <v>each</v>
          </cell>
        </row>
        <row r="1246">
          <cell r="A1246" t="str">
            <v>605 (2) ac4</v>
          </cell>
          <cell r="B1246" t="str">
            <v>Regulatory Signs 400 x 900 mm R5-9C</v>
          </cell>
          <cell r="C1246" t="str">
            <v>Each</v>
          </cell>
          <cell r="D1246" t="str">
            <v>each</v>
          </cell>
        </row>
        <row r="1247">
          <cell r="A1247" t="str">
            <v>605 (2) ad1</v>
          </cell>
          <cell r="B1247" t="str">
            <v>Regulatory Signs 400 x 600 mm R5-10</v>
          </cell>
          <cell r="C1247" t="str">
            <v>Each</v>
          </cell>
          <cell r="D1247" t="str">
            <v>each</v>
          </cell>
        </row>
        <row r="1248">
          <cell r="A1248" t="str">
            <v>605 (2) ae1</v>
          </cell>
          <cell r="B1248" t="str">
            <v>Regulatory Signs 450 x 600 mm R5-11</v>
          </cell>
          <cell r="C1248" t="str">
            <v>Each</v>
          </cell>
          <cell r="D1248" t="str">
            <v>each</v>
          </cell>
        </row>
        <row r="1249">
          <cell r="A1249" t="str">
            <v>605 (2) af1</v>
          </cell>
          <cell r="B1249" t="str">
            <v>Regulatory Signs 600 mm R6-1</v>
          </cell>
          <cell r="C1249" t="str">
            <v>Each</v>
          </cell>
          <cell r="D1249" t="str">
            <v>each</v>
          </cell>
        </row>
        <row r="1250">
          <cell r="A1250" t="str">
            <v>605 (2) ag1</v>
          </cell>
          <cell r="B1250" t="str">
            <v>Regulatory Signs 600 mm R6-2</v>
          </cell>
          <cell r="C1250" t="str">
            <v>Each</v>
          </cell>
          <cell r="D1250" t="str">
            <v>each</v>
          </cell>
        </row>
        <row r="1251">
          <cell r="A1251" t="str">
            <v>605 (2) ag2</v>
          </cell>
          <cell r="B1251" t="str">
            <v>Regulatory Signs 600 mm R6-3</v>
          </cell>
          <cell r="C1251" t="str">
            <v>Each</v>
          </cell>
          <cell r="D1251" t="str">
            <v>each</v>
          </cell>
        </row>
        <row r="1252">
          <cell r="A1252" t="str">
            <v>605 (2) ag3</v>
          </cell>
          <cell r="B1252" t="str">
            <v>Regulatory Signs 600 mm R6-4</v>
          </cell>
          <cell r="C1252" t="str">
            <v>Each</v>
          </cell>
          <cell r="D1252" t="str">
            <v>each</v>
          </cell>
        </row>
        <row r="1253">
          <cell r="A1253" t="str">
            <v>605 (2) ag4</v>
          </cell>
          <cell r="B1253" t="str">
            <v>Regulatory Signs 600 mm R6-5</v>
          </cell>
          <cell r="C1253" t="str">
            <v>Each</v>
          </cell>
          <cell r="D1253" t="str">
            <v>each</v>
          </cell>
        </row>
        <row r="1254">
          <cell r="A1254" t="str">
            <v>605 (2) ag5</v>
          </cell>
          <cell r="B1254" t="str">
            <v>Regulatory Signs 600 mm R6-6</v>
          </cell>
          <cell r="C1254" t="str">
            <v>Each</v>
          </cell>
          <cell r="D1254" t="str">
            <v>each</v>
          </cell>
        </row>
        <row r="1255">
          <cell r="A1255" t="str">
            <v>605 (2) ah1</v>
          </cell>
          <cell r="B1255" t="str">
            <v>Regulatory Signs 450 x 675 mm R6-7</v>
          </cell>
          <cell r="C1255" t="str">
            <v>Each</v>
          </cell>
          <cell r="D1255" t="str">
            <v>each</v>
          </cell>
        </row>
        <row r="1256">
          <cell r="A1256" t="str">
            <v>605 (2) ai1</v>
          </cell>
          <cell r="B1256" t="str">
            <v>Regulatory Signs 450 mm R6-8A</v>
          </cell>
          <cell r="C1256" t="str">
            <v>Each</v>
          </cell>
          <cell r="D1256" t="str">
            <v>each</v>
          </cell>
        </row>
        <row r="1257">
          <cell r="A1257" t="str">
            <v>605 (2) ai2</v>
          </cell>
          <cell r="B1257" t="str">
            <v>Regulatory Signs 600 mm R6-8B</v>
          </cell>
          <cell r="C1257" t="str">
            <v>Each</v>
          </cell>
          <cell r="D1257" t="str">
            <v>each</v>
          </cell>
        </row>
        <row r="1258">
          <cell r="A1258" t="str">
            <v>605 (2) ai3</v>
          </cell>
          <cell r="B1258" t="str">
            <v>Regulatory Signs 750 mm R6-8C</v>
          </cell>
          <cell r="C1258" t="str">
            <v>Each</v>
          </cell>
          <cell r="D1258" t="str">
            <v>each</v>
          </cell>
        </row>
        <row r="1259">
          <cell r="A1259" t="str">
            <v>605 (2) aj1</v>
          </cell>
          <cell r="B1259" t="str">
            <v>Regulatory Signs 450 mm R6-9A</v>
          </cell>
          <cell r="C1259" t="str">
            <v>Each</v>
          </cell>
          <cell r="D1259" t="str">
            <v>each</v>
          </cell>
        </row>
        <row r="1260">
          <cell r="A1260" t="str">
            <v>605 (2) aj2</v>
          </cell>
          <cell r="B1260" t="str">
            <v>Regulatory Signs 600 mm R6-9B</v>
          </cell>
          <cell r="C1260" t="str">
            <v>Each</v>
          </cell>
          <cell r="D1260" t="str">
            <v>each</v>
          </cell>
        </row>
        <row r="1261">
          <cell r="A1261" t="str">
            <v>605 (2) aj3</v>
          </cell>
          <cell r="B1261" t="str">
            <v>Regulatory Signs 750 mm R6-9C</v>
          </cell>
          <cell r="C1261" t="str">
            <v>Each</v>
          </cell>
          <cell r="D1261" t="str">
            <v>each</v>
          </cell>
        </row>
        <row r="1262">
          <cell r="A1262" t="str">
            <v>605 (2) ak1</v>
          </cell>
          <cell r="B1262" t="str">
            <v>Regulatory Signs 450 mm R6-10A</v>
          </cell>
          <cell r="C1262" t="str">
            <v>Each</v>
          </cell>
          <cell r="D1262" t="str">
            <v>each</v>
          </cell>
        </row>
        <row r="1263">
          <cell r="A1263" t="str">
            <v>605 (2) ak2</v>
          </cell>
          <cell r="B1263" t="str">
            <v>Regulatory Signs 600 mm R6-10B</v>
          </cell>
          <cell r="C1263" t="str">
            <v>Each</v>
          </cell>
          <cell r="D1263" t="str">
            <v>each</v>
          </cell>
        </row>
        <row r="1264">
          <cell r="A1264" t="str">
            <v>605 (2) ak3</v>
          </cell>
          <cell r="B1264" t="str">
            <v>Regulatory Signs 750 mm R6-10C</v>
          </cell>
          <cell r="C1264" t="str">
            <v>Each</v>
          </cell>
          <cell r="D1264" t="str">
            <v>each</v>
          </cell>
        </row>
        <row r="1265">
          <cell r="A1265" t="str">
            <v>605 (2) al1</v>
          </cell>
          <cell r="B1265" t="str">
            <v>Regulatory Signs 450 mm R6-11A</v>
          </cell>
          <cell r="C1265" t="str">
            <v>Each</v>
          </cell>
          <cell r="D1265" t="str">
            <v>each</v>
          </cell>
        </row>
        <row r="1266">
          <cell r="A1266" t="str">
            <v>605 (2) al2</v>
          </cell>
          <cell r="B1266" t="str">
            <v>Regulatory Signs 600 mm R6-11B</v>
          </cell>
          <cell r="C1266" t="str">
            <v>Each</v>
          </cell>
          <cell r="D1266" t="str">
            <v>each</v>
          </cell>
        </row>
        <row r="1267">
          <cell r="A1267" t="str">
            <v>605 (2) al3</v>
          </cell>
          <cell r="B1267" t="str">
            <v>Regulatory Signs 750 mm R6-11C</v>
          </cell>
          <cell r="C1267" t="str">
            <v>Each</v>
          </cell>
          <cell r="D1267" t="str">
            <v>each</v>
          </cell>
        </row>
        <row r="1268">
          <cell r="A1268" t="str">
            <v>605 (3) a1</v>
          </cell>
          <cell r="B1268" t="str">
            <v>Guide or Information Signs G1-1</v>
          </cell>
          <cell r="C1268" t="str">
            <v>Each</v>
          </cell>
          <cell r="D1268" t="str">
            <v>each</v>
          </cell>
        </row>
        <row r="1269">
          <cell r="A1269" t="str">
            <v>605 (3) a2</v>
          </cell>
          <cell r="B1269" t="str">
            <v>Guide or Information Signs G1-2</v>
          </cell>
          <cell r="C1269" t="str">
            <v>Each</v>
          </cell>
          <cell r="D1269" t="str">
            <v>each</v>
          </cell>
        </row>
        <row r="1270">
          <cell r="A1270" t="str">
            <v>605 (3) a3</v>
          </cell>
          <cell r="B1270" t="str">
            <v>Guide or Information Signs G1-3</v>
          </cell>
          <cell r="C1270" t="str">
            <v>Each</v>
          </cell>
          <cell r="D1270" t="str">
            <v>each</v>
          </cell>
        </row>
        <row r="1271">
          <cell r="A1271" t="str">
            <v>605 (3) b1</v>
          </cell>
          <cell r="B1271" t="str">
            <v>Guide or Information Signs G1-4</v>
          </cell>
          <cell r="C1271" t="str">
            <v>Each</v>
          </cell>
          <cell r="D1271" t="str">
            <v>each</v>
          </cell>
        </row>
        <row r="1272">
          <cell r="A1272" t="str">
            <v>605 (3) b2</v>
          </cell>
          <cell r="B1272" t="str">
            <v>Guide or Information Signs G1-5</v>
          </cell>
          <cell r="C1272" t="str">
            <v>Each</v>
          </cell>
          <cell r="D1272" t="str">
            <v>each</v>
          </cell>
        </row>
        <row r="1273">
          <cell r="A1273" t="str">
            <v>605 (3) c1</v>
          </cell>
          <cell r="B1273" t="str">
            <v>Guide or Information Signs G2-1</v>
          </cell>
          <cell r="C1273" t="str">
            <v>Each</v>
          </cell>
          <cell r="D1273" t="str">
            <v>each</v>
          </cell>
        </row>
        <row r="1274">
          <cell r="A1274" t="str">
            <v>605 (3) c2</v>
          </cell>
          <cell r="B1274" t="str">
            <v>Guide or Information Signs G2-2</v>
          </cell>
          <cell r="C1274" t="str">
            <v>Each</v>
          </cell>
          <cell r="D1274" t="str">
            <v>each</v>
          </cell>
        </row>
        <row r="1275">
          <cell r="A1275" t="str">
            <v>605 (3) c3</v>
          </cell>
          <cell r="B1275" t="str">
            <v>Guide or Information Signs G2-3</v>
          </cell>
          <cell r="C1275" t="str">
            <v>Each</v>
          </cell>
          <cell r="D1275" t="str">
            <v>each</v>
          </cell>
        </row>
        <row r="1276">
          <cell r="A1276" t="str">
            <v>605 (3) c4</v>
          </cell>
          <cell r="B1276" t="str">
            <v>Guide or Information Signs G2-4</v>
          </cell>
          <cell r="C1276" t="str">
            <v>Each</v>
          </cell>
          <cell r="D1276" t="str">
            <v>each</v>
          </cell>
        </row>
        <row r="1277">
          <cell r="A1277" t="str">
            <v>605 (3) d1</v>
          </cell>
          <cell r="B1277" t="str">
            <v>Guide or Information Signs G3-1</v>
          </cell>
          <cell r="C1277" t="str">
            <v>Each</v>
          </cell>
          <cell r="D1277" t="str">
            <v>each</v>
          </cell>
        </row>
        <row r="1278">
          <cell r="A1278" t="str">
            <v>605 (3) d2</v>
          </cell>
          <cell r="B1278" t="str">
            <v>Guide or Information Signs G3-2</v>
          </cell>
          <cell r="C1278" t="str">
            <v>Each</v>
          </cell>
          <cell r="D1278" t="str">
            <v>each</v>
          </cell>
        </row>
        <row r="1279">
          <cell r="A1279" t="str">
            <v>605 (3) e1</v>
          </cell>
          <cell r="B1279" t="str">
            <v>Guide or Information Signs G4-1</v>
          </cell>
          <cell r="C1279" t="str">
            <v>Each</v>
          </cell>
          <cell r="D1279" t="str">
            <v>each</v>
          </cell>
        </row>
        <row r="1280">
          <cell r="A1280" t="str">
            <v>605 (3) e2</v>
          </cell>
          <cell r="B1280" t="str">
            <v>Guide or Information Signs G4-2</v>
          </cell>
          <cell r="C1280" t="str">
            <v>Each</v>
          </cell>
          <cell r="D1280" t="str">
            <v>each</v>
          </cell>
        </row>
        <row r="1281">
          <cell r="A1281" t="str">
            <v>605 (3) e3</v>
          </cell>
          <cell r="B1281" t="str">
            <v>Guide or Information Signs G4-3</v>
          </cell>
          <cell r="C1281" t="str">
            <v>Each</v>
          </cell>
          <cell r="D1281" t="str">
            <v>each</v>
          </cell>
        </row>
        <row r="1282">
          <cell r="A1282" t="str">
            <v>605 (3) f1</v>
          </cell>
          <cell r="B1282" t="str">
            <v>Guide or Information Signs G5-1</v>
          </cell>
          <cell r="C1282" t="str">
            <v>Each</v>
          </cell>
          <cell r="D1282" t="str">
            <v>each</v>
          </cell>
        </row>
        <row r="1283">
          <cell r="A1283" t="str">
            <v>605 (3) f2</v>
          </cell>
          <cell r="B1283" t="str">
            <v>Guide or Information Signs G5-2A</v>
          </cell>
          <cell r="C1283" t="str">
            <v>Each</v>
          </cell>
          <cell r="D1283" t="str">
            <v>each</v>
          </cell>
        </row>
        <row r="1284">
          <cell r="A1284" t="str">
            <v>605 (3) f3</v>
          </cell>
          <cell r="B1284" t="str">
            <v>Guide or Information Signs G5-2B</v>
          </cell>
          <cell r="C1284" t="str">
            <v>Each</v>
          </cell>
          <cell r="D1284" t="str">
            <v>each</v>
          </cell>
        </row>
        <row r="1285">
          <cell r="A1285" t="str">
            <v>605 (3) f4</v>
          </cell>
          <cell r="B1285" t="str">
            <v>Guide or Information Signs G5-3</v>
          </cell>
          <cell r="C1285" t="str">
            <v>Each</v>
          </cell>
          <cell r="D1285" t="str">
            <v>each</v>
          </cell>
        </row>
        <row r="1286">
          <cell r="A1286" t="str">
            <v>605 (3) g1</v>
          </cell>
          <cell r="B1286" t="str">
            <v>Guide or Information Signs G6-1</v>
          </cell>
          <cell r="C1286" t="str">
            <v>Each</v>
          </cell>
          <cell r="D1286" t="str">
            <v>each</v>
          </cell>
        </row>
        <row r="1287">
          <cell r="A1287" t="str">
            <v>605 (3) g2</v>
          </cell>
          <cell r="B1287" t="str">
            <v>Guide or Information Signs G6-2</v>
          </cell>
          <cell r="C1287" t="str">
            <v>Each</v>
          </cell>
          <cell r="D1287" t="str">
            <v>each</v>
          </cell>
        </row>
        <row r="1288">
          <cell r="A1288" t="str">
            <v>605 (3) g3</v>
          </cell>
          <cell r="B1288" t="str">
            <v>Guide or Information Signs G6-3</v>
          </cell>
          <cell r="C1288" t="str">
            <v>Each</v>
          </cell>
          <cell r="D1288" t="str">
            <v>each</v>
          </cell>
        </row>
        <row r="1289">
          <cell r="A1289" t="str">
            <v>605 (3) g4</v>
          </cell>
          <cell r="B1289" t="str">
            <v>Guide or Information Signs G6-4</v>
          </cell>
          <cell r="C1289" t="str">
            <v>Each</v>
          </cell>
          <cell r="D1289" t="str">
            <v>each</v>
          </cell>
        </row>
        <row r="1290">
          <cell r="A1290" t="str">
            <v>605 (3) h1</v>
          </cell>
          <cell r="B1290" t="str">
            <v>Guide or Information Signs G7-1</v>
          </cell>
          <cell r="C1290" t="str">
            <v>Each</v>
          </cell>
          <cell r="D1290" t="str">
            <v>each</v>
          </cell>
        </row>
        <row r="1291">
          <cell r="A1291" t="str">
            <v>605 (3) h2</v>
          </cell>
          <cell r="B1291" t="str">
            <v>Guide or Information Signs G7-2</v>
          </cell>
          <cell r="C1291" t="str">
            <v>Each</v>
          </cell>
          <cell r="D1291" t="str">
            <v>each</v>
          </cell>
        </row>
        <row r="1292">
          <cell r="A1292" t="str">
            <v>605 (3) h3</v>
          </cell>
          <cell r="B1292" t="str">
            <v>Guide or Information Signs G7-3</v>
          </cell>
          <cell r="C1292" t="str">
            <v>Each</v>
          </cell>
          <cell r="D1292" t="str">
            <v>each</v>
          </cell>
        </row>
        <row r="1293">
          <cell r="A1293" t="str">
            <v>605 (3) h4</v>
          </cell>
          <cell r="B1293" t="str">
            <v>Guide or Information Signs G7-3A</v>
          </cell>
          <cell r="C1293" t="str">
            <v>Each</v>
          </cell>
          <cell r="D1293" t="str">
            <v>each</v>
          </cell>
        </row>
        <row r="1294">
          <cell r="A1294" t="str">
            <v>605 (3) h5</v>
          </cell>
          <cell r="B1294" t="str">
            <v>Guide or Information Signs G7-4</v>
          </cell>
          <cell r="C1294" t="str">
            <v>Each</v>
          </cell>
          <cell r="D1294" t="str">
            <v>each</v>
          </cell>
        </row>
        <row r="1295">
          <cell r="A1295" t="str">
            <v>605 (3) h6</v>
          </cell>
          <cell r="B1295" t="str">
            <v>Guide or Information Signs G7-5</v>
          </cell>
          <cell r="C1295" t="str">
            <v>Each</v>
          </cell>
          <cell r="D1295" t="str">
            <v>each</v>
          </cell>
        </row>
        <row r="1296">
          <cell r="A1296" t="str">
            <v>605 (3) i1</v>
          </cell>
          <cell r="B1296" t="str">
            <v>Guide or Information Signs G8-1</v>
          </cell>
          <cell r="C1296" t="str">
            <v>Each</v>
          </cell>
          <cell r="D1296" t="str">
            <v>each</v>
          </cell>
        </row>
        <row r="1297">
          <cell r="A1297" t="str">
            <v>605 (3) i2</v>
          </cell>
          <cell r="B1297" t="str">
            <v>Guide or Information Signs G8-2</v>
          </cell>
          <cell r="C1297" t="str">
            <v>Each</v>
          </cell>
          <cell r="D1297" t="str">
            <v>each</v>
          </cell>
        </row>
        <row r="1298">
          <cell r="A1298" t="str">
            <v>605 (3) i3</v>
          </cell>
          <cell r="B1298" t="str">
            <v>Guide or Information Signs G8-3</v>
          </cell>
          <cell r="C1298" t="str">
            <v>Each</v>
          </cell>
          <cell r="D1298" t="str">
            <v>each</v>
          </cell>
        </row>
        <row r="1299">
          <cell r="A1299" t="str">
            <v>605 (3) i4</v>
          </cell>
          <cell r="B1299" t="str">
            <v>Guide or Information Signs G8-4</v>
          </cell>
          <cell r="C1299" t="str">
            <v>Each</v>
          </cell>
          <cell r="D1299" t="str">
            <v>each</v>
          </cell>
        </row>
        <row r="1300">
          <cell r="A1300" t="str">
            <v>605 (3) j1</v>
          </cell>
          <cell r="B1300" t="str">
            <v>Guide or Information Signs G9-1</v>
          </cell>
          <cell r="C1300" t="str">
            <v>Each</v>
          </cell>
          <cell r="D1300" t="str">
            <v>each</v>
          </cell>
        </row>
        <row r="1301">
          <cell r="A1301" t="str">
            <v>605 (3) j2</v>
          </cell>
          <cell r="B1301" t="str">
            <v>Guide or Information Signs G9-2</v>
          </cell>
          <cell r="C1301" t="str">
            <v>Each</v>
          </cell>
          <cell r="D1301" t="str">
            <v>each</v>
          </cell>
        </row>
        <row r="1302">
          <cell r="A1302" t="str">
            <v>605 (3) j3</v>
          </cell>
          <cell r="B1302" t="str">
            <v>Guide or Information Signs G9-3</v>
          </cell>
          <cell r="C1302" t="str">
            <v>Each</v>
          </cell>
          <cell r="D1302" t="str">
            <v>each</v>
          </cell>
        </row>
        <row r="1303">
          <cell r="A1303" t="str">
            <v>605 (3) j4</v>
          </cell>
          <cell r="B1303" t="str">
            <v>Guide or Information Signs G9-4</v>
          </cell>
          <cell r="C1303" t="str">
            <v>Each</v>
          </cell>
          <cell r="D1303" t="str">
            <v>each</v>
          </cell>
        </row>
        <row r="1304">
          <cell r="A1304" t="str">
            <v>605 (3) j5</v>
          </cell>
          <cell r="B1304" t="str">
            <v>Guide or Information Signs G9-5</v>
          </cell>
          <cell r="C1304" t="str">
            <v>Each</v>
          </cell>
          <cell r="D1304" t="str">
            <v>each</v>
          </cell>
        </row>
        <row r="1305">
          <cell r="A1305" t="str">
            <v>605 (3) j6</v>
          </cell>
          <cell r="B1305" t="str">
            <v>Guide or Information Signs G9-6</v>
          </cell>
          <cell r="C1305" t="str">
            <v>Each</v>
          </cell>
          <cell r="D1305" t="str">
            <v>each</v>
          </cell>
        </row>
        <row r="1306">
          <cell r="A1306" t="str">
            <v>605 (3) j7</v>
          </cell>
          <cell r="B1306" t="str">
            <v>Guide or Information Signs G9-7</v>
          </cell>
          <cell r="C1306" t="str">
            <v>Each</v>
          </cell>
          <cell r="D1306" t="str">
            <v>each</v>
          </cell>
        </row>
        <row r="1307">
          <cell r="A1307" t="str">
            <v>605 (3) j8</v>
          </cell>
          <cell r="B1307" t="str">
            <v>Guide or Information Signs G9-8</v>
          </cell>
          <cell r="C1307" t="str">
            <v>Each</v>
          </cell>
          <cell r="D1307" t="str">
            <v>each</v>
          </cell>
        </row>
        <row r="1308">
          <cell r="A1308" t="str">
            <v>605 (3) k1</v>
          </cell>
          <cell r="B1308" t="str">
            <v>Guide or Information Signs 600mm X 750 mm G10-1A</v>
          </cell>
          <cell r="C1308" t="str">
            <v>Each</v>
          </cell>
          <cell r="D1308" t="str">
            <v>each</v>
          </cell>
        </row>
        <row r="1309">
          <cell r="A1309" t="str">
            <v>605 (3) k2</v>
          </cell>
          <cell r="B1309" t="str">
            <v>Guide or Information Signs 900 mm G10-1B</v>
          </cell>
          <cell r="C1309" t="str">
            <v>Each</v>
          </cell>
          <cell r="D1309" t="str">
            <v>each</v>
          </cell>
        </row>
        <row r="1310">
          <cell r="A1310" t="str">
            <v>605 (4) a1</v>
          </cell>
          <cell r="B1310" t="str">
            <v>Signs on Expressways GE1-1</v>
          </cell>
          <cell r="C1310" t="str">
            <v>Each</v>
          </cell>
          <cell r="D1310" t="str">
            <v>each</v>
          </cell>
        </row>
        <row r="1311">
          <cell r="A1311" t="str">
            <v>605 (4) a2</v>
          </cell>
          <cell r="B1311" t="str">
            <v>Signs on Expressways GE1-2</v>
          </cell>
          <cell r="C1311" t="str">
            <v>Each</v>
          </cell>
          <cell r="D1311" t="str">
            <v>each</v>
          </cell>
        </row>
        <row r="1312">
          <cell r="A1312" t="str">
            <v>605 (4) a3</v>
          </cell>
          <cell r="B1312" t="str">
            <v>Signs on Expressways GE1-3</v>
          </cell>
          <cell r="C1312" t="str">
            <v>Each</v>
          </cell>
          <cell r="D1312" t="str">
            <v>each</v>
          </cell>
        </row>
        <row r="1313">
          <cell r="A1313" t="str">
            <v>605 (4) b1</v>
          </cell>
          <cell r="B1313" t="str">
            <v>Signs on Expressways GE2-1A</v>
          </cell>
          <cell r="C1313" t="str">
            <v>Each</v>
          </cell>
          <cell r="D1313" t="str">
            <v>each</v>
          </cell>
        </row>
        <row r="1314">
          <cell r="A1314" t="str">
            <v>605 (4) b2</v>
          </cell>
          <cell r="B1314" t="str">
            <v>Signs on Expressways GE2-1B</v>
          </cell>
          <cell r="C1314" t="str">
            <v>Each</v>
          </cell>
          <cell r="D1314" t="str">
            <v>each</v>
          </cell>
        </row>
        <row r="1315">
          <cell r="A1315" t="str">
            <v>605 (4) b3</v>
          </cell>
          <cell r="B1315" t="str">
            <v>Signs on Expressways GE2-1C</v>
          </cell>
          <cell r="C1315" t="str">
            <v>Each</v>
          </cell>
          <cell r="D1315" t="str">
            <v>each</v>
          </cell>
        </row>
        <row r="1316">
          <cell r="A1316" t="str">
            <v>605 (4) b4</v>
          </cell>
          <cell r="B1316" t="str">
            <v>Signs on Expressways GE2-2</v>
          </cell>
          <cell r="C1316" t="str">
            <v>Each</v>
          </cell>
          <cell r="D1316" t="str">
            <v>each</v>
          </cell>
        </row>
        <row r="1317">
          <cell r="A1317" t="str">
            <v>605 (4) b5</v>
          </cell>
          <cell r="B1317" t="str">
            <v>Signs on Expressways GE2-3</v>
          </cell>
          <cell r="C1317" t="str">
            <v>Each</v>
          </cell>
          <cell r="D1317" t="str">
            <v>each</v>
          </cell>
        </row>
        <row r="1318">
          <cell r="A1318" t="str">
            <v>605 (4) c1</v>
          </cell>
          <cell r="B1318" t="str">
            <v>Signs on Expressways GE3-1</v>
          </cell>
          <cell r="C1318" t="str">
            <v>Each</v>
          </cell>
          <cell r="D1318" t="str">
            <v>each</v>
          </cell>
        </row>
        <row r="1319">
          <cell r="A1319" t="str">
            <v>605 (4) c2</v>
          </cell>
          <cell r="B1319" t="str">
            <v>Signs on Expressways GE3-2</v>
          </cell>
          <cell r="C1319" t="str">
            <v>Each</v>
          </cell>
          <cell r="D1319" t="str">
            <v>each</v>
          </cell>
        </row>
        <row r="1320">
          <cell r="A1320" t="str">
            <v>605 (4) c3</v>
          </cell>
          <cell r="B1320" t="str">
            <v>Signs on Expressways GE3-3</v>
          </cell>
          <cell r="C1320" t="str">
            <v>Each</v>
          </cell>
          <cell r="D1320" t="str">
            <v>each</v>
          </cell>
        </row>
        <row r="1321">
          <cell r="A1321" t="str">
            <v>605 (4) d1</v>
          </cell>
          <cell r="B1321" t="str">
            <v>Signs on Expressways GE4-1</v>
          </cell>
          <cell r="C1321" t="str">
            <v>Each</v>
          </cell>
          <cell r="D1321" t="str">
            <v>each</v>
          </cell>
        </row>
        <row r="1322">
          <cell r="A1322" t="str">
            <v>605 (4) d2</v>
          </cell>
          <cell r="B1322" t="str">
            <v>Signs on Expressways GE4-2</v>
          </cell>
          <cell r="C1322" t="str">
            <v>Each</v>
          </cell>
          <cell r="D1322" t="str">
            <v>each</v>
          </cell>
        </row>
        <row r="1323">
          <cell r="A1323" t="str">
            <v>605 (4) d3</v>
          </cell>
          <cell r="B1323" t="str">
            <v>Signs on Expressways GE4-3</v>
          </cell>
          <cell r="C1323" t="str">
            <v>Each</v>
          </cell>
          <cell r="D1323" t="str">
            <v>each</v>
          </cell>
        </row>
        <row r="1324">
          <cell r="A1324" t="str">
            <v>605 (4) d4</v>
          </cell>
          <cell r="B1324" t="str">
            <v>Signs on Expressways GE4-3A</v>
          </cell>
          <cell r="C1324" t="str">
            <v>Each</v>
          </cell>
          <cell r="D1324" t="str">
            <v>each</v>
          </cell>
        </row>
        <row r="1325">
          <cell r="A1325" t="str">
            <v>605 (4) e1</v>
          </cell>
          <cell r="B1325" t="str">
            <v>Signs on Expressways 2800mm X 1500 mm GE5-1</v>
          </cell>
          <cell r="C1325" t="str">
            <v>Each</v>
          </cell>
          <cell r="D1325" t="str">
            <v>each</v>
          </cell>
        </row>
        <row r="1326">
          <cell r="A1326" t="str">
            <v>605 (4) e2</v>
          </cell>
          <cell r="B1326" t="str">
            <v>Signs on Expressways 2800mm X 1500 mm GE5-1A</v>
          </cell>
          <cell r="C1326" t="str">
            <v>Each</v>
          </cell>
          <cell r="D1326" t="str">
            <v>each</v>
          </cell>
        </row>
        <row r="1327">
          <cell r="A1327" t="str">
            <v>605 (4) e3</v>
          </cell>
          <cell r="B1327" t="str">
            <v>Signs on Expressways 2500mm X 1100 mm GE5-2</v>
          </cell>
          <cell r="C1327" t="str">
            <v>Each</v>
          </cell>
          <cell r="D1327" t="str">
            <v>each</v>
          </cell>
        </row>
        <row r="1328">
          <cell r="A1328" t="str">
            <v>605 (4) e4</v>
          </cell>
          <cell r="B1328" t="str">
            <v>Signs on Expressways 1500mm X 1800 mm GE5-3</v>
          </cell>
          <cell r="C1328" t="str">
            <v>Each</v>
          </cell>
          <cell r="D1328" t="str">
            <v>each</v>
          </cell>
        </row>
        <row r="1329">
          <cell r="A1329" t="str">
            <v>605 (4) e5</v>
          </cell>
          <cell r="B1329" t="str">
            <v>Signs on Expressways 2800mm X 1500 mm GE5-4</v>
          </cell>
          <cell r="C1329" t="str">
            <v>Each</v>
          </cell>
          <cell r="D1329" t="str">
            <v>each</v>
          </cell>
        </row>
        <row r="1330">
          <cell r="A1330" t="str">
            <v>605 (4) e6</v>
          </cell>
          <cell r="B1330" t="str">
            <v>Signs on Expressways 2240mm X 1800 mm GE5-5</v>
          </cell>
          <cell r="C1330" t="str">
            <v>Each</v>
          </cell>
          <cell r="D1330" t="str">
            <v>each</v>
          </cell>
        </row>
        <row r="1331">
          <cell r="A1331" t="str">
            <v>605 (4) e7</v>
          </cell>
          <cell r="B1331" t="str">
            <v>Signs on Expressways 3240mm X 1800 mm GE5-6</v>
          </cell>
          <cell r="C1331" t="str">
            <v>Each</v>
          </cell>
          <cell r="D1331" t="str">
            <v>each</v>
          </cell>
        </row>
        <row r="1332">
          <cell r="A1332" t="str">
            <v>605 (4) e8</v>
          </cell>
          <cell r="B1332" t="str">
            <v>Signs on Expressways 2800mm X 1800 mm GE5-7</v>
          </cell>
          <cell r="C1332" t="str">
            <v>Each</v>
          </cell>
          <cell r="D1332" t="str">
            <v>each</v>
          </cell>
        </row>
        <row r="1333">
          <cell r="A1333" t="str">
            <v>605 (4) f1</v>
          </cell>
          <cell r="B1333" t="str">
            <v>Signs on Expressways 2300mm X 1500 mm GE6-1</v>
          </cell>
          <cell r="C1333" t="str">
            <v>Each</v>
          </cell>
          <cell r="D1333" t="str">
            <v>each</v>
          </cell>
        </row>
        <row r="1334">
          <cell r="A1334" t="str">
            <v>605 (4) f2</v>
          </cell>
          <cell r="B1334" t="str">
            <v>Signs on Expressways 1200mm X 600 mm GE6-1A</v>
          </cell>
          <cell r="C1334" t="str">
            <v>Each</v>
          </cell>
          <cell r="D1334" t="str">
            <v>each</v>
          </cell>
        </row>
        <row r="1335">
          <cell r="A1335" t="str">
            <v>605 (4) f3</v>
          </cell>
          <cell r="B1335" t="str">
            <v>Signs on Expressways 900mm X 450 mm GE6-2</v>
          </cell>
          <cell r="C1335" t="str">
            <v>Each</v>
          </cell>
          <cell r="D1335" t="str">
            <v>each</v>
          </cell>
        </row>
        <row r="1336">
          <cell r="A1336" t="str">
            <v>605 (4) f4</v>
          </cell>
          <cell r="B1336" t="str">
            <v>Signs on Expressways 900mm X 450 mm GE6-3</v>
          </cell>
          <cell r="C1336" t="str">
            <v>Each</v>
          </cell>
          <cell r="D1336" t="str">
            <v>each</v>
          </cell>
        </row>
        <row r="1337">
          <cell r="A1337" t="str">
            <v>605 (4) g1</v>
          </cell>
          <cell r="B1337" t="str">
            <v>Signs on Expressways 2600mm X 1600 mm GE7-1</v>
          </cell>
          <cell r="C1337" t="str">
            <v>Each</v>
          </cell>
          <cell r="D1337" t="str">
            <v>each</v>
          </cell>
        </row>
        <row r="1338">
          <cell r="A1338" t="str">
            <v>605 (4) g2</v>
          </cell>
          <cell r="B1338" t="str">
            <v>Signs on Expressways 1600mm X 1900 mm GE7-2</v>
          </cell>
          <cell r="C1338" t="str">
            <v>Each</v>
          </cell>
          <cell r="D1338" t="str">
            <v>each</v>
          </cell>
        </row>
        <row r="1339">
          <cell r="A1339" t="str">
            <v>605 (4) g3</v>
          </cell>
          <cell r="B1339" t="str">
            <v>Signs on Expressways 2400mm X 1200 mm GE7-3</v>
          </cell>
          <cell r="C1339" t="str">
            <v>Each</v>
          </cell>
          <cell r="D1339" t="str">
            <v>each</v>
          </cell>
        </row>
        <row r="1340">
          <cell r="A1340" t="str">
            <v>605 (4) h1</v>
          </cell>
          <cell r="B1340" t="str">
            <v>Signs on Expressways 2300mm X 1470 mm GE8-1</v>
          </cell>
          <cell r="C1340" t="str">
            <v>Each</v>
          </cell>
          <cell r="D1340" t="str">
            <v>each</v>
          </cell>
        </row>
        <row r="1341">
          <cell r="A1341" t="str">
            <v>605 (4) h2</v>
          </cell>
          <cell r="B1341" t="str">
            <v>Signs on Expressways 1600mm X 1700 mm GE8-2</v>
          </cell>
          <cell r="C1341" t="str">
            <v>Each</v>
          </cell>
          <cell r="D1341" t="str">
            <v>each</v>
          </cell>
        </row>
        <row r="1342">
          <cell r="A1342" t="str">
            <v>605 (4) h3</v>
          </cell>
          <cell r="B1342" t="str">
            <v>Signs on Expressways 2700mm X 1700 mm GE8-3</v>
          </cell>
          <cell r="C1342" t="str">
            <v>Each</v>
          </cell>
          <cell r="D1342" t="str">
            <v>each</v>
          </cell>
        </row>
        <row r="1343">
          <cell r="A1343" t="str">
            <v>605 (4) h4</v>
          </cell>
          <cell r="B1343" t="str">
            <v>Signs on Expressways 2700mm X 1400 mm GE8-4</v>
          </cell>
          <cell r="C1343" t="str">
            <v>Each</v>
          </cell>
          <cell r="D1343" t="str">
            <v>each</v>
          </cell>
        </row>
        <row r="1344">
          <cell r="A1344" t="str">
            <v>605 (4) h5</v>
          </cell>
          <cell r="B1344" t="str">
            <v>Signs on Expressways 1750mm X 1500 mm GE8-5</v>
          </cell>
          <cell r="C1344" t="str">
            <v>Each</v>
          </cell>
          <cell r="D1344" t="str">
            <v>each</v>
          </cell>
        </row>
        <row r="1345">
          <cell r="A1345" t="str">
            <v>605 (4) h6</v>
          </cell>
          <cell r="B1345" t="str">
            <v>Signs on Expressways 2400mm X 2950 mm GE8-6</v>
          </cell>
          <cell r="C1345" t="str">
            <v>Each</v>
          </cell>
          <cell r="D1345" t="str">
            <v>each</v>
          </cell>
        </row>
        <row r="1346">
          <cell r="A1346" t="str">
            <v>605 (4) h7</v>
          </cell>
          <cell r="B1346" t="str">
            <v>Signs on Expressways 2000mm X 1100 mm GE8-7</v>
          </cell>
          <cell r="C1346" t="str">
            <v>Each</v>
          </cell>
          <cell r="D1346" t="str">
            <v>each</v>
          </cell>
        </row>
        <row r="1347">
          <cell r="A1347" t="str">
            <v>605 (4) i1</v>
          </cell>
          <cell r="B1347" t="str">
            <v>Signs on Expressways 2600mm X 2000 mm S1-4E</v>
          </cell>
          <cell r="C1347" t="str">
            <v>Each</v>
          </cell>
          <cell r="D1347" t="str">
            <v>each</v>
          </cell>
        </row>
        <row r="1348">
          <cell r="A1348" t="str">
            <v>605 (4) j1</v>
          </cell>
          <cell r="B1348" t="str">
            <v>Signs on Expressways 900 Disc R4-1C (XXX)</v>
          </cell>
          <cell r="C1348" t="str">
            <v>Each</v>
          </cell>
          <cell r="D1348" t="str">
            <v>each</v>
          </cell>
        </row>
        <row r="1349">
          <cell r="A1349" t="str">
            <v>605 (4) j2</v>
          </cell>
          <cell r="B1349" t="str">
            <v>Signs on Expressways 1200 Disc R4-1D (XXX)</v>
          </cell>
          <cell r="C1349" t="str">
            <v>Each</v>
          </cell>
          <cell r="D1349" t="str">
            <v>each</v>
          </cell>
        </row>
        <row r="1350">
          <cell r="A1350" t="str">
            <v>605 (4) k1</v>
          </cell>
          <cell r="B1350" t="str">
            <v>Signs on Expressways 900 Disc R4-3A (XX)</v>
          </cell>
          <cell r="C1350" t="str">
            <v>Each</v>
          </cell>
          <cell r="D1350" t="str">
            <v>each</v>
          </cell>
        </row>
        <row r="1351">
          <cell r="A1351" t="str">
            <v>605 (4) k2</v>
          </cell>
          <cell r="B1351" t="str">
            <v>Signs on Expressways 1200 Disc R4-3B (XX)</v>
          </cell>
          <cell r="C1351" t="str">
            <v>Each</v>
          </cell>
          <cell r="D1351" t="str">
            <v>each</v>
          </cell>
        </row>
        <row r="1352">
          <cell r="A1352" t="str">
            <v>605 (4) l1</v>
          </cell>
          <cell r="B1352" t="str">
            <v>Signs on Expressways 900 Disc R4-2C</v>
          </cell>
          <cell r="C1352" t="str">
            <v>Each</v>
          </cell>
          <cell r="D1352" t="str">
            <v>each</v>
          </cell>
        </row>
        <row r="1353">
          <cell r="A1353" t="str">
            <v>605 (4) l2</v>
          </cell>
          <cell r="B1353" t="str">
            <v>Signs on Expressways 1200 Disc R4-2D</v>
          </cell>
          <cell r="C1353" t="str">
            <v>Each</v>
          </cell>
          <cell r="D1353" t="str">
            <v>each</v>
          </cell>
        </row>
        <row r="1354">
          <cell r="A1354" t="str">
            <v>605 (5) a1</v>
          </cell>
          <cell r="B1354" t="str">
            <v>Traffic Instruction Signs 600mm X 300 mm S1-1</v>
          </cell>
          <cell r="C1354" t="str">
            <v>Each</v>
          </cell>
          <cell r="D1354" t="str">
            <v>each</v>
          </cell>
        </row>
        <row r="1355">
          <cell r="A1355" t="str">
            <v>605 (5) a2</v>
          </cell>
          <cell r="B1355" t="str">
            <v>Traffic Instruction Signs 600mm X 450 mm S1-2</v>
          </cell>
          <cell r="C1355" t="str">
            <v>Each</v>
          </cell>
          <cell r="D1355" t="str">
            <v>each</v>
          </cell>
        </row>
        <row r="1356">
          <cell r="A1356" t="str">
            <v>605 (5) a3</v>
          </cell>
          <cell r="B1356" t="str">
            <v>Traffic Instruction Signs 800mm X 600 mm S1-3A</v>
          </cell>
          <cell r="C1356" t="str">
            <v>Each</v>
          </cell>
          <cell r="D1356" t="str">
            <v>each</v>
          </cell>
        </row>
        <row r="1357">
          <cell r="A1357" t="str">
            <v>605 (5) a4</v>
          </cell>
          <cell r="B1357" t="str">
            <v>Traffic Instruction Signs 1000mm X 750 mm S1-3B</v>
          </cell>
          <cell r="C1357" t="str">
            <v>Each</v>
          </cell>
          <cell r="D1357" t="str">
            <v>each</v>
          </cell>
        </row>
        <row r="1358">
          <cell r="A1358" t="str">
            <v>605 (5) a5</v>
          </cell>
          <cell r="B1358" t="str">
            <v>Traffic Instruction Signs 620mm X 420 mm S1-4</v>
          </cell>
          <cell r="C1358" t="str">
            <v>Each</v>
          </cell>
          <cell r="D1358" t="str">
            <v>each</v>
          </cell>
        </row>
        <row r="1359">
          <cell r="A1359" t="str">
            <v>605 (5) b1</v>
          </cell>
          <cell r="B1359" t="str">
            <v>Traffic Instruction Signs 1500mm X 750 mm S2-1</v>
          </cell>
          <cell r="C1359" t="str">
            <v>Each</v>
          </cell>
          <cell r="D1359" t="str">
            <v>each</v>
          </cell>
        </row>
        <row r="1360">
          <cell r="A1360" t="str">
            <v>605 (5) b2</v>
          </cell>
          <cell r="B1360" t="str">
            <v>Traffic Instruction Signs 450mm X 750 mm S2-2</v>
          </cell>
          <cell r="C1360" t="str">
            <v>Each</v>
          </cell>
          <cell r="D1360" t="str">
            <v>each</v>
          </cell>
        </row>
        <row r="1361">
          <cell r="A1361" t="str">
            <v>605 (5) b3</v>
          </cell>
          <cell r="B1361" t="str">
            <v>Traffic Instruction Signs 400mm X 600 mm S2-3L</v>
          </cell>
          <cell r="C1361" t="str">
            <v>Each</v>
          </cell>
          <cell r="D1361" t="str">
            <v>each</v>
          </cell>
        </row>
        <row r="1362">
          <cell r="A1362" t="str">
            <v>605 (5) b4</v>
          </cell>
          <cell r="B1362" t="str">
            <v>Traffic Instruction Signs 750mm X 500 mm S2-3R</v>
          </cell>
          <cell r="C1362" t="str">
            <v>Each</v>
          </cell>
          <cell r="D1362" t="str">
            <v>each</v>
          </cell>
        </row>
        <row r="1363">
          <cell r="A1363" t="str">
            <v>605 (5) b5</v>
          </cell>
          <cell r="B1363" t="str">
            <v>Traffic Instruction Signs 1300mm X 350 mm S2-4A</v>
          </cell>
          <cell r="C1363" t="str">
            <v>Each</v>
          </cell>
          <cell r="D1363" t="str">
            <v>each</v>
          </cell>
        </row>
        <row r="1364">
          <cell r="A1364" t="str">
            <v>605 (5) b6</v>
          </cell>
          <cell r="B1364" t="str">
            <v>Traffic Instruction Signs 1400mm X 350 mm S2-4A(L)(R)</v>
          </cell>
          <cell r="C1364" t="str">
            <v>Each</v>
          </cell>
          <cell r="D1364" t="str">
            <v>each</v>
          </cell>
        </row>
        <row r="1365">
          <cell r="A1365" t="str">
            <v>605 (5) b7</v>
          </cell>
          <cell r="B1365" t="str">
            <v>Traffic Instruction Signs 900mm X 600 mm S2-5</v>
          </cell>
          <cell r="C1365" t="str">
            <v>Each</v>
          </cell>
          <cell r="D1365" t="str">
            <v>each</v>
          </cell>
        </row>
        <row r="1366">
          <cell r="A1366" t="str">
            <v>605 (5) b8</v>
          </cell>
          <cell r="B1366" t="str">
            <v>Traffic Instruction Signs 500mm X 800 mm S2-6</v>
          </cell>
          <cell r="C1366" t="str">
            <v>Each</v>
          </cell>
          <cell r="D1366" t="str">
            <v>each</v>
          </cell>
        </row>
        <row r="1367">
          <cell r="A1367" t="str">
            <v>605 (5) b9</v>
          </cell>
          <cell r="B1367" t="str">
            <v>Traffic Instruction Signs 950mm X 1100 mm S2-7</v>
          </cell>
          <cell r="C1367" t="str">
            <v>Each</v>
          </cell>
          <cell r="D1367" t="str">
            <v>each</v>
          </cell>
        </row>
        <row r="1368">
          <cell r="A1368" t="str">
            <v>605 (5) b10</v>
          </cell>
          <cell r="B1368" t="str">
            <v>Traffic Instruction Signs S2-7A</v>
          </cell>
          <cell r="C1368" t="str">
            <v>Each</v>
          </cell>
          <cell r="D1368" t="str">
            <v>each</v>
          </cell>
        </row>
        <row r="1369">
          <cell r="A1369" t="str">
            <v>605 (5) b11</v>
          </cell>
          <cell r="B1369" t="str">
            <v>Traffic Instruction Signs S2-7B</v>
          </cell>
          <cell r="C1369" t="str">
            <v>Each</v>
          </cell>
          <cell r="D1369" t="str">
            <v>each</v>
          </cell>
        </row>
        <row r="1370">
          <cell r="A1370" t="str">
            <v>605 (5) b12</v>
          </cell>
          <cell r="B1370" t="str">
            <v>Traffic Instruction Signs 600mm X 400 mm S2-8A</v>
          </cell>
          <cell r="C1370" t="str">
            <v>Each</v>
          </cell>
          <cell r="D1370" t="str">
            <v>each</v>
          </cell>
        </row>
        <row r="1371">
          <cell r="A1371" t="str">
            <v>605 (5) b13</v>
          </cell>
          <cell r="B1371" t="str">
            <v>Traffic Instruction Signs 900mm X 600 mm S2-8B</v>
          </cell>
          <cell r="C1371" t="str">
            <v>Each</v>
          </cell>
          <cell r="D1371" t="str">
            <v>each</v>
          </cell>
        </row>
        <row r="1372">
          <cell r="A1372" t="str">
            <v>605 (5) b14</v>
          </cell>
          <cell r="B1372" t="str">
            <v>Traffic Instruction Signs 900mm X 550 mm S2-9</v>
          </cell>
          <cell r="C1372" t="str">
            <v>Each</v>
          </cell>
          <cell r="D1372" t="str">
            <v>each</v>
          </cell>
        </row>
        <row r="1373">
          <cell r="A1373" t="str">
            <v>605 (5) b15</v>
          </cell>
          <cell r="B1373" t="str">
            <v>Traffic Instruction Signs 600mm X 800 mm S2-10</v>
          </cell>
          <cell r="C1373" t="str">
            <v>Each</v>
          </cell>
          <cell r="D1373" t="str">
            <v>each</v>
          </cell>
        </row>
        <row r="1374">
          <cell r="A1374" t="str">
            <v>605 (5) b16</v>
          </cell>
          <cell r="B1374" t="str">
            <v>Traffic Instruction Signs 2100mm X 350 mm S2-11</v>
          </cell>
          <cell r="C1374" t="str">
            <v>Each</v>
          </cell>
          <cell r="D1374" t="str">
            <v>each</v>
          </cell>
        </row>
        <row r="1375">
          <cell r="A1375" t="str">
            <v>605 (6) a</v>
          </cell>
          <cell r="B1375" t="str">
            <v>Hazard Markers 1600mm X 400 mm HM 2</v>
          </cell>
          <cell r="C1375" t="str">
            <v>Each</v>
          </cell>
          <cell r="D1375" t="str">
            <v>each</v>
          </cell>
        </row>
        <row r="1376">
          <cell r="A1376" t="str">
            <v>605 (6) b1</v>
          </cell>
          <cell r="B1376" t="str">
            <v>Hazard Markers 1800mm X 400 mm HM 3</v>
          </cell>
          <cell r="C1376" t="str">
            <v>Each</v>
          </cell>
          <cell r="D1376" t="str">
            <v>each</v>
          </cell>
        </row>
        <row r="1377">
          <cell r="A1377" t="str">
            <v>605 (6) c1</v>
          </cell>
          <cell r="B1377" t="str">
            <v>Hazard Markers 2000mm X 400 mm HM 4A</v>
          </cell>
          <cell r="C1377" t="str">
            <v>Each</v>
          </cell>
          <cell r="D1377" t="str">
            <v>each</v>
          </cell>
        </row>
        <row r="1378">
          <cell r="A1378" t="str">
            <v>605 (6) c2</v>
          </cell>
          <cell r="B1378" t="str">
            <v>Hazard Markers 1200mm X 400 mm HM 4B</v>
          </cell>
          <cell r="C1378" t="str">
            <v>Each</v>
          </cell>
          <cell r="D1378" t="str">
            <v>each</v>
          </cell>
        </row>
        <row r="1379">
          <cell r="A1379" t="str">
            <v>605 (6) c3</v>
          </cell>
          <cell r="B1379" t="str">
            <v>Hazard Markers 400mm X 1000 mm HM 5</v>
          </cell>
          <cell r="C1379" t="str">
            <v>Each</v>
          </cell>
          <cell r="D1379" t="str">
            <v>each</v>
          </cell>
        </row>
        <row r="1380">
          <cell r="A1380" t="str">
            <v>605 (6) d1</v>
          </cell>
          <cell r="B1380" t="str">
            <v>Hazard Markers 225mm X 450 mm HM 6A</v>
          </cell>
          <cell r="C1380" t="str">
            <v>Each</v>
          </cell>
          <cell r="D1380" t="str">
            <v>each</v>
          </cell>
        </row>
        <row r="1381">
          <cell r="A1381" t="str">
            <v>605 (6) d2</v>
          </cell>
          <cell r="B1381" t="str">
            <v>Hazard Markers 450mm X 900 mm HM 6B</v>
          </cell>
          <cell r="C1381" t="str">
            <v>Each</v>
          </cell>
          <cell r="D1381" t="str">
            <v>each</v>
          </cell>
        </row>
        <row r="1382">
          <cell r="A1382" t="str">
            <v>605 (6) e1</v>
          </cell>
          <cell r="B1382" t="str">
            <v>Hazard Markers 450x600mm Chevron Signs</v>
          </cell>
          <cell r="C1382" t="str">
            <v>Each</v>
          </cell>
          <cell r="D1382" t="str">
            <v>each</v>
          </cell>
        </row>
        <row r="1383">
          <cell r="A1383" t="str">
            <v>605 (6) e2</v>
          </cell>
          <cell r="B1383" t="str">
            <v>Hazard Markers 600x800mm Chevron Signs</v>
          </cell>
          <cell r="C1383" t="str">
            <v>Each</v>
          </cell>
          <cell r="D1383" t="str">
            <v>each</v>
          </cell>
        </row>
        <row r="1384">
          <cell r="A1384" t="str">
            <v>606 (1) a1</v>
          </cell>
          <cell r="B1384" t="str">
            <v>Pavement markings Premixed Reflectorized White</v>
          </cell>
          <cell r="C1384" t="str">
            <v>Square Meter</v>
          </cell>
          <cell r="D1384" t="str">
            <v>sq. m.</v>
          </cell>
        </row>
        <row r="1385">
          <cell r="A1385" t="str">
            <v>606 (1) a2</v>
          </cell>
          <cell r="B1385" t="str">
            <v>Pavement markings Premixed Reflectorized Yellow</v>
          </cell>
          <cell r="C1385" t="str">
            <v>Square Meter</v>
          </cell>
          <cell r="D1385" t="str">
            <v>sq. m.</v>
          </cell>
        </row>
        <row r="1386">
          <cell r="A1386" t="str">
            <v>606 (1) b1</v>
          </cell>
          <cell r="B1386" t="str">
            <v>Pavement markings Reflectorized Thermoplastic White</v>
          </cell>
          <cell r="C1386" t="str">
            <v>Square Meter</v>
          </cell>
          <cell r="D1386" t="str">
            <v>sq. m.</v>
          </cell>
        </row>
        <row r="1387">
          <cell r="A1387" t="str">
            <v>606 (1) b2</v>
          </cell>
          <cell r="B1387" t="str">
            <v>Pavement markings Reflectorized Thermoplastic Yellow</v>
          </cell>
          <cell r="C1387" t="str">
            <v>Square Meter</v>
          </cell>
          <cell r="D1387" t="str">
            <v>sq. m.</v>
          </cell>
        </row>
        <row r="1388">
          <cell r="A1388" t="str">
            <v>607 (1) a</v>
          </cell>
          <cell r="B1388" t="str">
            <v>Reflectorized Pavement Studs Flush Type Mono-Directional</v>
          </cell>
          <cell r="C1388" t="str">
            <v>Each</v>
          </cell>
          <cell r="D1388" t="str">
            <v>each</v>
          </cell>
        </row>
        <row r="1389">
          <cell r="A1389" t="str">
            <v>607 (1) b</v>
          </cell>
          <cell r="B1389" t="str">
            <v>Reflectorized Pavement Studs Flush Type Bi-Directional</v>
          </cell>
          <cell r="C1389" t="str">
            <v>Each</v>
          </cell>
          <cell r="D1389" t="str">
            <v>each</v>
          </cell>
        </row>
        <row r="1390">
          <cell r="A1390" t="str">
            <v>607 (2) a</v>
          </cell>
          <cell r="B1390" t="str">
            <v>Reflectorized Pavement Studs Raised Profile Type Mono-Directional</v>
          </cell>
          <cell r="C1390" t="str">
            <v>Each</v>
          </cell>
          <cell r="D1390" t="str">
            <v>each</v>
          </cell>
        </row>
        <row r="1391">
          <cell r="A1391" t="str">
            <v>607 (2) b</v>
          </cell>
          <cell r="B1391" t="str">
            <v>Reflectorized Pavement Studs Raised Profile Type Bi-Directional</v>
          </cell>
          <cell r="C1391" t="str">
            <v>Each</v>
          </cell>
          <cell r="D1391" t="str">
            <v>each</v>
          </cell>
        </row>
        <row r="1392">
          <cell r="A1392" t="str">
            <v>607 (3) a</v>
          </cell>
          <cell r="B1392" t="str">
            <v>Internally Illuminated (Solar) Pavement Levelled Marker/Stud Flush Type Mono-Directional</v>
          </cell>
          <cell r="C1392" t="str">
            <v>Each</v>
          </cell>
          <cell r="D1392" t="str">
            <v>each</v>
          </cell>
        </row>
        <row r="1393">
          <cell r="A1393" t="str">
            <v>607 (3) b</v>
          </cell>
          <cell r="B1393" t="str">
            <v>Internally Illuminated (Solar) Pavement Levelled Marker/Stud Flush Type Bi-Directional</v>
          </cell>
          <cell r="C1393" t="str">
            <v>Each</v>
          </cell>
          <cell r="D1393" t="str">
            <v>each</v>
          </cell>
        </row>
        <row r="1394">
          <cell r="A1394" t="str">
            <v>608 (1)</v>
          </cell>
          <cell r="B1394" t="str">
            <v>Furnishing and Placing Topsoil</v>
          </cell>
          <cell r="C1394" t="str">
            <v>Cubic Meter</v>
          </cell>
          <cell r="D1394" t="str">
            <v>cu. m.</v>
          </cell>
        </row>
        <row r="1395">
          <cell r="A1395" t="str">
            <v>608 (2)</v>
          </cell>
          <cell r="B1395" t="str">
            <v>Placing Topsoil</v>
          </cell>
          <cell r="C1395" t="str">
            <v>Cubic Meter</v>
          </cell>
          <cell r="D1395" t="str">
            <v>cu. m.</v>
          </cell>
        </row>
        <row r="1396">
          <cell r="A1396" t="str">
            <v>609 (1)</v>
          </cell>
          <cell r="B1396" t="str">
            <v>Sprigging</v>
          </cell>
          <cell r="C1396" t="str">
            <v>100 Square Meter</v>
          </cell>
          <cell r="D1396" t="e">
            <v>#N/A</v>
          </cell>
        </row>
        <row r="1397">
          <cell r="A1397" t="str">
            <v>609 (2)</v>
          </cell>
          <cell r="B1397" t="str">
            <v>Sprigging</v>
          </cell>
          <cell r="C1397" t="str">
            <v>Square Meter</v>
          </cell>
          <cell r="D1397" t="str">
            <v>sq. m.</v>
          </cell>
        </row>
        <row r="1398">
          <cell r="A1398" t="str">
            <v>610 (1)</v>
          </cell>
          <cell r="B1398" t="str">
            <v>Sodding</v>
          </cell>
          <cell r="C1398" t="str">
            <v>Square Meter</v>
          </cell>
          <cell r="D1398" t="str">
            <v>sq. m.</v>
          </cell>
        </row>
        <row r="1399">
          <cell r="A1399" t="str">
            <v>611 (1)</v>
          </cell>
          <cell r="B1399" t="str">
            <v>Trees Furnishing and Transplanting</v>
          </cell>
          <cell r="C1399" t="str">
            <v>Each</v>
          </cell>
          <cell r="D1399" t="str">
            <v>each</v>
          </cell>
        </row>
        <row r="1400">
          <cell r="A1400" t="str">
            <v>611 (2)</v>
          </cell>
          <cell r="B1400" t="str">
            <v>Trees Transplanting</v>
          </cell>
          <cell r="C1400" t="str">
            <v>Each</v>
          </cell>
          <cell r="D1400" t="str">
            <v>each</v>
          </cell>
        </row>
        <row r="1401">
          <cell r="A1401" t="str">
            <v>612(1)</v>
          </cell>
          <cell r="B1401" t="str">
            <v>Reflectorized Thermoplastic Pavement Markings White</v>
          </cell>
          <cell r="C1401" t="str">
            <v>Square Meter</v>
          </cell>
          <cell r="D1401" t="str">
            <v>sq. m.</v>
          </cell>
        </row>
        <row r="1402">
          <cell r="A1402" t="str">
            <v>612(2)</v>
          </cell>
          <cell r="B1402" t="str">
            <v>Reflectorized Thermoplastic Pavement Markings Yellow</v>
          </cell>
          <cell r="C1402" t="str">
            <v>Square Meter</v>
          </cell>
          <cell r="D1402" t="str">
            <v>sq. m.</v>
          </cell>
        </row>
        <row r="1403">
          <cell r="A1403" t="str">
            <v>612(3)</v>
          </cell>
          <cell r="B1403" t="str">
            <v>Removal of Existing Reflectorized Thermoplastic Pavement Markings</v>
          </cell>
          <cell r="C1403" t="str">
            <v>Square Meter</v>
          </cell>
          <cell r="D1403" t="str">
            <v>sq. m.</v>
          </cell>
        </row>
        <row r="1404">
          <cell r="A1404" t="str">
            <v>613 (1)</v>
          </cell>
          <cell r="B1404" t="str">
            <v>Concrete Joint Sealant ( Hot-Poured Elastic Type)</v>
          </cell>
          <cell r="C1404" t="str">
            <v>Kilogram</v>
          </cell>
          <cell r="D1404" t="str">
            <v>kg.</v>
          </cell>
        </row>
        <row r="1405">
          <cell r="A1405" t="str">
            <v>613 (2)</v>
          </cell>
          <cell r="B1405" t="str">
            <v>Concrete Joint Sealant ( Cold-Applied Type)</v>
          </cell>
          <cell r="C1405" t="str">
            <v>Kilogram</v>
          </cell>
          <cell r="D1405" t="str">
            <v>kg.</v>
          </cell>
        </row>
        <row r="1406">
          <cell r="A1406" t="str">
            <v>614 (1) a</v>
          </cell>
          <cell r="B1406" t="str">
            <v>Waterstop 100 mm.</v>
          </cell>
          <cell r="C1406" t="str">
            <v>Meter</v>
          </cell>
          <cell r="D1406" t="str">
            <v>m.</v>
          </cell>
        </row>
        <row r="1407">
          <cell r="A1407" t="str">
            <v>614 (1) b</v>
          </cell>
          <cell r="B1407" t="str">
            <v>Waterstop 150 mm.</v>
          </cell>
          <cell r="C1407" t="str">
            <v>Meter</v>
          </cell>
          <cell r="D1407" t="str">
            <v>m.</v>
          </cell>
        </row>
        <row r="1408">
          <cell r="A1408" t="str">
            <v>614 (1) c</v>
          </cell>
          <cell r="B1408" t="str">
            <v>Waterstop 200 mm.</v>
          </cell>
          <cell r="C1408" t="str">
            <v>Meter</v>
          </cell>
          <cell r="D1408" t="str">
            <v>m.</v>
          </cell>
        </row>
        <row r="1409">
          <cell r="A1409" t="str">
            <v>614 (2)</v>
          </cell>
          <cell r="B1409" t="str">
            <v>Waterstop</v>
          </cell>
          <cell r="C1409" t="str">
            <v>Lump sum</v>
          </cell>
          <cell r="D1409" t="str">
            <v>ls</v>
          </cell>
        </row>
        <row r="1410">
          <cell r="A1410" t="str">
            <v>615 (1)</v>
          </cell>
          <cell r="B1410" t="str">
            <v>Noise Barrier</v>
          </cell>
          <cell r="C1410" t="str">
            <v>Linear Meter</v>
          </cell>
          <cell r="D1410" t="str">
            <v>l.m.</v>
          </cell>
        </row>
        <row r="1411">
          <cell r="A1411" t="str">
            <v>618 (1)</v>
          </cell>
          <cell r="B1411" t="str">
            <v>Reflectorized Thermoplastic Rumble Strips</v>
          </cell>
          <cell r="C1411" t="str">
            <v>Square Meter</v>
          </cell>
          <cell r="D1411" t="str">
            <v>sq. m.</v>
          </cell>
        </row>
        <row r="1412">
          <cell r="A1412" t="str">
            <v>622 (1) a</v>
          </cell>
          <cell r="B1412" t="str">
            <v>Coco-net CN 400</v>
          </cell>
          <cell r="C1412" t="str">
            <v>Square Meter</v>
          </cell>
          <cell r="D1412" t="str">
            <v>sq. m.</v>
          </cell>
        </row>
        <row r="1413">
          <cell r="A1413" t="str">
            <v>622 (1) b</v>
          </cell>
          <cell r="B1413" t="str">
            <v>Coco-net CN 700</v>
          </cell>
          <cell r="C1413" t="str">
            <v>Square Meter</v>
          </cell>
          <cell r="D1413" t="str">
            <v>sq. m.</v>
          </cell>
        </row>
        <row r="1414">
          <cell r="A1414" t="str">
            <v>622 (1) c</v>
          </cell>
          <cell r="B1414" t="str">
            <v>Coco-net CN 900</v>
          </cell>
          <cell r="C1414" t="str">
            <v>Square Meter</v>
          </cell>
          <cell r="D1414" t="str">
            <v>sq. m.</v>
          </cell>
        </row>
        <row r="1415">
          <cell r="A1415" t="str">
            <v>622 (2) a</v>
          </cell>
          <cell r="B1415" t="str">
            <v>Coco-logs/Fascine CN 100</v>
          </cell>
          <cell r="C1415" t="str">
            <v>Linear Meter</v>
          </cell>
          <cell r="D1415" t="str">
            <v>l.m.</v>
          </cell>
        </row>
        <row r="1416">
          <cell r="A1416" t="str">
            <v>622 (2) b</v>
          </cell>
          <cell r="B1416" t="str">
            <v>Coco-logs/Fascine CN 200</v>
          </cell>
          <cell r="C1416" t="str">
            <v>Linear Meter</v>
          </cell>
          <cell r="D1416" t="str">
            <v>l.m.</v>
          </cell>
        </row>
        <row r="1417">
          <cell r="A1417" t="str">
            <v>622 (2) c</v>
          </cell>
          <cell r="B1417" t="str">
            <v>Coco-logs/Fascine CN 300</v>
          </cell>
          <cell r="C1417" t="str">
            <v>Linear Meter</v>
          </cell>
          <cell r="D1417" t="str">
            <v>l.m.</v>
          </cell>
        </row>
        <row r="1418">
          <cell r="A1418" t="str">
            <v>622 (2) d</v>
          </cell>
          <cell r="B1418" t="str">
            <v>Coco-logs/Fascine CN 400</v>
          </cell>
          <cell r="C1418" t="str">
            <v>Linear Meter</v>
          </cell>
          <cell r="D1418" t="str">
            <v>l.m.</v>
          </cell>
        </row>
        <row r="1419">
          <cell r="A1419" t="str">
            <v>622 (2) e</v>
          </cell>
          <cell r="B1419" t="str">
            <v>Coco-logs/Fascine CN 500</v>
          </cell>
          <cell r="C1419" t="str">
            <v>Linear Meter</v>
          </cell>
          <cell r="D1419" t="str">
            <v>l.m.</v>
          </cell>
        </row>
        <row r="1420">
          <cell r="A1420" t="str">
            <v>622 (3) a</v>
          </cell>
          <cell r="B1420" t="str">
            <v>Vegetation Grass-Cover</v>
          </cell>
          <cell r="C1420" t="str">
            <v>Square Meter</v>
          </cell>
          <cell r="D1420" t="str">
            <v>sq. m.</v>
          </cell>
        </row>
        <row r="1421">
          <cell r="A1421" t="str">
            <v>622 (3) b</v>
          </cell>
          <cell r="B1421" t="str">
            <v>Vegetation Vetiver Grass System</v>
          </cell>
          <cell r="C1421" t="str">
            <v>Square Meter</v>
          </cell>
          <cell r="D1421" t="str">
            <v>sq. m.</v>
          </cell>
        </row>
      </sheetData>
      <sheetData sheetId="1">
        <row r="9">
          <cell r="B9">
            <v>200</v>
          </cell>
        </row>
      </sheetData>
      <sheetData sheetId="2">
        <row r="7">
          <cell r="B7" t="str">
            <v>PART A</v>
          </cell>
        </row>
      </sheetData>
      <sheetData sheetId="3">
        <row r="1">
          <cell r="A1" t="str">
            <v>Republic of the Philippines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"/>
      <sheetName val="XX0"/>
      <sheetName val="XX1"/>
      <sheetName val="Det. Estimate"/>
      <sheetName val="Summ. Struct'l. Comp. Est. A,B"/>
      <sheetName val="Summ. of Struct'l. Comp.Est. E"/>
      <sheetName val="Summ. of Det. Estimate (2)"/>
      <sheetName val="Bar Chart"/>
      <sheetName val="BILL OF MATERIALS"/>
      <sheetName val="POW (2)"/>
      <sheetName val="PAF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Det_ Estimate"/>
      <sheetName val="Extracted Information"/>
      <sheetName val="Number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BA_UsageExample"/>
      <sheetName val="VBA_Wrapper"/>
      <sheetName val="VBA_32bit"/>
      <sheetName val="VBA_16bit"/>
      <sheetName val="Menu"/>
      <sheetName val="CCenter"/>
      <sheetName val="Update"/>
      <sheetName val="Materials"/>
      <sheetName val="Manpower"/>
      <sheetName val="Transport"/>
      <sheetName val="Equipment"/>
      <sheetName val="Transport Result"/>
      <sheetName val="Aggregates"/>
      <sheetName val="Scope of Works"/>
      <sheetName val="Project List"/>
      <sheetName val="Rod"/>
      <sheetName val="Andrew"/>
      <sheetName val="Bebot"/>
      <sheetName val="Anna"/>
      <sheetName val="Elmer"/>
      <sheetName val="Ruben"/>
      <sheetName val="Rod (7)"/>
      <sheetName val="Rod (8)"/>
      <sheetName val="Sheet1"/>
      <sheetName val="Extracted Information"/>
      <sheetName val="Numb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6">
          <cell r="C6" t="str">
            <v>Kraan Box Culvert Construction</v>
          </cell>
        </row>
        <row r="7">
          <cell r="C7" t="str">
            <v>Duhol Bato Seaweed Solar Dryer Construction</v>
          </cell>
        </row>
        <row r="8">
          <cell r="C8" t="str">
            <v>Carbon Footbridge Upgrading</v>
          </cell>
        </row>
        <row r="9">
          <cell r="C9" t="str">
            <v>Tampalan Footbridge Upgrading</v>
          </cell>
        </row>
        <row r="10">
          <cell r="C10" t="str">
            <v>Bakong Boat Landing Construction</v>
          </cell>
        </row>
        <row r="11">
          <cell r="C11" t="str">
            <v>North Kadulawan Box Culvert Construction</v>
          </cell>
        </row>
        <row r="12">
          <cell r="C12" t="str">
            <v>Pagalungan Boat Stair Landing Construction</v>
          </cell>
        </row>
        <row r="13">
          <cell r="C13" t="str">
            <v>Badjao Community Footbridge Upgrading</v>
          </cell>
        </row>
        <row r="14">
          <cell r="C14" t="str">
            <v>Nanas Box Culvert Construction</v>
          </cell>
        </row>
        <row r="15">
          <cell r="C15" t="str">
            <v>Matim Overflow Structure Rehabilitation</v>
          </cell>
        </row>
        <row r="16">
          <cell r="C16" t="str">
            <v>Sitio Bunawan Overflow Structure Construction</v>
          </cell>
        </row>
        <row r="17">
          <cell r="C17" t="str">
            <v>Paling-Lumbaca Mamaan Road Upgrading</v>
          </cell>
        </row>
        <row r="18">
          <cell r="C18" t="str">
            <v xml:space="preserve">Baras Road Rehabilitation </v>
          </cell>
        </row>
        <row r="19">
          <cell r="C19" t="str">
            <v>Liangan Boat Landing Construction</v>
          </cell>
        </row>
        <row r="20">
          <cell r="C20" t="str">
            <v>Alicia Boat Landing Construction</v>
          </cell>
        </row>
        <row r="21">
          <cell r="C21" t="str">
            <v>Badjao Village Footbidge Rehabilitation</v>
          </cell>
        </row>
        <row r="22">
          <cell r="C22" t="str">
            <v>Kasanyangan Drainage Canal Construction</v>
          </cell>
        </row>
        <row r="23">
          <cell r="C23" t="str">
            <v>Pitogo Drainage Canal Construction</v>
          </cell>
        </row>
        <row r="24">
          <cell r="C24" t="str">
            <v>Mallasa Boat Landing Construction</v>
          </cell>
        </row>
        <row r="25">
          <cell r="C25" t="str">
            <v>Poblacion Salug ( East ) Drainage Canal Construction</v>
          </cell>
        </row>
        <row r="26">
          <cell r="C26" t="str">
            <v>Fatima Drainage Canal Construction</v>
          </cell>
        </row>
        <row r="27">
          <cell r="C27" t="str">
            <v>Alat-Tulay Drainage Canal System Construction</v>
          </cell>
        </row>
        <row r="28">
          <cell r="C28" t="str">
            <v>Alicia Drainage Construction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  <row r="98">
          <cell r="C98">
            <v>0</v>
          </cell>
        </row>
        <row r="99">
          <cell r="C99">
            <v>0</v>
          </cell>
        </row>
        <row r="100">
          <cell r="C100">
            <v>0</v>
          </cell>
        </row>
        <row r="101">
          <cell r="C101">
            <v>0</v>
          </cell>
        </row>
        <row r="102">
          <cell r="C102">
            <v>0</v>
          </cell>
        </row>
        <row r="103">
          <cell r="C103">
            <v>0</v>
          </cell>
        </row>
        <row r="104">
          <cell r="C104">
            <v>0</v>
          </cell>
        </row>
        <row r="105">
          <cell r="C105">
            <v>0</v>
          </cell>
        </row>
        <row r="106">
          <cell r="C106">
            <v>0</v>
          </cell>
        </row>
        <row r="107">
          <cell r="C107">
            <v>0</v>
          </cell>
        </row>
        <row r="108">
          <cell r="C108">
            <v>0</v>
          </cell>
        </row>
        <row r="109">
          <cell r="C109">
            <v>0</v>
          </cell>
        </row>
        <row r="110">
          <cell r="C110">
            <v>0</v>
          </cell>
        </row>
        <row r="111">
          <cell r="C111">
            <v>0</v>
          </cell>
        </row>
        <row r="112">
          <cell r="C112">
            <v>0</v>
          </cell>
        </row>
        <row r="113">
          <cell r="C113">
            <v>0</v>
          </cell>
        </row>
        <row r="114">
          <cell r="C114">
            <v>0</v>
          </cell>
        </row>
        <row r="115">
          <cell r="C115">
            <v>0</v>
          </cell>
        </row>
        <row r="116">
          <cell r="C116">
            <v>0</v>
          </cell>
        </row>
        <row r="117">
          <cell r="C117">
            <v>0</v>
          </cell>
        </row>
        <row r="118">
          <cell r="C118">
            <v>0</v>
          </cell>
        </row>
        <row r="119">
          <cell r="C119">
            <v>0</v>
          </cell>
        </row>
        <row r="120">
          <cell r="C120">
            <v>0</v>
          </cell>
        </row>
        <row r="121">
          <cell r="C121">
            <v>0</v>
          </cell>
        </row>
        <row r="122">
          <cell r="C122">
            <v>0</v>
          </cell>
        </row>
        <row r="123">
          <cell r="C123">
            <v>0</v>
          </cell>
        </row>
        <row r="124">
          <cell r="C124">
            <v>0</v>
          </cell>
        </row>
        <row r="125">
          <cell r="C125">
            <v>0</v>
          </cell>
        </row>
        <row r="126">
          <cell r="C126">
            <v>0</v>
          </cell>
        </row>
        <row r="127">
          <cell r="C127">
            <v>0</v>
          </cell>
        </row>
        <row r="128">
          <cell r="C128">
            <v>0</v>
          </cell>
        </row>
        <row r="129">
          <cell r="C129">
            <v>0</v>
          </cell>
        </row>
        <row r="130">
          <cell r="C130">
            <v>0</v>
          </cell>
        </row>
        <row r="131">
          <cell r="C131">
            <v>0</v>
          </cell>
        </row>
        <row r="132">
          <cell r="C132">
            <v>0</v>
          </cell>
        </row>
        <row r="133">
          <cell r="C133">
            <v>0</v>
          </cell>
        </row>
        <row r="134">
          <cell r="C134">
            <v>0</v>
          </cell>
        </row>
        <row r="135">
          <cell r="C135">
            <v>0</v>
          </cell>
        </row>
        <row r="136">
          <cell r="C136">
            <v>0</v>
          </cell>
        </row>
        <row r="137">
          <cell r="C137">
            <v>0</v>
          </cell>
        </row>
        <row r="138">
          <cell r="C138">
            <v>0</v>
          </cell>
        </row>
        <row r="139">
          <cell r="C139">
            <v>0</v>
          </cell>
        </row>
        <row r="140">
          <cell r="C140">
            <v>0</v>
          </cell>
        </row>
        <row r="141">
          <cell r="C141">
            <v>0</v>
          </cell>
        </row>
        <row r="142">
          <cell r="C142">
            <v>0</v>
          </cell>
        </row>
        <row r="143">
          <cell r="C143">
            <v>0</v>
          </cell>
        </row>
        <row r="144">
          <cell r="C144">
            <v>0</v>
          </cell>
        </row>
        <row r="145">
          <cell r="C145">
            <v>0</v>
          </cell>
        </row>
        <row r="146">
          <cell r="C146">
            <v>0</v>
          </cell>
        </row>
        <row r="147">
          <cell r="C147">
            <v>0</v>
          </cell>
        </row>
        <row r="148">
          <cell r="C148">
            <v>0</v>
          </cell>
        </row>
        <row r="149">
          <cell r="C149">
            <v>0</v>
          </cell>
        </row>
        <row r="150">
          <cell r="C150">
            <v>0</v>
          </cell>
        </row>
        <row r="151">
          <cell r="C151">
            <v>0</v>
          </cell>
        </row>
        <row r="152">
          <cell r="C152">
            <v>0</v>
          </cell>
        </row>
        <row r="153">
          <cell r="C153">
            <v>0</v>
          </cell>
        </row>
        <row r="154">
          <cell r="C154">
            <v>0</v>
          </cell>
        </row>
        <row r="155">
          <cell r="C155">
            <v>0</v>
          </cell>
        </row>
        <row r="156">
          <cell r="C156">
            <v>0</v>
          </cell>
        </row>
        <row r="157">
          <cell r="C157">
            <v>0</v>
          </cell>
        </row>
        <row r="158">
          <cell r="C158">
            <v>0</v>
          </cell>
        </row>
        <row r="159">
          <cell r="C159">
            <v>0</v>
          </cell>
        </row>
        <row r="160">
          <cell r="C160">
            <v>0</v>
          </cell>
        </row>
        <row r="161">
          <cell r="C161">
            <v>0</v>
          </cell>
        </row>
        <row r="162">
          <cell r="C162">
            <v>0</v>
          </cell>
        </row>
        <row r="163">
          <cell r="C163">
            <v>0</v>
          </cell>
        </row>
        <row r="164">
          <cell r="C164">
            <v>0</v>
          </cell>
        </row>
        <row r="165">
          <cell r="C165">
            <v>0</v>
          </cell>
        </row>
        <row r="166">
          <cell r="C166">
            <v>0</v>
          </cell>
        </row>
        <row r="167">
          <cell r="C167">
            <v>0</v>
          </cell>
        </row>
        <row r="168">
          <cell r="C168">
            <v>0</v>
          </cell>
        </row>
        <row r="169">
          <cell r="C169">
            <v>0</v>
          </cell>
        </row>
        <row r="170">
          <cell r="C170">
            <v>0</v>
          </cell>
        </row>
        <row r="171">
          <cell r="C171">
            <v>0</v>
          </cell>
        </row>
        <row r="172">
          <cell r="C172">
            <v>0</v>
          </cell>
        </row>
        <row r="173">
          <cell r="C173">
            <v>0</v>
          </cell>
        </row>
        <row r="174">
          <cell r="C174">
            <v>0</v>
          </cell>
        </row>
        <row r="175">
          <cell r="C175">
            <v>0</v>
          </cell>
        </row>
        <row r="176">
          <cell r="C176">
            <v>0</v>
          </cell>
        </row>
        <row r="177">
          <cell r="C177">
            <v>0</v>
          </cell>
        </row>
        <row r="178">
          <cell r="C178">
            <v>0</v>
          </cell>
        </row>
        <row r="179">
          <cell r="C179">
            <v>0</v>
          </cell>
        </row>
        <row r="180">
          <cell r="C180">
            <v>0</v>
          </cell>
        </row>
        <row r="181">
          <cell r="C181">
            <v>0</v>
          </cell>
        </row>
        <row r="182">
          <cell r="C182">
            <v>0</v>
          </cell>
        </row>
        <row r="183">
          <cell r="C183">
            <v>0</v>
          </cell>
        </row>
        <row r="184">
          <cell r="C184">
            <v>0</v>
          </cell>
        </row>
        <row r="185">
          <cell r="C185">
            <v>0</v>
          </cell>
        </row>
        <row r="186">
          <cell r="C186">
            <v>0</v>
          </cell>
        </row>
        <row r="187">
          <cell r="C187">
            <v>0</v>
          </cell>
        </row>
        <row r="188">
          <cell r="C188">
            <v>0</v>
          </cell>
        </row>
        <row r="189">
          <cell r="C189">
            <v>0</v>
          </cell>
        </row>
        <row r="190">
          <cell r="C190">
            <v>0</v>
          </cell>
        </row>
        <row r="191">
          <cell r="C191">
            <v>0</v>
          </cell>
        </row>
        <row r="192">
          <cell r="C192">
            <v>0</v>
          </cell>
        </row>
        <row r="193">
          <cell r="C193">
            <v>0</v>
          </cell>
        </row>
        <row r="194">
          <cell r="C194">
            <v>0</v>
          </cell>
        </row>
        <row r="195">
          <cell r="C195">
            <v>0</v>
          </cell>
        </row>
        <row r="196">
          <cell r="C196">
            <v>0</v>
          </cell>
        </row>
        <row r="197">
          <cell r="C197">
            <v>0</v>
          </cell>
        </row>
        <row r="198">
          <cell r="C198">
            <v>0</v>
          </cell>
        </row>
        <row r="199">
          <cell r="C199">
            <v>0</v>
          </cell>
        </row>
        <row r="200">
          <cell r="C200">
            <v>0</v>
          </cell>
        </row>
        <row r="201">
          <cell r="C201">
            <v>0</v>
          </cell>
        </row>
        <row r="202">
          <cell r="C202">
            <v>0</v>
          </cell>
        </row>
        <row r="203">
          <cell r="C203">
            <v>0</v>
          </cell>
        </row>
        <row r="204">
          <cell r="C204">
            <v>0</v>
          </cell>
        </row>
        <row r="205">
          <cell r="C205">
            <v>0</v>
          </cell>
        </row>
        <row r="206">
          <cell r="C206">
            <v>0</v>
          </cell>
        </row>
        <row r="207">
          <cell r="C207">
            <v>0</v>
          </cell>
        </row>
        <row r="208">
          <cell r="C208">
            <v>0</v>
          </cell>
        </row>
        <row r="209">
          <cell r="C209">
            <v>0</v>
          </cell>
        </row>
        <row r="210">
          <cell r="C210">
            <v>0</v>
          </cell>
        </row>
        <row r="211">
          <cell r="C211">
            <v>0</v>
          </cell>
        </row>
        <row r="212">
          <cell r="C212">
            <v>0</v>
          </cell>
        </row>
        <row r="213">
          <cell r="C213">
            <v>0</v>
          </cell>
        </row>
        <row r="214">
          <cell r="C214">
            <v>0</v>
          </cell>
        </row>
        <row r="215">
          <cell r="C215">
            <v>0</v>
          </cell>
        </row>
        <row r="216">
          <cell r="C216">
            <v>0</v>
          </cell>
        </row>
        <row r="217">
          <cell r="C217">
            <v>0</v>
          </cell>
        </row>
        <row r="218">
          <cell r="C218">
            <v>0</v>
          </cell>
        </row>
        <row r="219">
          <cell r="C219">
            <v>0</v>
          </cell>
        </row>
        <row r="220">
          <cell r="C220">
            <v>0</v>
          </cell>
        </row>
        <row r="221">
          <cell r="C221">
            <v>0</v>
          </cell>
        </row>
        <row r="222">
          <cell r="C222">
            <v>0</v>
          </cell>
        </row>
        <row r="223">
          <cell r="C223">
            <v>0</v>
          </cell>
        </row>
        <row r="224">
          <cell r="C224">
            <v>0</v>
          </cell>
        </row>
        <row r="225">
          <cell r="C225">
            <v>0</v>
          </cell>
        </row>
        <row r="226">
          <cell r="C226">
            <v>0</v>
          </cell>
        </row>
        <row r="227">
          <cell r="C227">
            <v>0</v>
          </cell>
        </row>
        <row r="228">
          <cell r="C228">
            <v>0</v>
          </cell>
        </row>
        <row r="229">
          <cell r="C229">
            <v>0</v>
          </cell>
        </row>
        <row r="230">
          <cell r="C230">
            <v>0</v>
          </cell>
        </row>
        <row r="231">
          <cell r="C231">
            <v>0</v>
          </cell>
        </row>
        <row r="232">
          <cell r="C232">
            <v>0</v>
          </cell>
        </row>
        <row r="233">
          <cell r="C233">
            <v>0</v>
          </cell>
        </row>
        <row r="234">
          <cell r="C234">
            <v>0</v>
          </cell>
        </row>
        <row r="235">
          <cell r="C235">
            <v>0</v>
          </cell>
        </row>
        <row r="236">
          <cell r="C236">
            <v>0</v>
          </cell>
        </row>
        <row r="237">
          <cell r="C237">
            <v>0</v>
          </cell>
        </row>
        <row r="238">
          <cell r="C238">
            <v>0</v>
          </cell>
        </row>
        <row r="239">
          <cell r="C239">
            <v>0</v>
          </cell>
        </row>
        <row r="240">
          <cell r="C240">
            <v>0</v>
          </cell>
        </row>
        <row r="241">
          <cell r="C241">
            <v>0</v>
          </cell>
        </row>
        <row r="242">
          <cell r="C242">
            <v>0</v>
          </cell>
        </row>
        <row r="243">
          <cell r="C243">
            <v>0</v>
          </cell>
        </row>
        <row r="244">
          <cell r="C244">
            <v>0</v>
          </cell>
        </row>
        <row r="245">
          <cell r="C245">
            <v>0</v>
          </cell>
        </row>
        <row r="246">
          <cell r="C246">
            <v>0</v>
          </cell>
        </row>
        <row r="247">
          <cell r="C247">
            <v>0</v>
          </cell>
        </row>
        <row r="248">
          <cell r="C248">
            <v>0</v>
          </cell>
        </row>
        <row r="249">
          <cell r="C249">
            <v>0</v>
          </cell>
        </row>
        <row r="250">
          <cell r="C250">
            <v>0</v>
          </cell>
        </row>
        <row r="251">
          <cell r="C251">
            <v>0</v>
          </cell>
        </row>
        <row r="252">
          <cell r="C252">
            <v>0</v>
          </cell>
        </row>
        <row r="253">
          <cell r="C253">
            <v>0</v>
          </cell>
        </row>
        <row r="254">
          <cell r="C254">
            <v>0</v>
          </cell>
        </row>
        <row r="255">
          <cell r="C255">
            <v>0</v>
          </cell>
        </row>
        <row r="256">
          <cell r="C256">
            <v>0</v>
          </cell>
        </row>
        <row r="257">
          <cell r="C257">
            <v>0</v>
          </cell>
        </row>
        <row r="258">
          <cell r="C258">
            <v>0</v>
          </cell>
        </row>
        <row r="259">
          <cell r="C259">
            <v>0</v>
          </cell>
        </row>
        <row r="260">
          <cell r="C260">
            <v>0</v>
          </cell>
        </row>
        <row r="261">
          <cell r="C261">
            <v>0</v>
          </cell>
        </row>
        <row r="262">
          <cell r="C262">
            <v>0</v>
          </cell>
        </row>
        <row r="263">
          <cell r="C263">
            <v>0</v>
          </cell>
        </row>
        <row r="264">
          <cell r="C264">
            <v>0</v>
          </cell>
        </row>
        <row r="265">
          <cell r="C265">
            <v>0</v>
          </cell>
        </row>
        <row r="266">
          <cell r="C266">
            <v>0</v>
          </cell>
        </row>
        <row r="267">
          <cell r="C267">
            <v>0</v>
          </cell>
        </row>
        <row r="268">
          <cell r="C268">
            <v>0</v>
          </cell>
        </row>
        <row r="269">
          <cell r="C269">
            <v>0</v>
          </cell>
        </row>
        <row r="270">
          <cell r="C270">
            <v>0</v>
          </cell>
        </row>
        <row r="271">
          <cell r="C271">
            <v>0</v>
          </cell>
        </row>
        <row r="272">
          <cell r="C272">
            <v>0</v>
          </cell>
        </row>
        <row r="273">
          <cell r="C273">
            <v>0</v>
          </cell>
        </row>
        <row r="274">
          <cell r="C274">
            <v>0</v>
          </cell>
        </row>
        <row r="275">
          <cell r="C275">
            <v>0</v>
          </cell>
        </row>
        <row r="276">
          <cell r="C276">
            <v>0</v>
          </cell>
        </row>
        <row r="277">
          <cell r="C277">
            <v>0</v>
          </cell>
        </row>
        <row r="278">
          <cell r="C278">
            <v>0</v>
          </cell>
        </row>
        <row r="279">
          <cell r="C279">
            <v>0</v>
          </cell>
        </row>
        <row r="280">
          <cell r="C280">
            <v>0</v>
          </cell>
        </row>
        <row r="281">
          <cell r="C281">
            <v>0</v>
          </cell>
        </row>
        <row r="282">
          <cell r="C282">
            <v>0</v>
          </cell>
        </row>
        <row r="283">
          <cell r="C283">
            <v>0</v>
          </cell>
        </row>
        <row r="284">
          <cell r="C284">
            <v>0</v>
          </cell>
        </row>
        <row r="285">
          <cell r="C285">
            <v>0</v>
          </cell>
        </row>
        <row r="286">
          <cell r="C286">
            <v>0</v>
          </cell>
        </row>
        <row r="287">
          <cell r="C287">
            <v>0</v>
          </cell>
        </row>
        <row r="288">
          <cell r="C288">
            <v>0</v>
          </cell>
        </row>
        <row r="289">
          <cell r="C289">
            <v>0</v>
          </cell>
        </row>
        <row r="290">
          <cell r="C290">
            <v>0</v>
          </cell>
        </row>
        <row r="291">
          <cell r="C291">
            <v>0</v>
          </cell>
        </row>
        <row r="292">
          <cell r="C292">
            <v>0</v>
          </cell>
        </row>
        <row r="293">
          <cell r="C293">
            <v>0</v>
          </cell>
        </row>
        <row r="294">
          <cell r="C294">
            <v>0</v>
          </cell>
        </row>
        <row r="295">
          <cell r="C295">
            <v>0</v>
          </cell>
        </row>
        <row r="296">
          <cell r="C296">
            <v>0</v>
          </cell>
        </row>
        <row r="297">
          <cell r="C297">
            <v>0</v>
          </cell>
        </row>
        <row r="298">
          <cell r="C298">
            <v>0</v>
          </cell>
        </row>
        <row r="299">
          <cell r="C299">
            <v>0</v>
          </cell>
        </row>
        <row r="300">
          <cell r="C300">
            <v>0</v>
          </cell>
        </row>
        <row r="301">
          <cell r="C301">
            <v>0</v>
          </cell>
        </row>
        <row r="302">
          <cell r="C302">
            <v>0</v>
          </cell>
        </row>
        <row r="303">
          <cell r="C303">
            <v>0</v>
          </cell>
        </row>
        <row r="304">
          <cell r="C304">
            <v>0</v>
          </cell>
        </row>
        <row r="305">
          <cell r="C305">
            <v>0</v>
          </cell>
        </row>
        <row r="306">
          <cell r="C306">
            <v>0</v>
          </cell>
        </row>
        <row r="307">
          <cell r="C307">
            <v>0</v>
          </cell>
        </row>
        <row r="308">
          <cell r="C308">
            <v>0</v>
          </cell>
        </row>
        <row r="309">
          <cell r="C309">
            <v>0</v>
          </cell>
        </row>
        <row r="310">
          <cell r="C310">
            <v>0</v>
          </cell>
        </row>
        <row r="311">
          <cell r="C311">
            <v>0</v>
          </cell>
        </row>
        <row r="312">
          <cell r="C312">
            <v>0</v>
          </cell>
        </row>
        <row r="313">
          <cell r="C313">
            <v>0</v>
          </cell>
        </row>
        <row r="314">
          <cell r="C314">
            <v>0</v>
          </cell>
        </row>
        <row r="315">
          <cell r="C315">
            <v>0</v>
          </cell>
        </row>
        <row r="316">
          <cell r="C316">
            <v>0</v>
          </cell>
        </row>
        <row r="317">
          <cell r="C317">
            <v>0</v>
          </cell>
        </row>
        <row r="318">
          <cell r="C318">
            <v>0</v>
          </cell>
        </row>
        <row r="319">
          <cell r="C319">
            <v>0</v>
          </cell>
        </row>
        <row r="320">
          <cell r="C320">
            <v>0</v>
          </cell>
        </row>
        <row r="321">
          <cell r="C321">
            <v>0</v>
          </cell>
        </row>
        <row r="322">
          <cell r="C322">
            <v>0</v>
          </cell>
        </row>
        <row r="323">
          <cell r="C323">
            <v>0</v>
          </cell>
        </row>
        <row r="324">
          <cell r="C324">
            <v>0</v>
          </cell>
        </row>
        <row r="325">
          <cell r="C325">
            <v>0</v>
          </cell>
        </row>
        <row r="326">
          <cell r="C326">
            <v>0</v>
          </cell>
        </row>
        <row r="327">
          <cell r="C327">
            <v>0</v>
          </cell>
        </row>
        <row r="328">
          <cell r="C328">
            <v>0</v>
          </cell>
        </row>
        <row r="329">
          <cell r="C329">
            <v>0</v>
          </cell>
        </row>
        <row r="330">
          <cell r="C330">
            <v>0</v>
          </cell>
        </row>
        <row r="331">
          <cell r="C331">
            <v>0</v>
          </cell>
        </row>
        <row r="332">
          <cell r="C332">
            <v>0</v>
          </cell>
        </row>
        <row r="333">
          <cell r="C333">
            <v>0</v>
          </cell>
        </row>
        <row r="334">
          <cell r="C334">
            <v>0</v>
          </cell>
        </row>
        <row r="335">
          <cell r="C335">
            <v>0</v>
          </cell>
        </row>
        <row r="336">
          <cell r="C336">
            <v>0</v>
          </cell>
        </row>
        <row r="337">
          <cell r="C337">
            <v>0</v>
          </cell>
        </row>
        <row r="338">
          <cell r="C338">
            <v>0</v>
          </cell>
        </row>
        <row r="339">
          <cell r="C339">
            <v>0</v>
          </cell>
        </row>
        <row r="340">
          <cell r="C340">
            <v>0</v>
          </cell>
        </row>
        <row r="341">
          <cell r="C341">
            <v>0</v>
          </cell>
        </row>
        <row r="342">
          <cell r="C342">
            <v>0</v>
          </cell>
        </row>
        <row r="343">
          <cell r="C343">
            <v>0</v>
          </cell>
        </row>
        <row r="344">
          <cell r="C344">
            <v>0</v>
          </cell>
        </row>
        <row r="345">
          <cell r="C345">
            <v>0</v>
          </cell>
        </row>
        <row r="346">
          <cell r="C346">
            <v>0</v>
          </cell>
        </row>
        <row r="347">
          <cell r="C347">
            <v>0</v>
          </cell>
        </row>
        <row r="348">
          <cell r="C348">
            <v>0</v>
          </cell>
        </row>
        <row r="349">
          <cell r="C349">
            <v>0</v>
          </cell>
        </row>
        <row r="350">
          <cell r="C350">
            <v>0</v>
          </cell>
        </row>
        <row r="351">
          <cell r="C351">
            <v>0</v>
          </cell>
        </row>
        <row r="352">
          <cell r="C352">
            <v>0</v>
          </cell>
        </row>
        <row r="353">
          <cell r="C353">
            <v>0</v>
          </cell>
        </row>
        <row r="354">
          <cell r="C354">
            <v>0</v>
          </cell>
        </row>
        <row r="355">
          <cell r="C355">
            <v>0</v>
          </cell>
        </row>
        <row r="356">
          <cell r="C356">
            <v>0</v>
          </cell>
        </row>
        <row r="357">
          <cell r="C357">
            <v>0</v>
          </cell>
        </row>
        <row r="358">
          <cell r="C358">
            <v>0</v>
          </cell>
        </row>
        <row r="359">
          <cell r="C359">
            <v>0</v>
          </cell>
        </row>
        <row r="360">
          <cell r="C360">
            <v>0</v>
          </cell>
        </row>
        <row r="361">
          <cell r="C361">
            <v>0</v>
          </cell>
        </row>
        <row r="362">
          <cell r="C362">
            <v>0</v>
          </cell>
        </row>
        <row r="363">
          <cell r="C363">
            <v>0</v>
          </cell>
        </row>
        <row r="364">
          <cell r="C364">
            <v>0</v>
          </cell>
        </row>
        <row r="365">
          <cell r="C365">
            <v>0</v>
          </cell>
        </row>
        <row r="366">
          <cell r="C366">
            <v>0</v>
          </cell>
        </row>
        <row r="367">
          <cell r="C367">
            <v>0</v>
          </cell>
        </row>
        <row r="368">
          <cell r="C368">
            <v>0</v>
          </cell>
        </row>
        <row r="369">
          <cell r="C369">
            <v>0</v>
          </cell>
        </row>
        <row r="370">
          <cell r="C370">
            <v>0</v>
          </cell>
        </row>
        <row r="371">
          <cell r="C371">
            <v>0</v>
          </cell>
        </row>
        <row r="372">
          <cell r="C372">
            <v>0</v>
          </cell>
        </row>
        <row r="373">
          <cell r="C373">
            <v>0</v>
          </cell>
        </row>
        <row r="374">
          <cell r="C374">
            <v>0</v>
          </cell>
        </row>
        <row r="375">
          <cell r="C375">
            <v>0</v>
          </cell>
        </row>
        <row r="376">
          <cell r="C376">
            <v>0</v>
          </cell>
        </row>
        <row r="377">
          <cell r="C377">
            <v>0</v>
          </cell>
        </row>
        <row r="378">
          <cell r="C378">
            <v>0</v>
          </cell>
        </row>
        <row r="379">
          <cell r="C379">
            <v>0</v>
          </cell>
        </row>
        <row r="380">
          <cell r="C380">
            <v>0</v>
          </cell>
        </row>
        <row r="381">
          <cell r="C381">
            <v>0</v>
          </cell>
        </row>
        <row r="382">
          <cell r="C382">
            <v>0</v>
          </cell>
        </row>
        <row r="383">
          <cell r="C383">
            <v>0</v>
          </cell>
        </row>
        <row r="384">
          <cell r="C384">
            <v>0</v>
          </cell>
        </row>
        <row r="385">
          <cell r="C385">
            <v>0</v>
          </cell>
        </row>
        <row r="386">
          <cell r="C386">
            <v>0</v>
          </cell>
        </row>
        <row r="387">
          <cell r="C387">
            <v>0</v>
          </cell>
        </row>
        <row r="388">
          <cell r="C388">
            <v>0</v>
          </cell>
        </row>
        <row r="389">
          <cell r="C389">
            <v>0</v>
          </cell>
        </row>
        <row r="390">
          <cell r="C390">
            <v>0</v>
          </cell>
        </row>
        <row r="391">
          <cell r="C391">
            <v>0</v>
          </cell>
        </row>
        <row r="392">
          <cell r="C392">
            <v>0</v>
          </cell>
        </row>
        <row r="393">
          <cell r="C393">
            <v>0</v>
          </cell>
        </row>
        <row r="394">
          <cell r="C394">
            <v>0</v>
          </cell>
        </row>
        <row r="395">
          <cell r="C395">
            <v>0</v>
          </cell>
        </row>
        <row r="396">
          <cell r="C396">
            <v>0</v>
          </cell>
        </row>
        <row r="397">
          <cell r="C397">
            <v>0</v>
          </cell>
        </row>
        <row r="398">
          <cell r="C398">
            <v>0</v>
          </cell>
        </row>
        <row r="399">
          <cell r="C399">
            <v>0</v>
          </cell>
        </row>
        <row r="400">
          <cell r="C400">
            <v>0</v>
          </cell>
        </row>
        <row r="401">
          <cell r="C401">
            <v>0</v>
          </cell>
        </row>
        <row r="402">
          <cell r="C402">
            <v>0</v>
          </cell>
        </row>
        <row r="403">
          <cell r="C403">
            <v>0</v>
          </cell>
        </row>
        <row r="404">
          <cell r="C404">
            <v>0</v>
          </cell>
        </row>
        <row r="405">
          <cell r="C405">
            <v>0</v>
          </cell>
        </row>
        <row r="406">
          <cell r="C406">
            <v>0</v>
          </cell>
        </row>
        <row r="407">
          <cell r="C407">
            <v>0</v>
          </cell>
        </row>
        <row r="408">
          <cell r="C408">
            <v>0</v>
          </cell>
        </row>
        <row r="409">
          <cell r="C409">
            <v>0</v>
          </cell>
        </row>
        <row r="410">
          <cell r="C410">
            <v>0</v>
          </cell>
        </row>
        <row r="411">
          <cell r="C411">
            <v>0</v>
          </cell>
        </row>
        <row r="412">
          <cell r="C412">
            <v>0</v>
          </cell>
        </row>
        <row r="413">
          <cell r="C413">
            <v>0</v>
          </cell>
        </row>
        <row r="414">
          <cell r="C414">
            <v>0</v>
          </cell>
        </row>
        <row r="415">
          <cell r="C415">
            <v>0</v>
          </cell>
        </row>
        <row r="416">
          <cell r="C416">
            <v>0</v>
          </cell>
        </row>
        <row r="417">
          <cell r="C417">
            <v>0</v>
          </cell>
        </row>
        <row r="418">
          <cell r="C418">
            <v>0</v>
          </cell>
        </row>
        <row r="419">
          <cell r="C419">
            <v>0</v>
          </cell>
        </row>
        <row r="420">
          <cell r="C420">
            <v>0</v>
          </cell>
        </row>
        <row r="421">
          <cell r="C421">
            <v>0</v>
          </cell>
        </row>
        <row r="422">
          <cell r="C422">
            <v>0</v>
          </cell>
        </row>
        <row r="423">
          <cell r="C423">
            <v>0</v>
          </cell>
        </row>
        <row r="424">
          <cell r="C424">
            <v>0</v>
          </cell>
        </row>
        <row r="425">
          <cell r="C425">
            <v>0</v>
          </cell>
        </row>
        <row r="426">
          <cell r="C426">
            <v>0</v>
          </cell>
        </row>
        <row r="427">
          <cell r="C427">
            <v>0</v>
          </cell>
        </row>
        <row r="428">
          <cell r="C428">
            <v>0</v>
          </cell>
        </row>
        <row r="429">
          <cell r="C429">
            <v>0</v>
          </cell>
        </row>
        <row r="430">
          <cell r="C430">
            <v>0</v>
          </cell>
        </row>
        <row r="431">
          <cell r="C431">
            <v>0</v>
          </cell>
        </row>
        <row r="432">
          <cell r="C432">
            <v>0</v>
          </cell>
        </row>
        <row r="433">
          <cell r="C433">
            <v>0</v>
          </cell>
        </row>
        <row r="434">
          <cell r="C434">
            <v>0</v>
          </cell>
        </row>
        <row r="435">
          <cell r="C435">
            <v>0</v>
          </cell>
        </row>
        <row r="436">
          <cell r="C436">
            <v>0</v>
          </cell>
        </row>
        <row r="437">
          <cell r="C437">
            <v>0</v>
          </cell>
        </row>
        <row r="438">
          <cell r="C438">
            <v>0</v>
          </cell>
        </row>
        <row r="439">
          <cell r="C439">
            <v>0</v>
          </cell>
        </row>
        <row r="440">
          <cell r="C440">
            <v>0</v>
          </cell>
        </row>
        <row r="441">
          <cell r="C441">
            <v>0</v>
          </cell>
        </row>
        <row r="442">
          <cell r="C442">
            <v>0</v>
          </cell>
        </row>
        <row r="443">
          <cell r="C443">
            <v>0</v>
          </cell>
        </row>
        <row r="444">
          <cell r="C444">
            <v>0</v>
          </cell>
        </row>
        <row r="445">
          <cell r="C445">
            <v>0</v>
          </cell>
        </row>
        <row r="446">
          <cell r="C446">
            <v>0</v>
          </cell>
        </row>
        <row r="447">
          <cell r="C447">
            <v>0</v>
          </cell>
        </row>
        <row r="448">
          <cell r="C448">
            <v>0</v>
          </cell>
        </row>
        <row r="449">
          <cell r="C449">
            <v>0</v>
          </cell>
        </row>
        <row r="450">
          <cell r="C450">
            <v>0</v>
          </cell>
        </row>
        <row r="451">
          <cell r="C451">
            <v>0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0</v>
          </cell>
        </row>
        <row r="456">
          <cell r="C456">
            <v>0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0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0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0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0</v>
          </cell>
        </row>
        <row r="478">
          <cell r="C478">
            <v>0</v>
          </cell>
        </row>
        <row r="479">
          <cell r="C479">
            <v>0</v>
          </cell>
        </row>
        <row r="480">
          <cell r="C480">
            <v>0</v>
          </cell>
        </row>
        <row r="481">
          <cell r="C481">
            <v>0</v>
          </cell>
        </row>
        <row r="482">
          <cell r="C482">
            <v>0</v>
          </cell>
        </row>
        <row r="483">
          <cell r="C483">
            <v>0</v>
          </cell>
        </row>
        <row r="484">
          <cell r="C484">
            <v>0</v>
          </cell>
        </row>
        <row r="485">
          <cell r="C485">
            <v>0</v>
          </cell>
        </row>
        <row r="486">
          <cell r="C486">
            <v>0</v>
          </cell>
        </row>
        <row r="487">
          <cell r="C487">
            <v>0</v>
          </cell>
        </row>
        <row r="488">
          <cell r="C488">
            <v>0</v>
          </cell>
        </row>
        <row r="489">
          <cell r="C489">
            <v>0</v>
          </cell>
        </row>
        <row r="490">
          <cell r="C490">
            <v>0</v>
          </cell>
        </row>
        <row r="491">
          <cell r="C491">
            <v>0</v>
          </cell>
        </row>
        <row r="492">
          <cell r="C492">
            <v>0</v>
          </cell>
        </row>
        <row r="493">
          <cell r="C493">
            <v>0</v>
          </cell>
        </row>
        <row r="494">
          <cell r="C494">
            <v>0</v>
          </cell>
        </row>
        <row r="495">
          <cell r="C495">
            <v>0</v>
          </cell>
        </row>
        <row r="496">
          <cell r="C496">
            <v>0</v>
          </cell>
        </row>
        <row r="497">
          <cell r="C497">
            <v>0</v>
          </cell>
        </row>
        <row r="498">
          <cell r="C498">
            <v>0</v>
          </cell>
        </row>
        <row r="499">
          <cell r="C499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power"/>
      <sheetName val="Project List"/>
      <sheetName val="Det. Estimate"/>
      <sheetName val="Materials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e of Works"/>
      <sheetName val="Compo Bill"/>
      <sheetName val="Detailed"/>
      <sheetName val="Transport"/>
      <sheetName val="Qty Calculation"/>
      <sheetName val="Tabulated quantities"/>
      <sheetName val="timber shed (3)"/>
      <sheetName val="Fender piles"/>
      <sheetName val="Det. Estimate"/>
      <sheetName val="Source"/>
    </sheetNames>
    <sheetDataSet>
      <sheetData sheetId="0" refreshError="1"/>
      <sheetData sheetId="1">
        <row r="3">
          <cell r="B3" t="str">
            <v>GROWTH WITH EQUITY IN MINDANAO 2 PROGRAM</v>
          </cell>
        </row>
        <row r="4">
          <cell r="B4" t="str">
            <v>A project financed by the United States Agency for International Development</v>
          </cell>
        </row>
        <row r="5">
          <cell r="B5" t="str">
            <v>and implemented in partnership with the Mindanao Economic Development Council</v>
          </cell>
        </row>
        <row r="6">
          <cell r="B6" t="str">
            <v>2nd Floor, 1 Ladislawa Bldg., Ladislawa, Buhangin, Davao City 8000, Philippines</v>
          </cell>
        </row>
        <row r="7">
          <cell r="B7" t="str">
            <v>Telephone: (6382) 225-1570 Fax (6382) 225-1479</v>
          </cell>
        </row>
        <row r="9">
          <cell r="B9" t="str">
            <v>Community Infrastructure Program</v>
          </cell>
        </row>
        <row r="13">
          <cell r="B13" t="str">
            <v>Project No. :</v>
          </cell>
          <cell r="D13" t="str">
            <v>C - 109</v>
          </cell>
        </row>
        <row r="14">
          <cell r="B14" t="str">
            <v>Project Name :</v>
          </cell>
          <cell r="D14" t="str">
            <v>Badjao Village Footbridge Rehabilitation</v>
          </cell>
        </row>
        <row r="15">
          <cell r="B15" t="str">
            <v>Project Description :</v>
          </cell>
          <cell r="E15" t="str">
            <v>Badjao Village, Pag-asa Bongao, Tawi-tawi</v>
          </cell>
        </row>
        <row r="16">
          <cell r="B16" t="str">
            <v>Project Location :</v>
          </cell>
          <cell r="D16" t="str">
            <v>Badjao Village, Pag-asa Bongao, Tawi-tawi</v>
          </cell>
        </row>
        <row r="17">
          <cell r="B17" t="str">
            <v>Costing Date :</v>
          </cell>
          <cell r="D17">
            <v>38841.576121874998</v>
          </cell>
        </row>
        <row r="18">
          <cell r="B18" t="str">
            <v>Costing Center :</v>
          </cell>
          <cell r="D18" t="str">
            <v>Tawi-Tawi</v>
          </cell>
        </row>
        <row r="20">
          <cell r="B20" t="str">
            <v>Scope of Works</v>
          </cell>
          <cell r="I20" t="str">
            <v>Unit</v>
          </cell>
          <cell r="J20" t="str">
            <v>Qty</v>
          </cell>
          <cell r="K20" t="str">
            <v>Unit Cost</v>
          </cell>
          <cell r="L20" t="str">
            <v>Total Cost</v>
          </cell>
        </row>
        <row r="22">
          <cell r="B22" t="str">
            <v>A) FOOTBRIDGE REHABILITATION</v>
          </cell>
        </row>
        <row r="23">
          <cell r="B23" t="str">
            <v>1.0 )</v>
          </cell>
          <cell r="C23" t="str">
            <v>Site Works</v>
          </cell>
        </row>
        <row r="24">
          <cell r="C24" t="str">
            <v>1.1 )</v>
          </cell>
          <cell r="D24" t="str">
            <v>Layout of Lines &amp; Grades</v>
          </cell>
          <cell r="I24" t="str">
            <v>m²</v>
          </cell>
          <cell r="J24">
            <v>114.24000000000001</v>
          </cell>
          <cell r="K24">
            <v>23.535506098279413</v>
          </cell>
          <cell r="L24">
            <v>2688.6962166674402</v>
          </cell>
        </row>
        <row r="25">
          <cell r="K25" t="str">
            <v>Total Cost Site Works =</v>
          </cell>
          <cell r="L25">
            <v>2688.6962166674402</v>
          </cell>
        </row>
        <row r="26">
          <cell r="B26" t="str">
            <v>2.0 )</v>
          </cell>
          <cell r="C26" t="str">
            <v>Earthworks</v>
          </cell>
        </row>
        <row r="27">
          <cell r="C27" t="str">
            <v>2.1 )</v>
          </cell>
          <cell r="D27" t="str">
            <v>Structure Excavation</v>
          </cell>
          <cell r="I27" t="str">
            <v>m³</v>
          </cell>
          <cell r="J27">
            <v>1.9079999999999999</v>
          </cell>
          <cell r="K27">
            <v>380.55023060796651</v>
          </cell>
          <cell r="L27">
            <v>726.08984000000009</v>
          </cell>
        </row>
        <row r="28">
          <cell r="K28" t="str">
            <v>Total Cost Earthworks =</v>
          </cell>
          <cell r="L28">
            <v>726.08984000000009</v>
          </cell>
        </row>
        <row r="29">
          <cell r="B29" t="str">
            <v>3.0 )</v>
          </cell>
          <cell r="C29" t="str">
            <v>Rockworks</v>
          </cell>
        </row>
        <row r="30">
          <cell r="C30" t="str">
            <v>3.1)</v>
          </cell>
          <cell r="D30" t="str">
            <v>Rockfill (0.3 - 3.0 kg/pc)</v>
          </cell>
          <cell r="I30" t="str">
            <v>m³</v>
          </cell>
          <cell r="J30">
            <v>4.7372266666666665</v>
          </cell>
          <cell r="K30">
            <v>1058.7931893766256</v>
          </cell>
          <cell r="L30">
            <v>5015.7433312000003</v>
          </cell>
        </row>
        <row r="31">
          <cell r="K31" t="str">
            <v>Total Cost Rockworks =</v>
          </cell>
          <cell r="L31">
            <v>5015.7433312000003</v>
          </cell>
        </row>
        <row r="32">
          <cell r="B32" t="str">
            <v>4.0 )</v>
          </cell>
          <cell r="C32" t="str">
            <v>Masonry Works</v>
          </cell>
        </row>
        <row r="33">
          <cell r="C33" t="str">
            <v>5.1 )</v>
          </cell>
          <cell r="D33" t="str">
            <v>Grouted Riprap (Class "A")</v>
          </cell>
          <cell r="I33" t="str">
            <v>m³</v>
          </cell>
          <cell r="J33">
            <v>7.3382900000000006</v>
          </cell>
          <cell r="K33">
            <v>2774.0151604960283</v>
          </cell>
          <cell r="L33">
            <v>20356.5277121164</v>
          </cell>
        </row>
        <row r="34">
          <cell r="K34" t="str">
            <v>Total Cost Masonry Works =</v>
          </cell>
          <cell r="L34">
            <v>20356.5277121164</v>
          </cell>
        </row>
        <row r="35">
          <cell r="B35" t="str">
            <v>5.0 )</v>
          </cell>
          <cell r="C35" t="str">
            <v>Precast &amp; Cast in-place Concrete Post</v>
          </cell>
        </row>
        <row r="36">
          <cell r="C36" t="str">
            <v>1.1 )</v>
          </cell>
          <cell r="D36" t="str">
            <v>Precast Concrete Post ( 3,000 psi including Stopper &amp; Footing Block)</v>
          </cell>
          <cell r="I36" t="str">
            <v>m³</v>
          </cell>
          <cell r="J36">
            <v>10.355360000000001</v>
          </cell>
          <cell r="K36">
            <v>7225.0394046632464</v>
          </cell>
          <cell r="L36">
            <v>74817.884049473607</v>
          </cell>
        </row>
        <row r="37">
          <cell r="C37" t="str">
            <v>1.2 )</v>
          </cell>
          <cell r="D37" t="str">
            <v>Cast in-place Concrete 3,000 psi (including corbel/Filler, Ramp Beam &amp; Concrete Block )</v>
          </cell>
          <cell r="I37" t="str">
            <v>m³</v>
          </cell>
          <cell r="J37">
            <v>7.2813550000000005</v>
          </cell>
          <cell r="K37">
            <v>6328.4455630643479</v>
          </cell>
          <cell r="L37">
            <v>46079.658742846404</v>
          </cell>
        </row>
        <row r="38">
          <cell r="C38" t="str">
            <v>1.3 )</v>
          </cell>
          <cell r="D38" t="str">
            <v>Reinforcing Steel Bars (fy = 230 Mpa)</v>
          </cell>
          <cell r="I38" t="str">
            <v>kg.</v>
          </cell>
          <cell r="J38">
            <v>3195.9435439999997</v>
          </cell>
          <cell r="K38">
            <v>60.934836322269149</v>
          </cell>
          <cell r="L38">
            <v>194744.29674885276</v>
          </cell>
        </row>
        <row r="39">
          <cell r="C39" t="str">
            <v>1.4 )</v>
          </cell>
          <cell r="D39" t="str">
            <v>Formworks</v>
          </cell>
          <cell r="I39" t="str">
            <v>m²</v>
          </cell>
          <cell r="J39">
            <v>124.45484999999999</v>
          </cell>
          <cell r="K39">
            <v>343.76851626386912</v>
          </cell>
          <cell r="L39">
            <v>42783.659126342391</v>
          </cell>
        </row>
        <row r="40">
          <cell r="C40" t="str">
            <v>1.5 )</v>
          </cell>
          <cell r="D40" t="str">
            <v>Scaffolds</v>
          </cell>
          <cell r="I40" t="str">
            <v>bdft.</v>
          </cell>
          <cell r="J40">
            <v>1327.1865204000001</v>
          </cell>
          <cell r="K40">
            <v>22.594002880629493</v>
          </cell>
          <cell r="L40">
            <v>29986.456065050235</v>
          </cell>
        </row>
        <row r="41">
          <cell r="C41" t="str">
            <v>1.6 )</v>
          </cell>
          <cell r="D41" t="str">
            <v>Post Driving Works</v>
          </cell>
          <cell r="I41" t="str">
            <v>pcs.</v>
          </cell>
          <cell r="J41">
            <v>56</v>
          </cell>
          <cell r="K41">
            <v>2240.8699205451999</v>
          </cell>
          <cell r="L41">
            <v>125488.7155505312</v>
          </cell>
        </row>
        <row r="42">
          <cell r="K42" t="str">
            <v>Total Cost Precast &amp; Cast in-place Concrete Post =</v>
          </cell>
          <cell r="L42">
            <v>513900.67028309661</v>
          </cell>
        </row>
        <row r="43">
          <cell r="B43" t="str">
            <v>6.0 )</v>
          </cell>
          <cell r="C43" t="str">
            <v xml:space="preserve">Precast Beams </v>
          </cell>
        </row>
        <row r="44">
          <cell r="C44" t="str">
            <v>2.1 )</v>
          </cell>
          <cell r="D44" t="str">
            <v>Concrete 3,000 psi</v>
          </cell>
          <cell r="I44" t="str">
            <v>m³</v>
          </cell>
          <cell r="J44">
            <v>11.452499999999999</v>
          </cell>
          <cell r="K44">
            <v>7258.5421349450162</v>
          </cell>
          <cell r="L44">
            <v>83128.453800457792</v>
          </cell>
        </row>
        <row r="45">
          <cell r="C45" t="str">
            <v>2.2 )</v>
          </cell>
          <cell r="D45" t="str">
            <v>Reinforcing Steel Bars (fy = 230 Mpa)</v>
          </cell>
          <cell r="I45" t="str">
            <v>kg.</v>
          </cell>
          <cell r="J45">
            <v>1866.2403439999998</v>
          </cell>
          <cell r="K45">
            <v>60.354687962666681</v>
          </cell>
          <cell r="L45">
            <v>112636.35362545971</v>
          </cell>
        </row>
        <row r="46">
          <cell r="C46" t="str">
            <v>2.3 )</v>
          </cell>
          <cell r="D46" t="str">
            <v>Formworks</v>
          </cell>
          <cell r="I46" t="str">
            <v>m²</v>
          </cell>
          <cell r="J46">
            <v>64.897499999999994</v>
          </cell>
          <cell r="K46">
            <v>340.5057746025841</v>
          </cell>
          <cell r="L46">
            <v>22097.973507271199</v>
          </cell>
        </row>
        <row r="47">
          <cell r="C47" t="str">
            <v>2.4 )</v>
          </cell>
          <cell r="D47" t="str">
            <v xml:space="preserve">Installation of Beams </v>
          </cell>
          <cell r="I47" t="str">
            <v>pcs.</v>
          </cell>
          <cell r="J47">
            <v>81</v>
          </cell>
          <cell r="K47">
            <v>204.20346672724446</v>
          </cell>
          <cell r="L47">
            <v>16540.480804906801</v>
          </cell>
        </row>
        <row r="48">
          <cell r="K48" t="str">
            <v>Total Cost Precast Beams  =</v>
          </cell>
          <cell r="L48">
            <v>234403.26173809552</v>
          </cell>
        </row>
        <row r="49">
          <cell r="B49" t="str">
            <v>7.0 )</v>
          </cell>
          <cell r="C49" t="str">
            <v>Precast Planks</v>
          </cell>
        </row>
        <row r="50">
          <cell r="C50" t="str">
            <v>3.1 )</v>
          </cell>
          <cell r="D50" t="str">
            <v>Concrete 3,000 psi</v>
          </cell>
          <cell r="I50" t="str">
            <v>m³</v>
          </cell>
          <cell r="J50">
            <v>9.8769999999999989</v>
          </cell>
          <cell r="K50">
            <v>7241.1393464097791</v>
          </cell>
          <cell r="L50">
            <v>71520.733324489382</v>
          </cell>
        </row>
        <row r="51">
          <cell r="C51" t="str">
            <v>3.2 )</v>
          </cell>
          <cell r="D51" t="str">
            <v>Reinforcing Steel Bars (fy = 230 Mpa)</v>
          </cell>
          <cell r="I51" t="str">
            <v>kg.</v>
          </cell>
          <cell r="J51">
            <v>1007.2216</v>
          </cell>
          <cell r="K51">
            <v>60.781932519959263</v>
          </cell>
          <cell r="L51">
            <v>61220.875323845401</v>
          </cell>
        </row>
        <row r="52">
          <cell r="C52" t="str">
            <v>3.3 )</v>
          </cell>
          <cell r="D52" t="str">
            <v>Formworks</v>
          </cell>
          <cell r="I52" t="str">
            <v>m²</v>
          </cell>
          <cell r="J52">
            <v>77.605000000000004</v>
          </cell>
          <cell r="K52">
            <v>350.24394542312484</v>
          </cell>
          <cell r="L52">
            <v>27180.681384561605</v>
          </cell>
        </row>
        <row r="53">
          <cell r="C53" t="str">
            <v>3.4 )</v>
          </cell>
          <cell r="D53" t="str">
            <v>Installation of Planks</v>
          </cell>
          <cell r="I53" t="str">
            <v>pcs.</v>
          </cell>
          <cell r="J53">
            <v>166</v>
          </cell>
          <cell r="K53">
            <v>111.93365981158554</v>
          </cell>
          <cell r="L53">
            <v>18580.987528723199</v>
          </cell>
        </row>
        <row r="54">
          <cell r="K54" t="str">
            <v>Total Cost Precast Planks =</v>
          </cell>
          <cell r="L54">
            <v>178503.27756161959</v>
          </cell>
        </row>
        <row r="55">
          <cell r="B55" t="str">
            <v>8.0 )</v>
          </cell>
          <cell r="C55" t="str">
            <v xml:space="preserve">Cast in-place Concrete Curb </v>
          </cell>
        </row>
        <row r="56">
          <cell r="C56" t="str">
            <v>4.1 )</v>
          </cell>
          <cell r="D56" t="str">
            <v>Concrete 3,000 psi</v>
          </cell>
          <cell r="I56" t="str">
            <v>m³</v>
          </cell>
          <cell r="J56">
            <v>1.8140624999999999</v>
          </cell>
          <cell r="K56">
            <v>6377.3197371894303</v>
          </cell>
          <cell r="L56">
            <v>11568.856585745199</v>
          </cell>
        </row>
        <row r="57">
          <cell r="C57" t="str">
            <v>4.2 )</v>
          </cell>
          <cell r="D57" t="str">
            <v>Reinforcing Steel Bars (fy = 230 Mpa)</v>
          </cell>
          <cell r="I57" t="str">
            <v>kg.</v>
          </cell>
          <cell r="J57">
            <v>269.4384</v>
          </cell>
          <cell r="K57">
            <v>60.412283560790002</v>
          </cell>
          <cell r="L57">
            <v>16277.389022965561</v>
          </cell>
        </row>
        <row r="58">
          <cell r="C58" t="str">
            <v>4.3 )</v>
          </cell>
          <cell r="D58" t="str">
            <v>Formworks</v>
          </cell>
          <cell r="I58" t="str">
            <v>m²</v>
          </cell>
          <cell r="J58">
            <v>14.512499999999999</v>
          </cell>
          <cell r="K58">
            <v>326.70398334959702</v>
          </cell>
          <cell r="L58">
            <v>4741.2915583610265</v>
          </cell>
        </row>
        <row r="59">
          <cell r="K59" t="str">
            <v>Total Cost Cast in-place Concrete Curb  =</v>
          </cell>
          <cell r="L59">
            <v>32587.537167071787</v>
          </cell>
        </row>
        <row r="60">
          <cell r="B60" t="str">
            <v>9.0 )</v>
          </cell>
          <cell r="C60" t="str">
            <v>Stainless Steel Cross Bracing</v>
          </cell>
        </row>
        <row r="61">
          <cell r="C61" t="str">
            <v>5.1 )</v>
          </cell>
          <cell r="D61" t="str">
            <v>Stainless Tension Rod w/ Turnbuckle</v>
          </cell>
          <cell r="I61" t="str">
            <v>pcs</v>
          </cell>
          <cell r="J61">
            <v>28</v>
          </cell>
          <cell r="K61">
            <v>2065.5536888840002</v>
          </cell>
          <cell r="L61">
            <v>57835.503288752006</v>
          </cell>
        </row>
        <row r="62">
          <cell r="K62" t="str">
            <v>Total Cost Stainless Steel Cross Bracing =</v>
          </cell>
          <cell r="L62">
            <v>57835.503288752006</v>
          </cell>
        </row>
        <row r="63">
          <cell r="B63" t="str">
            <v>10.0 )</v>
          </cell>
          <cell r="C63" t="str">
            <v>Casting Bed</v>
          </cell>
        </row>
        <row r="64">
          <cell r="C64" t="str">
            <v>6.1 )</v>
          </cell>
          <cell r="D64" t="str">
            <v>Lean Concrete (50mm thk.)</v>
          </cell>
          <cell r="I64" t="str">
            <v>m³</v>
          </cell>
          <cell r="J64">
            <v>5.4993750000000006</v>
          </cell>
          <cell r="K64">
            <v>4398.1637978445178</v>
          </cell>
          <cell r="L64">
            <v>24187.152035771196</v>
          </cell>
        </row>
        <row r="65">
          <cell r="C65" t="str">
            <v>6.2 )</v>
          </cell>
          <cell r="D65" t="str">
            <v>Formworks</v>
          </cell>
          <cell r="I65" t="str">
            <v>m²</v>
          </cell>
          <cell r="J65">
            <v>3.145</v>
          </cell>
          <cell r="K65">
            <v>231.51405325042921</v>
          </cell>
          <cell r="L65">
            <v>728.11169747259987</v>
          </cell>
        </row>
        <row r="66">
          <cell r="K66" t="str">
            <v>Total Cost Casting Bed =</v>
          </cell>
          <cell r="L66">
            <v>24915.263733243795</v>
          </cell>
        </row>
        <row r="67">
          <cell r="K67" t="str">
            <v>Total Cost A) FOOTBRIDGE REHABILITATION =</v>
          </cell>
          <cell r="L67">
            <v>1042145.5137718794</v>
          </cell>
        </row>
        <row r="68">
          <cell r="B68" t="str">
            <v>B) IMPROVEMENT OF TWO EXISTING TIMBER FOOTBRIDGE 56m AND 51m LENGTH</v>
          </cell>
        </row>
        <row r="69">
          <cell r="C69" t="str">
            <v>1.0 )</v>
          </cell>
          <cell r="D69" t="str">
            <v>Supply and Installation of 2" x 6" Wood planks</v>
          </cell>
          <cell r="I69" t="str">
            <v>Bd.Ft.</v>
          </cell>
          <cell r="J69">
            <v>3216</v>
          </cell>
          <cell r="K69">
            <v>67.160302661410711</v>
          </cell>
          <cell r="L69">
            <v>215987.53335909685</v>
          </cell>
        </row>
        <row r="71">
          <cell r="K71" t="str">
            <v>Total Cost B) IMPROVEMENT OF TWO EXISTING TIMBER FOOTBRIDGE 56m AND 51m LENGTH =</v>
          </cell>
          <cell r="L71">
            <v>215987.53335909685</v>
          </cell>
        </row>
        <row r="72">
          <cell r="B72" t="str">
            <v>C) GENERAL TECHNICAL REQUIREMENTS</v>
          </cell>
        </row>
        <row r="73">
          <cell r="C73" t="str">
            <v>1.0 )</v>
          </cell>
          <cell r="D73" t="str">
            <v>TEMPORARY FACILITIES</v>
          </cell>
        </row>
        <row r="74">
          <cell r="D74" t="str">
            <v>1.1 )</v>
          </cell>
          <cell r="E74" t="str">
            <v>Temporary Facility for Engineer</v>
          </cell>
          <cell r="I74" t="str">
            <v>lot</v>
          </cell>
          <cell r="J74">
            <v>1</v>
          </cell>
          <cell r="K74">
            <v>9511.9201495808011</v>
          </cell>
          <cell r="L74">
            <v>9511.9201495808011</v>
          </cell>
        </row>
        <row r="75">
          <cell r="K75" t="str">
            <v>Total Item 1.0 =</v>
          </cell>
          <cell r="L75">
            <v>9511.9201495808011</v>
          </cell>
        </row>
        <row r="76">
          <cell r="C76" t="str">
            <v>2.0 )</v>
          </cell>
          <cell r="D76" t="str">
            <v>SIGNAGES</v>
          </cell>
        </row>
        <row r="77">
          <cell r="D77" t="str">
            <v>2.1 )</v>
          </cell>
          <cell r="E77" t="str">
            <v>Stainless Steel Plaque ( Item to be provided by GEM )</v>
          </cell>
        </row>
        <row r="78">
          <cell r="D78" t="str">
            <v>2.2 )</v>
          </cell>
          <cell r="E78" t="str">
            <v>Tarpauline Signage for Steel Type Project Information signboard ( Item to be provided by GEM )</v>
          </cell>
        </row>
        <row r="79">
          <cell r="D79" t="str">
            <v>2.3 )</v>
          </cell>
          <cell r="E79" t="str">
            <v>Concrete Pedestal for Signage</v>
          </cell>
          <cell r="I79" t="str">
            <v>each</v>
          </cell>
          <cell r="J79">
            <v>1</v>
          </cell>
          <cell r="K79">
            <v>4784.4207205452003</v>
          </cell>
          <cell r="L79">
            <v>4784.4207205452003</v>
          </cell>
        </row>
        <row r="80">
          <cell r="D80" t="str">
            <v>2.4 )</v>
          </cell>
          <cell r="E80" t="str">
            <v>Steel Type Project Information Signboard</v>
          </cell>
          <cell r="I80" t="str">
            <v>each</v>
          </cell>
          <cell r="J80">
            <v>1</v>
          </cell>
          <cell r="K80">
            <v>23335.187601090402</v>
          </cell>
          <cell r="L80">
            <v>23335.187601090402</v>
          </cell>
        </row>
        <row r="81">
          <cell r="D81" t="str">
            <v>2.5 )</v>
          </cell>
          <cell r="E81" t="str">
            <v>Wooden Type Project Information Signboard</v>
          </cell>
          <cell r="I81" t="str">
            <v>each</v>
          </cell>
          <cell r="J81">
            <v>1</v>
          </cell>
          <cell r="K81">
            <v>3623.1089999999999</v>
          </cell>
          <cell r="L81">
            <v>3623.1089999999999</v>
          </cell>
        </row>
        <row r="82">
          <cell r="K82" t="str">
            <v>Total Item 2.0 =</v>
          </cell>
          <cell r="L82">
            <v>31742.717321635602</v>
          </cell>
        </row>
        <row r="83">
          <cell r="C83" t="str">
            <v>3.0 )</v>
          </cell>
          <cell r="D83" t="str">
            <v>PROJECT SAFETY</v>
          </cell>
        </row>
        <row r="84">
          <cell r="D84" t="str">
            <v>3.1)</v>
          </cell>
          <cell r="E84" t="str">
            <v>Safety Outfit &amp; First Aid Kit</v>
          </cell>
          <cell r="I84" t="str">
            <v>lot</v>
          </cell>
          <cell r="J84">
            <v>1</v>
          </cell>
          <cell r="K84">
            <v>3043.41156</v>
          </cell>
          <cell r="L84">
            <v>3043.41156</v>
          </cell>
        </row>
        <row r="85">
          <cell r="K85" t="str">
            <v>Total Item 3.0 =</v>
          </cell>
          <cell r="L85">
            <v>3043.41156</v>
          </cell>
        </row>
        <row r="87">
          <cell r="C87" t="str">
            <v>4.0 )</v>
          </cell>
          <cell r="D87" t="str">
            <v>PROJECT SUPERVISION</v>
          </cell>
          <cell r="I87" t="str">
            <v>Man Month</v>
          </cell>
          <cell r="J87">
            <v>3</v>
          </cell>
          <cell r="K87">
            <v>37867.200000000004</v>
          </cell>
          <cell r="L87">
            <v>113601.60000000001</v>
          </cell>
        </row>
        <row r="88">
          <cell r="K88" t="str">
            <v>Total Item 4.0 =</v>
          </cell>
          <cell r="L88">
            <v>113601.60000000001</v>
          </cell>
        </row>
        <row r="90">
          <cell r="C90" t="str">
            <v>5.0 )</v>
          </cell>
          <cell r="D90" t="str">
            <v>O&amp;M TRAININGS</v>
          </cell>
          <cell r="I90" t="str">
            <v>unit</v>
          </cell>
          <cell r="J90">
            <v>2</v>
          </cell>
          <cell r="K90">
            <v>6860</v>
          </cell>
          <cell r="L90">
            <v>13720</v>
          </cell>
        </row>
        <row r="91">
          <cell r="K91" t="str">
            <v>Total Item 5.0 =</v>
          </cell>
          <cell r="L91">
            <v>13720</v>
          </cell>
        </row>
        <row r="93">
          <cell r="C93" t="str">
            <v>6.0 )</v>
          </cell>
          <cell r="D93" t="str">
            <v>DAYWORK</v>
          </cell>
          <cell r="I93" t="str">
            <v>Prov. Sum</v>
          </cell>
          <cell r="K93">
            <v>75000</v>
          </cell>
          <cell r="L93">
            <v>75000</v>
          </cell>
        </row>
        <row r="94">
          <cell r="K94" t="str">
            <v>Total Item 6.0 =</v>
          </cell>
          <cell r="L94">
            <v>75000</v>
          </cell>
        </row>
        <row r="95">
          <cell r="K95" t="str">
            <v>Total Cost C) GENERAL TECHNICAL REQUIREMENTS =</v>
          </cell>
          <cell r="L95">
            <v>246619.6490312164</v>
          </cell>
        </row>
        <row r="96">
          <cell r="B96" t="str">
            <v xml:space="preserve">TOTAL PROJECT COST :      </v>
          </cell>
          <cell r="L96">
            <v>1533539.7532621764</v>
          </cell>
        </row>
        <row r="97">
          <cell r="L97">
            <v>1533539.7532621764</v>
          </cell>
        </row>
        <row r="98">
          <cell r="L98">
            <v>0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o Bill"/>
      <sheetName val="Manpower"/>
      <sheetName val="Project List"/>
      <sheetName val="Source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A"/>
      <sheetName val="list B"/>
      <sheetName val="Source"/>
      <sheetName val="FRONT PAGE"/>
      <sheetName val="2ND PAGE"/>
      <sheetName val="Sheet2"/>
      <sheetName val="Sheet1"/>
      <sheetName val="101(3)A"/>
      <sheetName val="101(3b)"/>
      <sheetName val="102(1)A"/>
      <sheetName val="102(2)A"/>
      <sheetName val="103(1)A"/>
      <sheetName val="104(1)"/>
      <sheetName val="105(1)"/>
      <sheetName val="200 A"/>
      <sheetName val="311 A"/>
      <sheetName val="505(5)A"/>
      <sheetName val="612(1)"/>
      <sheetName val="101(2)"/>
      <sheetName val="101(2)b"/>
      <sheetName val="101(3)"/>
      <sheetName val="101(4)"/>
      <sheetName val="FC 103(1)"/>
      <sheetName val="FC 103(3)"/>
      <sheetName val="103(6)"/>
      <sheetName val="404(a)"/>
      <sheetName val="404(b)"/>
      <sheetName val="405"/>
      <sheetName val="500(1)"/>
      <sheetName val="500(1)b A"/>
      <sheetName val="502(1)"/>
      <sheetName val="502(3)"/>
      <sheetName val="504(1)"/>
      <sheetName val="504(2)"/>
      <sheetName val="505(5)"/>
      <sheetName val="506"/>
      <sheetName val="519(1)"/>
      <sheetName val="519(2)A"/>
      <sheetName val="102(2)B"/>
      <sheetName val="103(1)B"/>
      <sheetName val="104(1) B"/>
      <sheetName val="105(1)B"/>
      <sheetName val="200 B"/>
      <sheetName val="311 B"/>
      <sheetName val="505(5)B"/>
      <sheetName val="612(1)B"/>
      <sheetName val="101(3)B"/>
      <sheetName val="103(1)"/>
      <sheetName val="103(3) B"/>
      <sheetName val="103(6) B"/>
      <sheetName val="404B"/>
      <sheetName val="404(b)B"/>
      <sheetName val="405B"/>
      <sheetName val="500(1)B"/>
      <sheetName val="502(3)B"/>
      <sheetName val="506 B"/>
      <sheetName val="FC 505(5) b"/>
      <sheetName val="519(2)B"/>
      <sheetName val="LINE DITCH"/>
      <sheetName val="102(2) C"/>
      <sheetName val="105(1)C"/>
      <sheetName val="200 C"/>
      <sheetName val="311(1) C"/>
      <sheetName val="605(3)"/>
      <sheetName val="612(1)C"/>
      <sheetName val="spl-1"/>
      <sheetName val="spl-2"/>
      <sheetName val="Spl-3"/>
      <sheetName val="bollard"/>
      <sheetName val="TMA MAA-BANGKAL"/>
      <sheetName val="Sheet7"/>
      <sheetName val="tma rd"/>
      <sheetName val="tma FC"/>
      <sheetName val="TMA 1"/>
      <sheetName val="TMA"/>
      <sheetName val="bare month equip"/>
      <sheetName val="Sheet3"/>
      <sheetName val="Compo Bill"/>
      <sheetName val="Extracted Information"/>
      <sheetName val="Numbers"/>
    </sheetNames>
    <sheetDataSet>
      <sheetData sheetId="0" refreshError="1"/>
      <sheetData sheetId="1" refreshError="1"/>
      <sheetData sheetId="2">
        <row r="5">
          <cell r="B5">
            <v>841</v>
          </cell>
        </row>
        <row r="6">
          <cell r="B6">
            <v>614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A"/>
      <sheetName val="list B"/>
      <sheetName val="Source"/>
      <sheetName val="FRONT PAGE"/>
      <sheetName val="2ND PAGE"/>
      <sheetName val="Sheet2"/>
      <sheetName val="Sheet1"/>
      <sheetName val="101(3)A"/>
      <sheetName val="101(3b)"/>
      <sheetName val="102(1)A"/>
      <sheetName val="102(2)A"/>
      <sheetName val="103(1)A"/>
      <sheetName val="104(1)"/>
      <sheetName val="Sheet3"/>
      <sheetName val="105(1)"/>
      <sheetName val="200 A"/>
      <sheetName val="311 A"/>
      <sheetName val="505(5)A"/>
      <sheetName val="612(1)"/>
      <sheetName val="101(2)"/>
      <sheetName val="101(2)b"/>
      <sheetName val="101(3)"/>
      <sheetName val="101(4)"/>
      <sheetName val="FC 103(1)"/>
      <sheetName val="FC 103(3)"/>
      <sheetName val="103(6)"/>
      <sheetName val="404(a)"/>
      <sheetName val="404(b)"/>
      <sheetName val="405"/>
      <sheetName val="500(1)"/>
      <sheetName val="500(1)b A"/>
      <sheetName val="502(1)"/>
      <sheetName val="502(3)"/>
      <sheetName val="504(1)"/>
      <sheetName val="504(2)"/>
      <sheetName val="505(5)"/>
      <sheetName val="506"/>
      <sheetName val="519(1)"/>
      <sheetName val="519(2)A"/>
      <sheetName val="102(2)B"/>
      <sheetName val="103(1)B"/>
      <sheetName val="104(1) B"/>
      <sheetName val="105(1)B"/>
      <sheetName val="200 B"/>
      <sheetName val="311 B"/>
      <sheetName val="505(5)B"/>
      <sheetName val="612(1)B"/>
      <sheetName val="101(3)B"/>
      <sheetName val="103(1)"/>
      <sheetName val="103(3) B"/>
      <sheetName val="103(6) B"/>
      <sheetName val="404B"/>
      <sheetName val="404(b)B"/>
      <sheetName val="405B"/>
      <sheetName val="500(1)B"/>
      <sheetName val="502(3)B"/>
      <sheetName val="506 B"/>
      <sheetName val="FC 505(5) b"/>
      <sheetName val="519(2)B"/>
      <sheetName val="LINE DITCH"/>
      <sheetName val="102(2) C"/>
      <sheetName val="105(1)C"/>
      <sheetName val="200 C"/>
      <sheetName val="311(1) C"/>
      <sheetName val="605(3)"/>
      <sheetName val="612(1)C"/>
      <sheetName val="spl-1"/>
      <sheetName val="spl-2"/>
      <sheetName val="Spl-3"/>
      <sheetName val="bollard"/>
      <sheetName val="TMA MAA-BANGKAL"/>
      <sheetName val="Sheet7"/>
      <sheetName val="tma rd"/>
      <sheetName val="tma FC"/>
      <sheetName val="TMA 1"/>
      <sheetName val="TMA"/>
      <sheetName val="bare month equip"/>
    </sheetNames>
    <sheetDataSet>
      <sheetData sheetId="0" refreshError="1"/>
      <sheetData sheetId="1" refreshError="1"/>
      <sheetData sheetId="2">
        <row r="5">
          <cell r="B5">
            <v>841</v>
          </cell>
        </row>
        <row r="6">
          <cell r="B6">
            <v>614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 Print"/>
      <sheetName val="Inputs"/>
      <sheetName val="Sheet2"/>
      <sheetName val="Sheet3"/>
      <sheetName val="SPL 614(3)a &amp; b"/>
      <sheetName val="For_Print"/>
      <sheetName val="SPL_614(3)a_&amp;_b"/>
      <sheetName val="For_Print1"/>
      <sheetName val="SPL_614(3)a_&amp;_b1"/>
      <sheetName val="Source"/>
      <sheetName val="For_Print2"/>
      <sheetName val="SPL_614(3)a_&amp;_b2"/>
      <sheetName val="For_Print3"/>
      <sheetName val="SPL_614(3)a_&amp;_b3"/>
    </sheetNames>
    <sheetDataSet>
      <sheetData sheetId="0"/>
      <sheetData sheetId="1">
        <row r="98">
          <cell r="I98">
            <v>4.4925446095537289E-3</v>
          </cell>
        </row>
        <row r="113">
          <cell r="I113">
            <v>4.0380882455354015E-3</v>
          </cell>
        </row>
        <row r="115">
          <cell r="G115">
            <v>5.9900594794049565E-3</v>
          </cell>
        </row>
      </sheetData>
      <sheetData sheetId="2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OLOD RENTAL RATES"/>
      <sheetName val="Equipment Rental ACEL"/>
      <sheetName val="ACEL"/>
      <sheetName val="Sourc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ut (7)40m"/>
      <sheetName val="Deckslab"/>
      <sheetName val="Diaphragm"/>
      <sheetName val="Sidewalk"/>
      <sheetName val="Pier"/>
      <sheetName val="Footing"/>
      <sheetName val="Bored Pile (Abut)"/>
      <sheetName val="Bored Pile (Pier)"/>
      <sheetName val="Forms"/>
      <sheetName val="Abut_(7)40m"/>
      <sheetName val="Bored_Pile_(Abut)"/>
      <sheetName val="Bored_Pile_(Pier)"/>
      <sheetName val="Abut_(7)40m1"/>
      <sheetName val="Bored_Pile_(Abut)1"/>
      <sheetName val="Bored_Pile_(Pier)1"/>
      <sheetName val="Source"/>
      <sheetName val="Abut_(7)40m2"/>
      <sheetName val="Bored_Pile_(Abut)2"/>
      <sheetName val="Bored_Pile_(Pier)2"/>
      <sheetName val="Abut_(7)40m3"/>
      <sheetName val="Bored_Pile_(Abut)3"/>
      <sheetName val="Bored_Pile_(Pier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>
            <v>10</v>
          </cell>
          <cell r="B4">
            <v>0.61599999999999999</v>
          </cell>
          <cell r="C4" t="str">
            <v>A</v>
          </cell>
          <cell r="D4">
            <v>0</v>
          </cell>
        </row>
        <row r="5">
          <cell r="A5">
            <v>12</v>
          </cell>
          <cell r="B5">
            <v>0.88800000000000001</v>
          </cell>
          <cell r="C5" t="str">
            <v>A</v>
          </cell>
          <cell r="D5">
            <v>1</v>
          </cell>
        </row>
        <row r="6">
          <cell r="A6">
            <v>16</v>
          </cell>
          <cell r="B6">
            <v>1.579</v>
          </cell>
          <cell r="C6" t="str">
            <v>B</v>
          </cell>
          <cell r="D6">
            <v>2</v>
          </cell>
        </row>
        <row r="7">
          <cell r="A7">
            <v>20</v>
          </cell>
          <cell r="B7">
            <v>2.4660000000000002</v>
          </cell>
          <cell r="C7" t="str">
            <v>C</v>
          </cell>
          <cell r="D7">
            <v>3</v>
          </cell>
        </row>
        <row r="8">
          <cell r="A8">
            <v>25</v>
          </cell>
          <cell r="B8">
            <v>3.8540000000000001</v>
          </cell>
          <cell r="C8" t="str">
            <v>D</v>
          </cell>
          <cell r="D8">
            <v>4</v>
          </cell>
        </row>
        <row r="9">
          <cell r="A9">
            <v>28</v>
          </cell>
          <cell r="B9">
            <v>4.8330000000000002</v>
          </cell>
          <cell r="C9" t="str">
            <v>E</v>
          </cell>
          <cell r="D9">
            <v>5</v>
          </cell>
        </row>
        <row r="10">
          <cell r="A10">
            <v>32</v>
          </cell>
          <cell r="B10">
            <v>6.3129999999999997</v>
          </cell>
          <cell r="C10" t="str">
            <v>F</v>
          </cell>
          <cell r="D10">
            <v>6</v>
          </cell>
        </row>
        <row r="11">
          <cell r="A11">
            <v>36</v>
          </cell>
          <cell r="B11">
            <v>7.9909999999999997</v>
          </cell>
          <cell r="C11" t="str">
            <v>G</v>
          </cell>
          <cell r="D11">
            <v>7</v>
          </cell>
        </row>
        <row r="12">
          <cell r="C12" t="str">
            <v>H</v>
          </cell>
          <cell r="D12">
            <v>8</v>
          </cell>
        </row>
        <row r="13">
          <cell r="C13" t="str">
            <v>I</v>
          </cell>
          <cell r="D13">
            <v>9</v>
          </cell>
        </row>
        <row r="14">
          <cell r="C14" t="str">
            <v>J</v>
          </cell>
          <cell r="D14">
            <v>10</v>
          </cell>
        </row>
        <row r="15">
          <cell r="C15" t="str">
            <v>K</v>
          </cell>
          <cell r="D15">
            <v>11</v>
          </cell>
        </row>
        <row r="16">
          <cell r="C16" t="str">
            <v>L</v>
          </cell>
          <cell r="D16">
            <v>12</v>
          </cell>
        </row>
        <row r="17">
          <cell r="C17" t="str">
            <v>M</v>
          </cell>
          <cell r="D17">
            <v>13</v>
          </cell>
        </row>
        <row r="18">
          <cell r="C18" t="str">
            <v>N</v>
          </cell>
          <cell r="D18">
            <v>14</v>
          </cell>
        </row>
        <row r="19">
          <cell r="C19" t="str">
            <v>O</v>
          </cell>
          <cell r="D19">
            <v>15</v>
          </cell>
        </row>
        <row r="20">
          <cell r="C20" t="str">
            <v>P</v>
          </cell>
          <cell r="D20">
            <v>16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F"/>
      <sheetName val="POW"/>
      <sheetName val="Survey Result"/>
      <sheetName val="Det. Estimate"/>
      <sheetName val="Summ. of Det. Estimate "/>
      <sheetName val="Summ. Struct'l. Comp. Est. A,B"/>
      <sheetName val="Summ. of Struc'l. Comp. Est. C"/>
      <sheetName val="Barchart"/>
      <sheetName val="Estimate Table"/>
      <sheetName val="Bill of Materials"/>
      <sheetName val="Derivation "/>
      <sheetName val="Sheet1"/>
      <sheetName val="Sheet12"/>
      <sheetName val="Det_ Estimate"/>
      <sheetName val="new ucdb"/>
      <sheetName val="Sour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ank"/>
      <sheetName val="Scope of Works"/>
      <sheetName val="Compo Bill"/>
      <sheetName val="Detailed"/>
      <sheetName val="Counterpart-Lato2x"/>
      <sheetName val="01Detailed counterpart"/>
      <sheetName val="Counterpart- bATO2X"/>
      <sheetName val="Counterpart"/>
      <sheetName val="Qty Calculation"/>
      <sheetName val="Concrete FENDER PILE"/>
      <sheetName val="BAR CHART"/>
      <sheetName val="Detailed counterpart ref"/>
      <sheetName val="Cost Data Base"/>
      <sheetName val="Menu"/>
      <sheetName val="Materials"/>
      <sheetName val="Manpower"/>
      <sheetName val="Transport"/>
      <sheetName val="Equipment"/>
      <sheetName val="Project List"/>
      <sheetName val="VBA_UsageExample"/>
      <sheetName val="VBA_Wrapper"/>
      <sheetName val="VBA_32bit"/>
      <sheetName val="VBA_16bit"/>
      <sheetName val="CCenter"/>
      <sheetName val="Update"/>
      <sheetName val="Transport Result"/>
      <sheetName val="Aggregates"/>
      <sheetName val="Rod"/>
      <sheetName val="Andrew"/>
      <sheetName val="Bebot"/>
      <sheetName val="Anna"/>
      <sheetName val="Elmer"/>
      <sheetName val="Ruben"/>
      <sheetName val="Rod (7)"/>
      <sheetName val="Rod (8)"/>
      <sheetName val="Sheet1"/>
      <sheetName val="Glenn"/>
      <sheetName val="orig-less det"/>
      <sheetName val="Counterpart-Sitio Kalubian"/>
      <sheetName val="detcount"/>
      <sheetName val="Detailed-orig"/>
      <sheetName val="Qty Take-off"/>
      <sheetName val="ER"/>
      <sheetName val="SWA"/>
      <sheetName val="S-CURVE"/>
      <sheetName val="RCBC RSB QTY "/>
      <sheetName val="Extracted Information"/>
      <sheetName val="Data"/>
      <sheetName val="Numbers"/>
      <sheetName val="Others"/>
      <sheetName val="BOQ"/>
      <sheetName val="Detailed estim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1">
          <cell r="D11" t="str">
            <v xml:space="preserve">[C-??? ] - Kanaway Seaweed Solar Dryer Construction </v>
          </cell>
        </row>
        <row r="13">
          <cell r="D13" t="str">
            <v>( AGGREGATES )</v>
          </cell>
        </row>
        <row r="14">
          <cell r="D14" t="str">
            <v>Sand</v>
          </cell>
        </row>
        <row r="15">
          <cell r="D15" t="str">
            <v>Fine Sand</v>
          </cell>
        </row>
        <row r="16">
          <cell r="D16" t="str">
            <v>Gravel</v>
          </cell>
        </row>
        <row r="17">
          <cell r="D17" t="str">
            <v>Gravel Bedding</v>
          </cell>
        </row>
        <row r="18">
          <cell r="D18" t="str">
            <v>Stone</v>
          </cell>
        </row>
        <row r="19">
          <cell r="D19" t="str">
            <v>Boulders / Stone</v>
          </cell>
        </row>
        <row r="20">
          <cell r="D20" t="str">
            <v>Boulders (20-30 cm dia.)</v>
          </cell>
        </row>
        <row r="21">
          <cell r="D21" t="str">
            <v>Filling Materials</v>
          </cell>
        </row>
        <row r="22">
          <cell r="D22" t="str">
            <v>Aggregate Surface Course (Item 300)</v>
          </cell>
        </row>
        <row r="23">
          <cell r="D23" t="str">
            <v>Aggregate Sub Base Course (Item 200)</v>
          </cell>
        </row>
        <row r="24">
          <cell r="D24" t="str">
            <v>Aggregate Base Course (Item 201)</v>
          </cell>
        </row>
        <row r="25">
          <cell r="D25" t="str">
            <v>Crushed Aggregate Base Course (Item 202)</v>
          </cell>
        </row>
        <row r="26">
          <cell r="D26" t="str">
            <v>Surface Base Course</v>
          </cell>
        </row>
        <row r="27">
          <cell r="D27" t="str">
            <v>Common Borrow</v>
          </cell>
        </row>
        <row r="28">
          <cell r="D28" t="str">
            <v>Gravelfill</v>
          </cell>
        </row>
        <row r="29">
          <cell r="D29" t="str">
            <v>Sand Fill</v>
          </cell>
        </row>
        <row r="30">
          <cell r="D30" t="str">
            <v>Granular Fill</v>
          </cell>
        </row>
        <row r="31">
          <cell r="D31" t="str">
            <v>Rock / Boulder (50-200 kg)</v>
          </cell>
        </row>
        <row r="32">
          <cell r="D32" t="str">
            <v>Rock / Boulder (100-200 kg)</v>
          </cell>
        </row>
        <row r="33">
          <cell r="D33" t="str">
            <v>2" Mixed Gravel</v>
          </cell>
        </row>
        <row r="34">
          <cell r="D34" t="str">
            <v>1" Mixed Gravel</v>
          </cell>
        </row>
        <row r="35">
          <cell r="D35" t="str">
            <v>Screened Pebbles</v>
          </cell>
        </row>
        <row r="37">
          <cell r="D37" t="str">
            <v>( WATER )</v>
          </cell>
        </row>
        <row r="38">
          <cell r="D38" t="str">
            <v>( WATER )</v>
          </cell>
        </row>
        <row r="39">
          <cell r="D39" t="str">
            <v>Water</v>
          </cell>
        </row>
        <row r="40">
          <cell r="D40" t="str">
            <v>( CEMENT )</v>
          </cell>
        </row>
        <row r="41">
          <cell r="D41" t="str">
            <v>( CEMENT )</v>
          </cell>
        </row>
        <row r="42">
          <cell r="D42" t="str">
            <v>Portland Cement 40kg</v>
          </cell>
        </row>
        <row r="43">
          <cell r="D43" t="str">
            <v>Pozzoland Cement 40 kg</v>
          </cell>
        </row>
        <row r="44">
          <cell r="D44" t="str">
            <v>Cement Accelerator (Plasticizer 1000P)</v>
          </cell>
        </row>
        <row r="45">
          <cell r="D45" t="str">
            <v>Waterproofing Cement (Flexcon)</v>
          </cell>
        </row>
        <row r="46">
          <cell r="D46" t="str">
            <v>Red cement</v>
          </cell>
        </row>
        <row r="47">
          <cell r="D47" t="str">
            <v>White Cement</v>
          </cell>
        </row>
        <row r="48">
          <cell r="D48" t="str">
            <v>Water Sealant Cement</v>
          </cell>
        </row>
        <row r="49">
          <cell r="D49" t="str">
            <v>Bentonite</v>
          </cell>
        </row>
        <row r="50">
          <cell r="D50" t="str">
            <v>Epoxy Grout</v>
          </cell>
        </row>
        <row r="51">
          <cell r="D51" t="str">
            <v>Epoxy Resin</v>
          </cell>
        </row>
        <row r="52">
          <cell r="D52" t="str">
            <v>Non-Shrink Grout</v>
          </cell>
        </row>
        <row r="53">
          <cell r="D53" t="str">
            <v>Emulsified Asphalt</v>
          </cell>
        </row>
        <row r="54">
          <cell r="D54" t="str">
            <v>Bituminous Asphalt</v>
          </cell>
        </row>
        <row r="55">
          <cell r="D55" t="str">
            <v>Curing Compound</v>
          </cell>
        </row>
        <row r="56">
          <cell r="D56" t="str">
            <v>( CEMENT PRODUCTS )</v>
          </cell>
        </row>
        <row r="57">
          <cell r="D57" t="str">
            <v>( CEMENT PRODUCTS )</v>
          </cell>
        </row>
        <row r="58">
          <cell r="D58" t="str">
            <v>100mm Conc. Hollow Block</v>
          </cell>
        </row>
        <row r="59">
          <cell r="D59" t="str">
            <v>150mm Conc. Hollow Block</v>
          </cell>
        </row>
        <row r="60">
          <cell r="D60" t="str">
            <v>Decorative Concrete Block (Louver Type)</v>
          </cell>
        </row>
        <row r="61">
          <cell r="D61" t="str">
            <v>250mm x 250mm Decorative Concrete Block</v>
          </cell>
        </row>
        <row r="62">
          <cell r="D62" t="str">
            <v>300mmØ RC Pipe Culvert</v>
          </cell>
        </row>
        <row r="63">
          <cell r="D63" t="str">
            <v>460mmØ RC Pipe Culvert</v>
          </cell>
        </row>
        <row r="64">
          <cell r="D64" t="str">
            <v>610mmØ RC Pipe Culvert</v>
          </cell>
        </row>
        <row r="65">
          <cell r="D65" t="str">
            <v>760mmØ RC Pipe Culvert</v>
          </cell>
        </row>
        <row r="66">
          <cell r="D66" t="str">
            <v>910mmØ RC Pipe Culvert</v>
          </cell>
        </row>
        <row r="67">
          <cell r="D67" t="str">
            <v>1220mmØ RC Pipe Culvert</v>
          </cell>
        </row>
        <row r="68">
          <cell r="D68" t="str">
            <v>1520mmØ RC Pipe Culvert</v>
          </cell>
        </row>
        <row r="69">
          <cell r="D69" t="str">
            <v>3"dia. Conc. Baluster, 18"</v>
          </cell>
        </row>
        <row r="70">
          <cell r="D70" t="str">
            <v>PRESTRESSED PILES</v>
          </cell>
        </row>
        <row r="71">
          <cell r="D71" t="str">
            <v>PRESTRESSED PILES</v>
          </cell>
        </row>
        <row r="72">
          <cell r="D72" t="str">
            <v>PSC Piles, 400mm x 400mm x 10m.</v>
          </cell>
        </row>
        <row r="73">
          <cell r="D73" t="str">
            <v>PSC Piles, 400mm x 400mm x 10m.</v>
          </cell>
        </row>
        <row r="74">
          <cell r="D74" t="str">
            <v>PSC Piles, 400mm x 400mm x 12m.</v>
          </cell>
        </row>
        <row r="75">
          <cell r="D75" t="str">
            <v>PSC Piles, 400mm x 400mm x 14m.</v>
          </cell>
        </row>
        <row r="76">
          <cell r="D76" t="str">
            <v>PSC Piles, 400mm x 400mm x 21m.</v>
          </cell>
        </row>
        <row r="77">
          <cell r="D77" t="str">
            <v>PSC Piles, 400mm x 400mm x 22m.</v>
          </cell>
        </row>
        <row r="78">
          <cell r="D78" t="str">
            <v>PSC Piles, 400mm x 400mm x 24m.</v>
          </cell>
        </row>
        <row r="79">
          <cell r="D79" t="str">
            <v>PSC Test Piles, 400mm x 400mm x 10m.</v>
          </cell>
        </row>
        <row r="80">
          <cell r="D80" t="str">
            <v>PSC Test Piles, 400mm x 400mm x 10m.</v>
          </cell>
        </row>
        <row r="81">
          <cell r="D81" t="str">
            <v>PSC Test Piles, 400mm x 400mm x 12m.</v>
          </cell>
        </row>
        <row r="82">
          <cell r="D82" t="str">
            <v>PSC Test Piles, 400mm x 400mm x 14m.</v>
          </cell>
        </row>
        <row r="83">
          <cell r="D83" t="str">
            <v>PSC Test Piles, 400mm x 400mm x 21m.</v>
          </cell>
        </row>
        <row r="84">
          <cell r="D84" t="str">
            <v>PSC Test Piles, 400mm x 400mm x 22m.</v>
          </cell>
        </row>
        <row r="85">
          <cell r="D85" t="str">
            <v xml:space="preserve">PSC Test Piles, 400mm x 400mm x 24m. </v>
          </cell>
        </row>
        <row r="87">
          <cell r="D87" t="str">
            <v xml:space="preserve">PSC Test Piles, 450mm x 450mm x 35m. </v>
          </cell>
        </row>
        <row r="88">
          <cell r="D88" t="str">
            <v xml:space="preserve">PSC Test Piles, 450mm x 450mm x 35m. </v>
          </cell>
        </row>
        <row r="89">
          <cell r="D89" t="str">
            <v>PSC Piles, 450mm x 450mm x 35m.</v>
          </cell>
        </row>
        <row r="90">
          <cell r="D90" t="str">
            <v xml:space="preserve">PSC Test Piles, 450mm x 450mm x 25m. </v>
          </cell>
        </row>
        <row r="91">
          <cell r="D91" t="str">
            <v>PSC Piles, 450mm x 450mm x 25m.</v>
          </cell>
        </row>
        <row r="93">
          <cell r="D93" t="str">
            <v xml:space="preserve">PSC Test Piles, 400mm x 400mm x 40m. </v>
          </cell>
        </row>
        <row r="94">
          <cell r="D94" t="str">
            <v xml:space="preserve">PSC Test Piles, 400mm x 400mm x 40m. </v>
          </cell>
        </row>
        <row r="95">
          <cell r="D95" t="str">
            <v>PSC Piles, 400mm x 400mm x 40m.</v>
          </cell>
        </row>
        <row r="97">
          <cell r="D97" t="str">
            <v xml:space="preserve">PSC Test Piles - 400mm x 400mm x 24m. </v>
          </cell>
        </row>
        <row r="98">
          <cell r="D98" t="str">
            <v xml:space="preserve">PSC Test Piles - 400mm x 400mm x 24m. </v>
          </cell>
        </row>
        <row r="99">
          <cell r="D99" t="str">
            <v>PSC Piles - 400mm x 400mm x 24m.</v>
          </cell>
        </row>
        <row r="102">
          <cell r="D102" t="str">
            <v>Steel Piles</v>
          </cell>
        </row>
        <row r="103">
          <cell r="D103" t="str">
            <v>Steel Piles</v>
          </cell>
        </row>
        <row r="104">
          <cell r="D104" t="str">
            <v>Steel Sheet Pile (PZ27)</v>
          </cell>
        </row>
        <row r="105">
          <cell r="D105" t="str">
            <v>Steel Sheet Piles (PZ27)</v>
          </cell>
        </row>
        <row r="106">
          <cell r="D106" t="str">
            <v>Steel Pipe Pile (Ø 450 x 12t x 18m. - SKK400)</v>
          </cell>
        </row>
        <row r="107">
          <cell r="D107" t="str">
            <v>Steel Pipe Pile (Ø 150 x 12t x 6m. - SKK400)</v>
          </cell>
        </row>
        <row r="108">
          <cell r="D108" t="str">
            <v>Steel Sheet Pile (for Cofferdam)</v>
          </cell>
        </row>
        <row r="110">
          <cell r="D110" t="str">
            <v>( TIMBER and INDIGENOUS MATERIALS )</v>
          </cell>
        </row>
        <row r="111">
          <cell r="D111" t="str">
            <v>( TIMBER and INDIGENOUS MATERIALS )</v>
          </cell>
        </row>
        <row r="112">
          <cell r="D112" t="str">
            <v>Yakal Specie</v>
          </cell>
        </row>
        <row r="113">
          <cell r="D113" t="str">
            <v>1" x 6" (Yakal)</v>
          </cell>
        </row>
        <row r="114">
          <cell r="D114" t="str">
            <v>1" x 8" (Yakal)</v>
          </cell>
        </row>
        <row r="115">
          <cell r="D115" t="str">
            <v>2" x 2" (Yakal)</v>
          </cell>
        </row>
        <row r="116">
          <cell r="D116" t="str">
            <v>2" x 6" (Yakal)</v>
          </cell>
        </row>
        <row r="117">
          <cell r="D117" t="str">
            <v>2" x 4" (Yakal or equivalent)</v>
          </cell>
        </row>
        <row r="118">
          <cell r="D118" t="str">
            <v>2" x 4" (Yakal)</v>
          </cell>
        </row>
        <row r="119">
          <cell r="D119" t="str">
            <v>2" x 3" (Yakal)</v>
          </cell>
        </row>
        <row r="120">
          <cell r="D120" t="str">
            <v>2" x 3" (Yakal or equivalent)</v>
          </cell>
        </row>
        <row r="121">
          <cell r="D121" t="str">
            <v>2" x 6" (Yakal or equivalent)</v>
          </cell>
        </row>
        <row r="122">
          <cell r="D122" t="str">
            <v>2" x 6" x 6' (Yakal)</v>
          </cell>
        </row>
        <row r="123">
          <cell r="D123" t="str">
            <v>2" x 6" x 6' (Yakal or equivalent)</v>
          </cell>
        </row>
        <row r="124">
          <cell r="D124" t="str">
            <v>2" x 6" x 8' (Yakal)</v>
          </cell>
        </row>
        <row r="125">
          <cell r="D125" t="str">
            <v>2" x 6" x 10' (Yakal)</v>
          </cell>
        </row>
        <row r="126">
          <cell r="D126" t="str">
            <v>2" x 6" x 12' (Yakal)</v>
          </cell>
        </row>
        <row r="127">
          <cell r="D127" t="str">
            <v>2" x 6" x 14' (Yakal)</v>
          </cell>
        </row>
        <row r="128">
          <cell r="D128" t="str">
            <v>3" x 4" (Yakal)</v>
          </cell>
        </row>
        <row r="129">
          <cell r="D129" t="str">
            <v>4" x 4" (Yakal)</v>
          </cell>
        </row>
        <row r="130">
          <cell r="D130" t="str">
            <v>3" x 4" (Yakal or equivalent)</v>
          </cell>
        </row>
        <row r="131">
          <cell r="D131" t="str">
            <v>3" x 4" x 8' (Yakal)</v>
          </cell>
        </row>
        <row r="132">
          <cell r="D132" t="str">
            <v>3" x 4" x 10' (Yakal)</v>
          </cell>
        </row>
        <row r="133">
          <cell r="D133" t="str">
            <v>6" x 6" (Yakal)</v>
          </cell>
        </row>
        <row r="134">
          <cell r="D134" t="str">
            <v>6" x 6" (Yakal or equivalent)</v>
          </cell>
        </row>
        <row r="135">
          <cell r="D135" t="str">
            <v>Yakal</v>
          </cell>
        </row>
        <row r="138">
          <cell r="D138" t="str">
            <v>Molave Specie</v>
          </cell>
        </row>
        <row r="139">
          <cell r="D139" t="str">
            <v>Molave Specie</v>
          </cell>
        </row>
        <row r="140">
          <cell r="D140" t="str">
            <v>6" x 6" (Molave)</v>
          </cell>
        </row>
        <row r="141">
          <cell r="D141" t="str">
            <v>6" x 6" (Molave or equivalent)</v>
          </cell>
        </row>
        <row r="142">
          <cell r="D142" t="str">
            <v>6" x 6" x 10' (Yakal)</v>
          </cell>
        </row>
        <row r="143">
          <cell r="D143" t="str">
            <v>6" x 6" x 8' (Molave)</v>
          </cell>
        </row>
        <row r="144">
          <cell r="D144" t="str">
            <v>6" x 6" x 10' (Molave)</v>
          </cell>
        </row>
        <row r="145">
          <cell r="D145" t="str">
            <v>6" x 6" x 14' (Molave)</v>
          </cell>
        </row>
        <row r="146">
          <cell r="D146" t="str">
            <v>6" x 6" x 16' (Molave)</v>
          </cell>
        </row>
        <row r="147">
          <cell r="D147" t="str">
            <v>6" x 6" x 18' (Molave)</v>
          </cell>
        </row>
        <row r="148">
          <cell r="D148" t="str">
            <v>6" x 6" x 20' (Molave)</v>
          </cell>
        </row>
        <row r="149">
          <cell r="D149" t="str">
            <v>6" x 6" x 22' (Molave)</v>
          </cell>
        </row>
        <row r="150">
          <cell r="D150" t="str">
            <v>8" Ø Molave Pile</v>
          </cell>
        </row>
        <row r="151">
          <cell r="D151" t="str">
            <v>Tambulian Specie</v>
          </cell>
        </row>
        <row r="152">
          <cell r="D152" t="str">
            <v>Tambulian Specie</v>
          </cell>
        </row>
        <row r="153">
          <cell r="D153" t="str">
            <v>Tambulian</v>
          </cell>
        </row>
        <row r="155">
          <cell r="D155" t="str">
            <v>Gullum Specie</v>
          </cell>
        </row>
        <row r="156">
          <cell r="D156" t="str">
            <v>Gullum Specie</v>
          </cell>
        </row>
        <row r="157">
          <cell r="D157" t="str">
            <v>Gullum</v>
          </cell>
        </row>
        <row r="158">
          <cell r="D158" t="str">
            <v>Lauan Specie</v>
          </cell>
        </row>
        <row r="159">
          <cell r="D159" t="str">
            <v>Lauan Specie</v>
          </cell>
        </row>
        <row r="160">
          <cell r="D160" t="str">
            <v>Lauan</v>
          </cell>
        </row>
        <row r="162">
          <cell r="D162" t="str">
            <v>Others Specie</v>
          </cell>
        </row>
        <row r="163">
          <cell r="D163" t="str">
            <v>Others Specie</v>
          </cell>
        </row>
        <row r="164">
          <cell r="D164" t="str">
            <v>Guijo</v>
          </cell>
        </row>
        <row r="165">
          <cell r="D165" t="str">
            <v>Apitong</v>
          </cell>
        </row>
        <row r="166">
          <cell r="D166" t="str">
            <v>Coco Trunks</v>
          </cell>
        </row>
        <row r="167">
          <cell r="D167" t="str">
            <v>Coco Lumber</v>
          </cell>
        </row>
        <row r="168">
          <cell r="D168" t="str">
            <v>Coco Lumber (Miscut)</v>
          </cell>
        </row>
        <row r="169">
          <cell r="D169" t="str">
            <v>Falsework &amp; Scaffolds (Coco Lumber)</v>
          </cell>
        </row>
        <row r="170">
          <cell r="D170" t="str">
            <v>Falsework, Scaffolds &amp; Formworks (Coco Lumber)</v>
          </cell>
        </row>
        <row r="171">
          <cell r="D171" t="str">
            <v>Bamboo Poles</v>
          </cell>
        </row>
        <row r="172">
          <cell r="D172" t="str">
            <v>1½"   Bamboo Slats</v>
          </cell>
        </row>
        <row r="173">
          <cell r="D173" t="str">
            <v>Bamboo Slats</v>
          </cell>
        </row>
        <row r="174">
          <cell r="D174" t="str">
            <v>Bacauan</v>
          </cell>
        </row>
        <row r="175">
          <cell r="D175" t="str">
            <v>Tambulian or Equivalent</v>
          </cell>
        </row>
        <row r="176">
          <cell r="D176" t="str">
            <v>Nipa Shingles</v>
          </cell>
        </row>
        <row r="177">
          <cell r="D177" t="str">
            <v>Gemilina</v>
          </cell>
        </row>
        <row r="178">
          <cell r="D178" t="str">
            <v>( TIMBER PRODUCTS )</v>
          </cell>
        </row>
        <row r="179">
          <cell r="D179" t="str">
            <v>( TIMBER PRODUCTS )</v>
          </cell>
        </row>
        <row r="180">
          <cell r="D180" t="str">
            <v>Mouldings and Slats</v>
          </cell>
        </row>
        <row r="181">
          <cell r="D181" t="str">
            <v>S-Type Mouldings/Cornice</v>
          </cell>
        </row>
        <row r="182">
          <cell r="D182" t="str">
            <v>0.70 x 1.00 fixed Louvers</v>
          </cell>
        </row>
        <row r="183">
          <cell r="D183" t="str">
            <v>Wall Boards, T&amp;G, stone-cut, etc.</v>
          </cell>
        </row>
        <row r="184">
          <cell r="D184" t="str">
            <v>¼" thk, Ordinary Plywood</v>
          </cell>
        </row>
        <row r="185">
          <cell r="D185" t="str">
            <v>3/8" thk, Ordinary Plywood</v>
          </cell>
        </row>
        <row r="186">
          <cell r="D186" t="str">
            <v>½" thk, Ordinary Plywood</v>
          </cell>
        </row>
        <row r="187">
          <cell r="D187" t="str">
            <v>½" thk, Hardiflex</v>
          </cell>
        </row>
        <row r="188">
          <cell r="D188" t="str">
            <v>3/4" thk,  Ordinary Plywood</v>
          </cell>
        </row>
        <row r="189">
          <cell r="D189" t="str">
            <v>¼" thk,  Marine Plywood</v>
          </cell>
        </row>
        <row r="190">
          <cell r="D190" t="str">
            <v>½" thk,  Marine Plywood</v>
          </cell>
        </row>
        <row r="191">
          <cell r="D191" t="str">
            <v>3/8" thk,  Form Plywood</v>
          </cell>
        </row>
        <row r="192">
          <cell r="D192" t="str">
            <v>4" x 8' Stone-Cut T&amp;G</v>
          </cell>
        </row>
        <row r="193">
          <cell r="D193" t="str">
            <v>4" x 8' Stone-Cut T&amp;G</v>
          </cell>
        </row>
        <row r="194">
          <cell r="D194" t="str">
            <v>Wooden Door Set</v>
          </cell>
        </row>
        <row r="195">
          <cell r="D195" t="str">
            <v>Wooden Window Set w/ Steel Grilles</v>
          </cell>
        </row>
        <row r="196">
          <cell r="D196" t="str">
            <v>Wooden Window-1 Set w/ Steel Grilles</v>
          </cell>
        </row>
        <row r="197">
          <cell r="D197" t="str">
            <v>Wooden Window-2 Set w/ Steel Grilles</v>
          </cell>
        </row>
        <row r="198">
          <cell r="D198" t="str">
            <v>Wooden Window-2 Set w/ Steel Grilles</v>
          </cell>
        </row>
        <row r="199">
          <cell r="D199" t="str">
            <v>Wooden Door-1 Set</v>
          </cell>
        </row>
        <row r="200">
          <cell r="D200" t="str">
            <v>Wooden Door-2 Set</v>
          </cell>
        </row>
        <row r="201">
          <cell r="D201" t="str">
            <v>Wooden Door-3 Set</v>
          </cell>
        </row>
        <row r="202">
          <cell r="D202" t="str">
            <v>Wooden Window Set</v>
          </cell>
        </row>
        <row r="203">
          <cell r="D203" t="str">
            <v>Wooden Window Set</v>
          </cell>
        </row>
        <row r="204">
          <cell r="D204" t="str">
            <v>Wooden Window Set w/ Steel Grilles</v>
          </cell>
        </row>
        <row r="205">
          <cell r="D205" t="str">
            <v>Wooden Window Set w/ Steel Grilles</v>
          </cell>
        </row>
        <row r="206">
          <cell r="D206" t="str">
            <v>Wooden Window-1 Set w/ Steel Grilles</v>
          </cell>
        </row>
        <row r="207">
          <cell r="D207" t="str">
            <v>Wooden Window-2 Set w/ Steel Grilles</v>
          </cell>
        </row>
        <row r="208">
          <cell r="D208" t="str">
            <v>Wooden Window-2 Set w/ Steel Grilles</v>
          </cell>
        </row>
        <row r="209">
          <cell r="D209" t="str">
            <v>( FLAT &amp; ROUND STEEL BARS )</v>
          </cell>
        </row>
        <row r="210">
          <cell r="D210" t="str">
            <v>( FLAT &amp; ROUND STEEL BARS )</v>
          </cell>
        </row>
        <row r="211">
          <cell r="D211" t="str">
            <v>Deformed Bars, Grade 60</v>
          </cell>
        </row>
        <row r="212">
          <cell r="D212" t="str">
            <v>Deformed Bars, Grade 40</v>
          </cell>
        </row>
        <row r="213">
          <cell r="D213" t="str">
            <v>Deformed Bars, Grade 33</v>
          </cell>
        </row>
        <row r="214">
          <cell r="D214" t="str">
            <v xml:space="preserve">6mmØ x 6m. RSB </v>
          </cell>
        </row>
        <row r="215">
          <cell r="D215" t="str">
            <v xml:space="preserve">8mmØ x 6m. RSB </v>
          </cell>
        </row>
        <row r="216">
          <cell r="D216" t="str">
            <v xml:space="preserve">10mmØ x 6m. RSB </v>
          </cell>
        </row>
        <row r="217">
          <cell r="D217" t="str">
            <v xml:space="preserve">12mmØ x 6m. RSB </v>
          </cell>
        </row>
        <row r="218">
          <cell r="D218" t="str">
            <v>Deformed Bars, (414 Mpa)</v>
          </cell>
        </row>
        <row r="219">
          <cell r="D219" t="str">
            <v>Deformed Bars, Grade 33</v>
          </cell>
        </row>
        <row r="220">
          <cell r="D220" t="str">
            <v>Deformed Bars, (230 Mpa)</v>
          </cell>
        </row>
        <row r="221">
          <cell r="D221" t="str">
            <v>Plain Round Bars, Grade 33</v>
          </cell>
        </row>
        <row r="222">
          <cell r="D222" t="str">
            <v>12mm  Suction Rod with Threaded Coupling</v>
          </cell>
        </row>
        <row r="223">
          <cell r="D223" t="str">
            <v>Square Bar</v>
          </cell>
        </row>
        <row r="224">
          <cell r="D224" t="str">
            <v>¼" X 2½" Flat Bar</v>
          </cell>
        </row>
        <row r="225">
          <cell r="D225" t="str">
            <v>3mm x 40mm Flat Bar</v>
          </cell>
        </row>
        <row r="226">
          <cell r="D226" t="str">
            <v>63mm x 4.5mm Flat Bar</v>
          </cell>
        </row>
        <row r="227">
          <cell r="D227" t="str">
            <v>36mmØ Splicing Bar</v>
          </cell>
        </row>
        <row r="228">
          <cell r="D228" t="str">
            <v>36mmØ Splicing Bar</v>
          </cell>
        </row>
        <row r="229">
          <cell r="D229" t="str">
            <v>10mmØ x 6m. RSB Grade 33</v>
          </cell>
        </row>
        <row r="230">
          <cell r="D230" t="str">
            <v>10mmØ x 6m. RSB Grade 33</v>
          </cell>
        </row>
        <row r="231">
          <cell r="D231" t="str">
            <v>10mmØ x 9m. RSB Grade 33</v>
          </cell>
        </row>
        <row r="232">
          <cell r="D232" t="str">
            <v>12mmØ x 6m. RSB Grade 33</v>
          </cell>
        </row>
        <row r="233">
          <cell r="D233" t="str">
            <v>12mmØ x 7.5m. RSB Grade 33</v>
          </cell>
        </row>
        <row r="234">
          <cell r="D234" t="str">
            <v>12mmØ x 9m. RSB Grade 33</v>
          </cell>
        </row>
        <row r="235">
          <cell r="D235" t="str">
            <v>16mmØ x 6m. RSB Grade 33</v>
          </cell>
        </row>
        <row r="236">
          <cell r="D236" t="str">
            <v>16mmØ x 7.5m. RSB Grade 33</v>
          </cell>
        </row>
        <row r="237">
          <cell r="D237" t="str">
            <v>16mmØ x 9m. RSB Grade 33</v>
          </cell>
        </row>
        <row r="238">
          <cell r="D238" t="str">
            <v>20mmØ x 6m. RSB Grade 33</v>
          </cell>
        </row>
        <row r="239">
          <cell r="D239" t="str">
            <v>20mmØ x 7.5m. RSB Grade 33</v>
          </cell>
        </row>
        <row r="240">
          <cell r="D240" t="str">
            <v>20mmØ x 9m. RSB Grade 33</v>
          </cell>
        </row>
        <row r="241">
          <cell r="D241" t="str">
            <v>25mmØ x 6m. RSB Grade 33</v>
          </cell>
        </row>
        <row r="242">
          <cell r="D242" t="str">
            <v>25mmØ x 7.5m. RSB Grade 33</v>
          </cell>
        </row>
        <row r="243">
          <cell r="D243" t="str">
            <v>25mmØ x 9m. RSB Grade 33</v>
          </cell>
        </row>
        <row r="244">
          <cell r="D244" t="str">
            <v>25mmØ x 9m. RSB Grade 33</v>
          </cell>
        </row>
        <row r="245">
          <cell r="D245" t="str">
            <v>6mmØ - Grade 33</v>
          </cell>
        </row>
        <row r="246">
          <cell r="D246" t="str">
            <v>8mmØ - Grade 33</v>
          </cell>
        </row>
        <row r="247">
          <cell r="D247" t="str">
            <v>10mmØ - Grade 33</v>
          </cell>
        </row>
        <row r="248">
          <cell r="D248" t="str">
            <v>12mmØ - Grade 33</v>
          </cell>
        </row>
        <row r="249">
          <cell r="D249" t="str">
            <v>16mmØ - Grade 33</v>
          </cell>
        </row>
        <row r="250">
          <cell r="D250" t="str">
            <v>20mmØ - Grade 33</v>
          </cell>
        </row>
        <row r="251">
          <cell r="D251" t="str">
            <v>25mmØ - Grade 33</v>
          </cell>
        </row>
        <row r="252">
          <cell r="D252" t="str">
            <v>Reinforcing Bars - Grade 33</v>
          </cell>
        </row>
        <row r="253">
          <cell r="D253" t="str">
            <v>Reinforcing Bars - Grade 33</v>
          </cell>
        </row>
        <row r="254">
          <cell r="D254" t="str">
            <v>6mmØ - Grade 40</v>
          </cell>
        </row>
        <row r="255">
          <cell r="D255" t="str">
            <v>8mmØ - Grade 40</v>
          </cell>
        </row>
        <row r="256">
          <cell r="D256" t="str">
            <v>10mmØ - Grade 40</v>
          </cell>
        </row>
        <row r="257">
          <cell r="D257" t="str">
            <v>12mmØ - Grade 40</v>
          </cell>
        </row>
        <row r="258">
          <cell r="D258" t="str">
            <v>16mmØ - Grade 40</v>
          </cell>
        </row>
        <row r="259">
          <cell r="D259" t="str">
            <v>20mmØ - Grade 40</v>
          </cell>
        </row>
        <row r="260">
          <cell r="D260" t="str">
            <v>25mmØ - Grade 40</v>
          </cell>
        </row>
        <row r="261">
          <cell r="D261" t="str">
            <v>25mmØ - Grade 40</v>
          </cell>
        </row>
        <row r="262">
          <cell r="D262" t="str">
            <v>10mmØ - Stainless Steel Rod Grade 30</v>
          </cell>
        </row>
        <row r="263">
          <cell r="D263" t="str">
            <v>10mmØ - Stainless Steel Turn Buckle Grade 30</v>
          </cell>
        </row>
        <row r="264">
          <cell r="D264" t="str">
            <v>10mmØ - Stainless Steel Hook Bar Grade 30</v>
          </cell>
        </row>
        <row r="265">
          <cell r="D265" t="str">
            <v>12mmØ - Stainless Steel Rod Grade 30</v>
          </cell>
        </row>
        <row r="266">
          <cell r="D266" t="str">
            <v>12mmØ - Stainless Steel Turn Buckle Grade 30</v>
          </cell>
        </row>
        <row r="267">
          <cell r="D267" t="str">
            <v>12mmØ - Stainless Steel Hook Bar Grade 30</v>
          </cell>
        </row>
        <row r="268">
          <cell r="D268" t="str">
            <v>12mmØ - Stainless Steel Hook Bar Grade 30</v>
          </cell>
        </row>
        <row r="269">
          <cell r="D269" t="str">
            <v>1/8" x 3/4" x 3/4" Angle Bar</v>
          </cell>
        </row>
        <row r="270">
          <cell r="D270" t="str">
            <v>( STRUCTURAL STEEL )</v>
          </cell>
        </row>
        <row r="271">
          <cell r="D271" t="str">
            <v>3/16"x1½"x1½" Angle Bar</v>
          </cell>
        </row>
        <row r="272">
          <cell r="D272" t="str">
            <v>1/8" x 3/4" x 3/4" Angle Bar</v>
          </cell>
        </row>
        <row r="273">
          <cell r="D273" t="str">
            <v>1/8" x 2" x 2" Angle Bar</v>
          </cell>
        </row>
        <row r="274">
          <cell r="D274" t="str">
            <v>3/16" x 2" x 2" Angle Bar</v>
          </cell>
        </row>
        <row r="275">
          <cell r="D275" t="str">
            <v>3/16" x 1" x1" Angle Bar</v>
          </cell>
        </row>
        <row r="276">
          <cell r="D276" t="str">
            <v>3/16" x 1" x1" Angle Bar</v>
          </cell>
        </row>
        <row r="277">
          <cell r="D277" t="str">
            <v>38mm x 38mmx 5mm Angle Bar</v>
          </cell>
        </row>
        <row r="278">
          <cell r="D278" t="str">
            <v>50mm x 50mm x 6mm Angle Bar</v>
          </cell>
        </row>
        <row r="279">
          <cell r="D279" t="str">
            <v>Steel Plate/Bar</v>
          </cell>
        </row>
        <row r="280">
          <cell r="D280" t="str">
            <v>50mm x 50mm x 5.5mm Angle Bar</v>
          </cell>
        </row>
        <row r="281">
          <cell r="D281" t="str">
            <v>1" x 1/4" Flat Bar</v>
          </cell>
        </row>
        <row r="282">
          <cell r="D282" t="str">
            <v>6mm x 50mm Flat Bar</v>
          </cell>
        </row>
        <row r="283">
          <cell r="D283" t="str">
            <v>38mm x 38mmx 5mm Angle Bar</v>
          </cell>
        </row>
        <row r="284">
          <cell r="D284" t="str">
            <v>38mm x 38mmx 6mm Angle Bar</v>
          </cell>
        </row>
        <row r="285">
          <cell r="D285" t="str">
            <v>38mm x 38mmx 5.2mm Angle Bar</v>
          </cell>
        </row>
        <row r="286">
          <cell r="D286" t="str">
            <v>40mm x 40mmx 6mm Angle Bar</v>
          </cell>
        </row>
        <row r="287">
          <cell r="D287" t="str">
            <v>40mm x 40mmx 5.5mm Angle Bar</v>
          </cell>
        </row>
        <row r="288">
          <cell r="D288" t="str">
            <v>25mm x 25mm x 3mm Angle Bar</v>
          </cell>
        </row>
        <row r="289">
          <cell r="D289" t="str">
            <v>25mm x 25mm x 6mm Angle Bar</v>
          </cell>
        </row>
        <row r="290">
          <cell r="D290" t="str">
            <v>50mm x 50mm x 4.5mm Angle Bar</v>
          </cell>
        </row>
        <row r="291">
          <cell r="D291" t="str">
            <v>50mm x 50mm x 5.5mm Angle Bar</v>
          </cell>
        </row>
        <row r="292">
          <cell r="D292" t="str">
            <v>63mm x 63mm x 4.5mm Angle Bar</v>
          </cell>
        </row>
        <row r="293">
          <cell r="D293" t="str">
            <v>3/16" x 2½" x2½" Angle Bar</v>
          </cell>
        </row>
        <row r="294">
          <cell r="D294" t="str">
            <v>100mm x 100mm x 8mm Angle Bar</v>
          </cell>
        </row>
        <row r="295">
          <cell r="D295" t="str">
            <v>100mm x 100mm x 10mm Angle Bar</v>
          </cell>
        </row>
        <row r="296">
          <cell r="D296" t="str">
            <v>100mm x 100mm x 12mm Angle Bar</v>
          </cell>
        </row>
        <row r="297">
          <cell r="D297" t="str">
            <v>Structural Steel, ASTM A36</v>
          </cell>
        </row>
        <row r="298">
          <cell r="D298" t="str">
            <v>Structural Steel Plate 9mm thk., ASTM A36</v>
          </cell>
        </row>
        <row r="299">
          <cell r="D299" t="str">
            <v>Structural Steel Plate 12mm thk., ASTM A36</v>
          </cell>
        </row>
        <row r="300">
          <cell r="D300" t="str">
            <v>Structural Steel Plate 16mm thk., ASTM A36</v>
          </cell>
        </row>
        <row r="301">
          <cell r="D301" t="str">
            <v>Structural Steel Plate 25mm thk., ASTM A36</v>
          </cell>
        </row>
        <row r="302">
          <cell r="D302" t="str">
            <v>Structural Steel 50mm x 50mm x 6m., ASTM A36</v>
          </cell>
        </row>
        <row r="303">
          <cell r="D303" t="str">
            <v>Steel Channel, 4 x 7.25</v>
          </cell>
        </row>
        <row r="304">
          <cell r="D304" t="str">
            <v>Steel Channel, 6 x 13</v>
          </cell>
        </row>
        <row r="305">
          <cell r="D305" t="str">
            <v>Steel Channel, C10 x 30</v>
          </cell>
        </row>
        <row r="306">
          <cell r="D306" t="str">
            <v>2" x 4" C-Purlin, Ga.16</v>
          </cell>
        </row>
        <row r="307">
          <cell r="D307" t="str">
            <v>LC 100x50x15x2.0 Purlins</v>
          </cell>
        </row>
        <row r="308">
          <cell r="D308" t="str">
            <v>LC 100x50x15x2.0 Studdings</v>
          </cell>
        </row>
        <row r="309">
          <cell r="D309" t="str">
            <v>12mmØ x 210mm A325 Bolts</v>
          </cell>
        </row>
        <row r="310">
          <cell r="D310" t="str">
            <v>20mmØ x 210mm A325 Bolts</v>
          </cell>
        </row>
        <row r="311">
          <cell r="D311" t="str">
            <v>25mmØ x 300mm A325 Bolts</v>
          </cell>
        </row>
        <row r="312">
          <cell r="D312" t="str">
            <v>32mmØ Standard Turn Buckle</v>
          </cell>
        </row>
        <row r="313">
          <cell r="D313" t="str">
            <v>32mmØ Standard Ring Joint</v>
          </cell>
        </row>
        <row r="314">
          <cell r="D314" t="str">
            <v>32mmØ Tie Rod</v>
          </cell>
        </row>
        <row r="315">
          <cell r="D315" t="str">
            <v>25mmØ x 500mm A325 Bolts</v>
          </cell>
        </row>
        <row r="316">
          <cell r="D316" t="str">
            <v>16mmØ x 250mm A325 Bolts</v>
          </cell>
        </row>
        <row r="317">
          <cell r="D317" t="str">
            <v>16mmØ x 50mm A325 Bolts</v>
          </cell>
        </row>
        <row r="318">
          <cell r="D318" t="str">
            <v>12mmØ x 75mm A325 Bolts</v>
          </cell>
        </row>
        <row r="319">
          <cell r="D319" t="str">
            <v>16mmØ x 50mm A325 Bolts</v>
          </cell>
        </row>
        <row r="320">
          <cell r="D320" t="str">
            <v>Steel Plate</v>
          </cell>
        </row>
        <row r="321">
          <cell r="D321" t="str">
            <v>Consumables</v>
          </cell>
        </row>
        <row r="322">
          <cell r="D322" t="str">
            <v>Joint Sealer</v>
          </cell>
        </row>
        <row r="323">
          <cell r="D323" t="str">
            <v>Joint Filler, hot poured</v>
          </cell>
        </row>
        <row r="324">
          <cell r="D324" t="str">
            <v>Filler Board</v>
          </cell>
        </row>
        <row r="325">
          <cell r="D325" t="str">
            <v>Filter Cloth</v>
          </cell>
        </row>
        <row r="326">
          <cell r="D326" t="str">
            <v>Filler Board</v>
          </cell>
        </row>
        <row r="327">
          <cell r="D327" t="str">
            <v>( NAILS, BOLTS and FASTENERS )</v>
          </cell>
        </row>
        <row r="328">
          <cell r="D328" t="str">
            <v>Common Wire Nails</v>
          </cell>
        </row>
        <row r="329">
          <cell r="D329" t="str">
            <v>Common Wire Nails (Keg)</v>
          </cell>
        </row>
        <row r="330">
          <cell r="D330" t="str">
            <v>Finishing Nails</v>
          </cell>
        </row>
        <row r="331">
          <cell r="D331" t="str">
            <v>Roofing Nails umbrella type</v>
          </cell>
        </row>
        <row r="332">
          <cell r="D332" t="str">
            <v>Concrete Nail</v>
          </cell>
        </row>
        <row r="333">
          <cell r="D333" t="str">
            <v>13mm, High-Strength Bolt, 4"</v>
          </cell>
        </row>
        <row r="334">
          <cell r="D334" t="str">
            <v>Machine Bolt w/ nut &amp; washer</v>
          </cell>
        </row>
        <row r="335">
          <cell r="D335" t="str">
            <v>16mmØ x 300mm Stainless Machine Bolt w/ nut &amp; washer</v>
          </cell>
        </row>
        <row r="336">
          <cell r="D336" t="str">
            <v>16mmØ x 250mm Stainless Machine Bolt w/ nut &amp; washer</v>
          </cell>
        </row>
        <row r="337">
          <cell r="D337" t="str">
            <v>16mmØ x 150mm Stainless Machine Bolt w/ nut &amp; washer</v>
          </cell>
        </row>
        <row r="338">
          <cell r="D338" t="str">
            <v>16mmØ x 200mm Stainless Machine Bolt w/ nut &amp; washer</v>
          </cell>
        </row>
        <row r="339">
          <cell r="D339" t="str">
            <v>12mmØ x 150mm Stainless Machine Bolt w/ nut &amp; washer</v>
          </cell>
        </row>
        <row r="340">
          <cell r="D340" t="str">
            <v>12mmØ x 200mm Stainless Machine Bolt w/ nut &amp; washer</v>
          </cell>
        </row>
        <row r="341">
          <cell r="D341" t="str">
            <v>12mmØ x 250mm Stainless Machine Bolt w/ nut &amp; washer</v>
          </cell>
        </row>
        <row r="342">
          <cell r="D342" t="str">
            <v>12mmØ x 200mm Stainless Machine Bolt w/ nut &amp; washer</v>
          </cell>
        </row>
        <row r="343">
          <cell r="D343" t="str">
            <v>16mmØ x 229 Machine Bolt w/ nut &amp; washer</v>
          </cell>
        </row>
        <row r="344">
          <cell r="D344" t="str">
            <v>20mmØ GI Machine Bolt w/ nut &amp; washer</v>
          </cell>
        </row>
        <row r="345">
          <cell r="D345" t="str">
            <v>16mmØ GI Machine Bolt w/ nut &amp; washer</v>
          </cell>
        </row>
        <row r="346">
          <cell r="D346" t="str">
            <v>12mmØ GI Machine Bolt w/ nut &amp; washer</v>
          </cell>
        </row>
        <row r="347">
          <cell r="D347" t="str">
            <v>16mmØ x 250mm GI Machine Bolt w/ nut &amp; washer</v>
          </cell>
        </row>
        <row r="348">
          <cell r="D348" t="str">
            <v>16mmØ x 300mm GI Machine Bolt w/ nut &amp; washer</v>
          </cell>
        </row>
        <row r="349">
          <cell r="D349" t="str">
            <v>12mmØ x 400mm GI Machine Bolt w/ nut &amp; washer</v>
          </cell>
        </row>
        <row r="350">
          <cell r="D350" t="str">
            <v>12mmØ x 150mm GI Machine Bolt w/ nut &amp; washer</v>
          </cell>
        </row>
        <row r="351">
          <cell r="D351" t="str">
            <v>12mmØ x 75mm GI Machine Bolt w/ nut &amp; washer</v>
          </cell>
        </row>
        <row r="352">
          <cell r="D352" t="str">
            <v>12mmØ GI Machine Bolt w/ nut &amp; washers</v>
          </cell>
        </row>
        <row r="353">
          <cell r="D353" t="str">
            <v>12mmØ GI Bolt w/ nut &amp; washers</v>
          </cell>
        </row>
        <row r="354">
          <cell r="D354" t="str">
            <v>10mmØ GI Machine Bolt w/ nut &amp; washers</v>
          </cell>
        </row>
        <row r="355">
          <cell r="D355" t="str">
            <v>12mmØ GI Bolt w/ nut &amp; washers</v>
          </cell>
        </row>
        <row r="356">
          <cell r="D356" t="str">
            <v>Boat Spike (Nail)</v>
          </cell>
        </row>
        <row r="357">
          <cell r="D357" t="str">
            <v>7/8" Anchor Bolt, 10"</v>
          </cell>
        </row>
        <row r="358">
          <cell r="D358" t="str">
            <v>16mmØ x 250mm Anchor Bolt</v>
          </cell>
        </row>
        <row r="359">
          <cell r="D359" t="str">
            <v>16mmØ x 300mm Anchor Bolt</v>
          </cell>
        </row>
        <row r="360">
          <cell r="D360" t="str">
            <v>20mmØ x 300mm Anchor Bolt</v>
          </cell>
        </row>
        <row r="361">
          <cell r="D361" t="str">
            <v>12mmØ x 38mm Anchor Bolt</v>
          </cell>
        </row>
        <row r="362">
          <cell r="D362" t="str">
            <v>20mm, Turn Buckle</v>
          </cell>
        </row>
        <row r="363">
          <cell r="D363" t="str">
            <v>16mm, Turn Buckle</v>
          </cell>
        </row>
        <row r="364">
          <cell r="D364" t="str">
            <v>12mm  Turnbuckle</v>
          </cell>
        </row>
        <row r="365">
          <cell r="D365" t="str">
            <v>13mm, U-Bolt</v>
          </cell>
        </row>
        <row r="366">
          <cell r="D366" t="str">
            <v>16mm, U-Bolt w/ nuts and washers</v>
          </cell>
        </row>
        <row r="367">
          <cell r="D367" t="str">
            <v>13mm, Cable Clip</v>
          </cell>
        </row>
        <row r="368">
          <cell r="D368" t="str">
            <v>32mm, Cable Clip</v>
          </cell>
        </row>
        <row r="369">
          <cell r="D369" t="str">
            <v>13mm,  Thimble</v>
          </cell>
        </row>
        <row r="370">
          <cell r="D370" t="str">
            <v>12mm  Stainless Screw, 1/2"</v>
          </cell>
        </row>
        <row r="371">
          <cell r="D371" t="str">
            <v>Tekscrew</v>
          </cell>
        </row>
        <row r="372">
          <cell r="D372" t="str">
            <v>Post Strap Flat Bar</v>
          </cell>
        </row>
        <row r="373">
          <cell r="D373" t="str">
            <v>GI Post Strap 1/4" x 2"</v>
          </cell>
        </row>
        <row r="374">
          <cell r="D374" t="str">
            <v>Post Strap Flat Bar</v>
          </cell>
        </row>
        <row r="375">
          <cell r="D375" t="str">
            <v>( GI WIRES )</v>
          </cell>
        </row>
        <row r="376">
          <cell r="D376" t="str">
            <v>Ga.16 GI Tie Wire</v>
          </cell>
        </row>
        <row r="377">
          <cell r="D377" t="str">
            <v>G.I. Rivets</v>
          </cell>
        </row>
        <row r="378">
          <cell r="D378" t="str">
            <v>20mmØ G.I. Chain</v>
          </cell>
        </row>
        <row r="379">
          <cell r="D379" t="str">
            <v>G.I. Rivets</v>
          </cell>
        </row>
        <row r="380">
          <cell r="D380" t="str">
            <v>( ROOFING SHEET )</v>
          </cell>
        </row>
        <row r="381">
          <cell r="D381" t="str">
            <v>GI Sheet Roofing</v>
          </cell>
        </row>
        <row r="382">
          <cell r="D382" t="str">
            <v>CORR. G.I.sheets, Ga.26</v>
          </cell>
        </row>
        <row r="383">
          <cell r="D383" t="str">
            <v>CORR. G.I.sheets, Ga.31</v>
          </cell>
        </row>
        <row r="384">
          <cell r="D384" t="str">
            <v>CORR. G.I.sheets x 6' , Ga.26</v>
          </cell>
        </row>
        <row r="385">
          <cell r="D385" t="str">
            <v>CORR. G.I.sheets x 8' , Ga.26</v>
          </cell>
        </row>
        <row r="386">
          <cell r="D386" t="str">
            <v>3' x 8' Plain G.I. Sheet, Ga.26</v>
          </cell>
        </row>
        <row r="387">
          <cell r="D387" t="str">
            <v>3' x 8' Plain G.I. Sheet, Ga.31</v>
          </cell>
        </row>
        <row r="388">
          <cell r="D388" t="str">
            <v>Plain G.I. Sheet, Ga.26</v>
          </cell>
        </row>
        <row r="389">
          <cell r="D389" t="str">
            <v>Pre-Painted Corr. GI Sht, Ga.26</v>
          </cell>
        </row>
        <row r="390">
          <cell r="D390" t="str">
            <v>24" Prefab GI Gutter</v>
          </cell>
        </row>
        <row r="391">
          <cell r="D391" t="str">
            <v>12" Prefab GI Ridge Roll</v>
          </cell>
        </row>
        <row r="392">
          <cell r="D392" t="str">
            <v>18" Prefab GI Flashing</v>
          </cell>
        </row>
        <row r="393">
          <cell r="D393" t="str">
            <v>3' x 8' Plain G.I. Sheet, Ga.24</v>
          </cell>
        </row>
        <row r="394">
          <cell r="D394" t="str">
            <v>0.40mm x 0.830m Durawide Rib Type Roofing Sheet (Phil Metal)</v>
          </cell>
        </row>
        <row r="395">
          <cell r="D395" t="str">
            <v>0.40mm x 0.45m x 3.66m) Pre-painted ridge roll (Phil Metal)</v>
          </cell>
        </row>
        <row r="396">
          <cell r="D396" t="str">
            <v>0.40mm x 0.915 x 3.66m) Spanish End Flashing (Phil Metal)</v>
          </cell>
        </row>
        <row r="397">
          <cell r="D397" t="str">
            <v>0.40mm x 0.915 x 3.66m) Spanish Gutter (Phil Metal)</v>
          </cell>
        </row>
        <row r="398">
          <cell r="D398" t="str">
            <v>Teks 4 #12-24 x 45mm Hex w/ Neo</v>
          </cell>
        </row>
        <row r="399">
          <cell r="D399" t="str">
            <v>Prepainted Galvallum Corr..sheets , 0.30mm thk.</v>
          </cell>
        </row>
        <row r="400">
          <cell r="D400" t="str">
            <v>Prepainted Galvalume 55 Corr..sheets , 4.0ft wide x 0.3mm thk.</v>
          </cell>
        </row>
        <row r="401">
          <cell r="D401" t="str">
            <v>Prepainted Galvalume 55 Corr..sheets , 3.0ft wide x 0.3mm thk.</v>
          </cell>
        </row>
        <row r="402">
          <cell r="D402" t="str">
            <v>Prepainted Galvalume 55 Plain..sheets , 3.0ft wide x 0.35mm thk.</v>
          </cell>
        </row>
        <row r="403">
          <cell r="D403" t="str">
            <v>Prepainted Galvallum Plain sheets, 0.35mm thk.</v>
          </cell>
        </row>
        <row r="404">
          <cell r="D404" t="str">
            <v>Prepainted Galvallum Corr..sheets x 6' , 0.35mm thk.</v>
          </cell>
        </row>
        <row r="405">
          <cell r="D405" t="str">
            <v>Prepainted Galvallum Corr..sheets x 8' , 0.35mm thk.</v>
          </cell>
        </row>
        <row r="406">
          <cell r="D406" t="str">
            <v>Prepainted Galvallum Plain sheets x 10' , 0.35mm thk.</v>
          </cell>
        </row>
        <row r="407">
          <cell r="D407" t="str">
            <v>Galvalume 55 Plain sheets x 10' , 0.35mm thk.</v>
          </cell>
        </row>
        <row r="408">
          <cell r="D408" t="str">
            <v>Galvalume 55 Corr. sheets x 12' , 0.35mm thk.</v>
          </cell>
        </row>
        <row r="409">
          <cell r="D409" t="str">
            <v>Galvalume 55 Corr. sheets x 10' , 0.35mm thk.</v>
          </cell>
        </row>
        <row r="410">
          <cell r="D410" t="str">
            <v>Galvalume 55 Corr. sheets x 9' , 0.35mm thk.</v>
          </cell>
        </row>
        <row r="411">
          <cell r="D411" t="str">
            <v>Galvalume 55 Corr. sheets x 8' , 0.35mm thk.</v>
          </cell>
        </row>
        <row r="412">
          <cell r="D412" t="str">
            <v>Galvalume 55 Corr. sheets x 7' , 0.35mm thk.</v>
          </cell>
        </row>
        <row r="413">
          <cell r="D413" t="str">
            <v>Galvalume 55 Corr. sheets x 6' , 0.35mm thk.</v>
          </cell>
        </row>
        <row r="414">
          <cell r="D414" t="str">
            <v>Galvalume 55 Corr. sheets x 6' , 0.35mm thk.</v>
          </cell>
        </row>
        <row r="415">
          <cell r="D415" t="str">
            <v>0.30mm thk x 4.0ft. wide Unpainted Galvallum 55</v>
          </cell>
        </row>
        <row r="416">
          <cell r="D416" t="str">
            <v>0.30mmthk x 0.610m x 2.44m Ridge Roll Unpainted Galvallum 55 (4ft x 8ft)</v>
          </cell>
        </row>
        <row r="417">
          <cell r="D417" t="str">
            <v>0.30mm thk x 4.0ft. wide Unpainted Galvallum 55</v>
          </cell>
        </row>
        <row r="418">
          <cell r="D418" t="str">
            <v>0.30mm thk x 4.0ft. wide Unpainted Galvallum 55 (End Flashing)</v>
          </cell>
        </row>
        <row r="419">
          <cell r="D419" t="str">
            <v>0.30mm thk x 4.0ft. wide Unpainted Galvallum 55 (Ridge Roll)</v>
          </cell>
        </row>
        <row r="420">
          <cell r="D420" t="str">
            <v>0.30mm thk x 4.0ft. wide Unpainted Galvallum 55 (End Flashing)</v>
          </cell>
        </row>
        <row r="421">
          <cell r="D421" t="str">
            <v>Metalplas Corr. Roofing (1.5mm thk)</v>
          </cell>
        </row>
        <row r="422">
          <cell r="D422" t="str">
            <v>Metalplas Ridge Roll</v>
          </cell>
        </row>
        <row r="423">
          <cell r="D423" t="str">
            <v>Metalplas End Flashing</v>
          </cell>
        </row>
        <row r="424">
          <cell r="D424" t="str">
            <v>Metalplas Ridge Roll</v>
          </cell>
        </row>
        <row r="425">
          <cell r="D425" t="str">
            <v>Blind Rivets</v>
          </cell>
        </row>
        <row r="426">
          <cell r="D426" t="str">
            <v>Silicon Rubber Sealant</v>
          </cell>
        </row>
        <row r="427">
          <cell r="D427" t="str">
            <v>Touch-up Acrylic Paint</v>
          </cell>
        </row>
        <row r="428">
          <cell r="D428" t="str">
            <v>Silicon Rubber Sealant</v>
          </cell>
        </row>
        <row r="429">
          <cell r="D429" t="str">
            <v>( HARDWARES )</v>
          </cell>
        </row>
        <row r="430">
          <cell r="D430" t="str">
            <v>Gutter seal</v>
          </cell>
        </row>
        <row r="431">
          <cell r="D431" t="str">
            <v>4'-wide Cyclone  Wire</v>
          </cell>
        </row>
        <row r="432">
          <cell r="D432" t="str">
            <v>1¼ "dia. X 6" Double Type Pulley Level</v>
          </cell>
        </row>
        <row r="433">
          <cell r="D433" t="str">
            <v>1¼ "dia. X 6" Steel Ring Bolt Adaptor</v>
          </cell>
        </row>
        <row r="434">
          <cell r="D434" t="str">
            <v>1¼ "dia. X 1¼" Steel Ring Bolt Adaptor</v>
          </cell>
        </row>
        <row r="435">
          <cell r="D435" t="str">
            <v>1" Cylindrical Ejector Assembly, 32"</v>
          </cell>
        </row>
        <row r="436">
          <cell r="D436" t="str">
            <v>1½" " Cylindrical Ejector Assembly, 32"</v>
          </cell>
        </row>
        <row r="437">
          <cell r="D437" t="str">
            <v>Cylindrical Door Knob</v>
          </cell>
        </row>
        <row r="438">
          <cell r="D438" t="str">
            <v>4" Barrel Bolts</v>
          </cell>
        </row>
        <row r="439">
          <cell r="D439" t="str">
            <v>4" x 4" Loose Pin Butt Hinges</v>
          </cell>
        </row>
        <row r="440">
          <cell r="D440" t="str">
            <v>3" x 3" Loose Pin Butt Hinges</v>
          </cell>
        </row>
        <row r="441">
          <cell r="D441" t="str">
            <v>4" Hasp Lock Hinges</v>
          </cell>
        </row>
        <row r="442">
          <cell r="D442" t="str">
            <v>Alum. Mesh Wire, 1/8" eye x 3'</v>
          </cell>
        </row>
        <row r="443">
          <cell r="D443" t="str">
            <v>Alum. Mesh Wire, 1/2" eye x 3'</v>
          </cell>
        </row>
        <row r="444">
          <cell r="D444" t="str">
            <v>Alum. Mesh Wire, 1" eye x 3'</v>
          </cell>
        </row>
        <row r="445">
          <cell r="D445" t="str">
            <v>Aluminum Mosquito Screen, 3ft-wide</v>
          </cell>
        </row>
        <row r="446">
          <cell r="D446" t="str">
            <v>Aukom Rug</v>
          </cell>
        </row>
        <row r="447">
          <cell r="D447" t="str">
            <v>Welding Rods 1/8"ø E60</v>
          </cell>
        </row>
        <row r="448">
          <cell r="D448" t="str">
            <v>Welding Rods 1/8"ø E70XX</v>
          </cell>
        </row>
        <row r="449">
          <cell r="D449" t="str">
            <v>Welwood Glue</v>
          </cell>
        </row>
        <row r="450">
          <cell r="D450" t="str">
            <v>Solvent Cement</v>
          </cell>
        </row>
        <row r="451">
          <cell r="D451" t="str">
            <v xml:space="preserve">1½"   Cylindrical Ejector Assmbly, CLAYTON USA </v>
          </cell>
        </row>
        <row r="452">
          <cell r="D452" t="str">
            <v xml:space="preserve">1¼" Cylindrical Ejector Assmbly, CLAYTON USA </v>
          </cell>
        </row>
        <row r="453">
          <cell r="D453" t="str">
            <v>½" Teflon Tape</v>
          </cell>
        </row>
        <row r="454">
          <cell r="D454" t="str">
            <v>¾" Teflon Tape</v>
          </cell>
        </row>
        <row r="455">
          <cell r="D455" t="str">
            <v>1"  Teflon Tape</v>
          </cell>
        </row>
        <row r="456">
          <cell r="D456" t="str">
            <v>Cabinet Door Handle</v>
          </cell>
        </row>
        <row r="457">
          <cell r="D457" t="str">
            <v>½" dia. x 3/4"  Pillow Block</v>
          </cell>
        </row>
        <row r="458">
          <cell r="D458" t="str">
            <v>#6203  Bearing</v>
          </cell>
        </row>
        <row r="459">
          <cell r="D459" t="str">
            <v>3/4"dia. x 4"  Steel Spring</v>
          </cell>
        </row>
        <row r="460">
          <cell r="D460" t="str">
            <v>1¼" Foot Valve, Brass</v>
          </cell>
        </row>
        <row r="461">
          <cell r="D461" t="str">
            <v>1" x 2" Cabinet Hinges</v>
          </cell>
        </row>
        <row r="462">
          <cell r="D462" t="str">
            <v>Gabion Mattress</v>
          </cell>
        </row>
        <row r="463">
          <cell r="D463" t="str">
            <v>20mmØ Chain and Other Accessories</v>
          </cell>
        </row>
        <row r="464">
          <cell r="D464" t="str">
            <v>Gabion Mattress</v>
          </cell>
        </row>
        <row r="465">
          <cell r="D465" t="str">
            <v>( STRUCTURAL STEEL WIRES AND CABLES )</v>
          </cell>
        </row>
        <row r="466">
          <cell r="D466" t="str">
            <v>6mm,  IWRC (6 x  25)</v>
          </cell>
        </row>
        <row r="467">
          <cell r="D467" t="str">
            <v>8mm,  IWRC (6 x  25)</v>
          </cell>
        </row>
        <row r="468">
          <cell r="D468" t="str">
            <v>10mm,  IWRC (6 x  25)</v>
          </cell>
        </row>
        <row r="469">
          <cell r="D469" t="str">
            <v>11mm,  IWRC (6 x  25)</v>
          </cell>
        </row>
        <row r="470">
          <cell r="D470" t="str">
            <v>13mm,  IWRC (6 x  25)</v>
          </cell>
        </row>
        <row r="471">
          <cell r="D471" t="str">
            <v>14mm,  IWRC (6 x  25)</v>
          </cell>
        </row>
        <row r="472">
          <cell r="D472" t="str">
            <v>16mm,  IWRC (6 x  25)</v>
          </cell>
        </row>
        <row r="473">
          <cell r="D473" t="str">
            <v>20mm,  IWRC (6 x  25)</v>
          </cell>
        </row>
        <row r="474">
          <cell r="D474" t="str">
            <v>22mm,  IWRC (6 x  25)</v>
          </cell>
        </row>
        <row r="475">
          <cell r="D475" t="str">
            <v>25mm,  IWRC (6 x  25)</v>
          </cell>
        </row>
        <row r="476">
          <cell r="D476" t="str">
            <v>29mm,  IWRC (6 x  25)</v>
          </cell>
        </row>
        <row r="477">
          <cell r="D477" t="str">
            <v>32mm,  IWRC (6 x  25)</v>
          </cell>
        </row>
        <row r="478">
          <cell r="D478" t="str">
            <v>35mm, ,  IWRC (6 x  25)</v>
          </cell>
        </row>
        <row r="479">
          <cell r="D479" t="str">
            <v>38mm,  IWRC (6 x  25)</v>
          </cell>
        </row>
        <row r="480">
          <cell r="D480" t="str">
            <v>41mm,  IWRC (6 x  25)</v>
          </cell>
        </row>
        <row r="481">
          <cell r="D481" t="str">
            <v>44mm,  IWRC (6 x  25)</v>
          </cell>
        </row>
        <row r="482">
          <cell r="D482" t="str">
            <v>48mm,  IWRC (6 x  25)</v>
          </cell>
        </row>
        <row r="483">
          <cell r="D483" t="str">
            <v>51mm,  IWRC (6 x  25)</v>
          </cell>
        </row>
        <row r="484">
          <cell r="D484" t="str">
            <v>54mm,  IWRC (6 x  25)</v>
          </cell>
        </row>
        <row r="485">
          <cell r="D485" t="str">
            <v>57mm,  IWRC (6 x  25)</v>
          </cell>
        </row>
        <row r="486">
          <cell r="D486" t="str">
            <v>5mm, Wire Rope Fiber Core (6 x 25)</v>
          </cell>
        </row>
        <row r="487">
          <cell r="D487" t="str">
            <v>6mm, Wire Rope Fiber Core (6 x 25)</v>
          </cell>
        </row>
        <row r="488">
          <cell r="D488" t="str">
            <v>8mm, Wire Rope Fiber Core (6 x 25)</v>
          </cell>
        </row>
        <row r="489">
          <cell r="D489" t="str">
            <v>10mm, Wire Rope Fiber Core (6 x 25)</v>
          </cell>
        </row>
        <row r="490">
          <cell r="D490" t="str">
            <v>11mm, Wire Rope Fiber Core (6 x 25)</v>
          </cell>
        </row>
        <row r="491">
          <cell r="D491" t="str">
            <v>13mm, Wire Rope Fiber Core (6 x 25)</v>
          </cell>
        </row>
        <row r="492">
          <cell r="D492" t="str">
            <v>14mm, Wire Rope Fiber Core (6 x 25)</v>
          </cell>
        </row>
        <row r="493">
          <cell r="D493" t="str">
            <v>16mm, Wire Rope Fiber Core (6 x 25)</v>
          </cell>
        </row>
        <row r="494">
          <cell r="D494" t="str">
            <v>20mm, Wire Rope Fiber Core (6 x 25)</v>
          </cell>
        </row>
        <row r="495">
          <cell r="D495" t="str">
            <v>22mm, Wire Rope Fiber Core (6 x 25)</v>
          </cell>
        </row>
        <row r="496">
          <cell r="D496" t="str">
            <v>25mm, Wire Rope Fiber Core (6 x 25)</v>
          </cell>
        </row>
        <row r="497">
          <cell r="D497" t="str">
            <v>29mm, Wire Rope Fiber Core (6 x 25)</v>
          </cell>
        </row>
        <row r="498">
          <cell r="D498" t="str">
            <v>32mm, Wire Rope Fiber Core (6 x 25)</v>
          </cell>
        </row>
        <row r="499">
          <cell r="D499" t="str">
            <v>35mm, , Wire Rope Fiber Core (6 x 25)</v>
          </cell>
        </row>
        <row r="500">
          <cell r="D500" t="str">
            <v>38mm, Wire Rope Fiber Core (6 x 25)</v>
          </cell>
        </row>
        <row r="501">
          <cell r="D501" t="str">
            <v>41mm, Wire Rope Fiber Core (6 x 25)</v>
          </cell>
        </row>
        <row r="502">
          <cell r="D502" t="str">
            <v>44mm, Wire Rope Fiber Core (6 x 25)</v>
          </cell>
        </row>
        <row r="503">
          <cell r="D503" t="str">
            <v>48mm, Wire Rope Fiber Core (6 x 25)</v>
          </cell>
        </row>
        <row r="504">
          <cell r="D504" t="str">
            <v>51mm, Wire Rope Fiber Core (6 x 25)</v>
          </cell>
        </row>
        <row r="505">
          <cell r="D505" t="str">
            <v>54mm, Wire Rope Fiber Core (6 x 25)</v>
          </cell>
        </row>
        <row r="506">
          <cell r="D506" t="str">
            <v>57mm, Wire Rope Fiber Core (6 x 25)</v>
          </cell>
        </row>
        <row r="507">
          <cell r="D507" t="str">
            <v>10mm, High Grade Steel Cable</v>
          </cell>
        </row>
        <row r="508">
          <cell r="D508" t="str">
            <v>6mmØ Cable Clips</v>
          </cell>
        </row>
        <row r="509">
          <cell r="D509" t="str">
            <v>10mmØ Cable Clips</v>
          </cell>
        </row>
        <row r="510">
          <cell r="D510" t="str">
            <v>20mmØ Cable Clips</v>
          </cell>
        </row>
        <row r="511">
          <cell r="D511" t="str">
            <v>41mm, Wire Rope Fiber Core (6 x 25)</v>
          </cell>
        </row>
        <row r="512">
          <cell r="D512" t="str">
            <v>( STEEL PLATES )</v>
          </cell>
        </row>
        <row r="513">
          <cell r="D513" t="str">
            <v>6mm, Expanded Metal Mesh</v>
          </cell>
        </row>
        <row r="514">
          <cell r="D514" t="str">
            <v>10mm, Steel Plate</v>
          </cell>
        </row>
        <row r="515">
          <cell r="D515" t="str">
            <v>8mm, Steel Plate</v>
          </cell>
        </row>
        <row r="516">
          <cell r="D516" t="str">
            <v>6mm, Steel Plate</v>
          </cell>
        </row>
        <row r="517">
          <cell r="D517" t="str">
            <v>200mm x 200mm x 6mm, Steel Plate</v>
          </cell>
        </row>
        <row r="518">
          <cell r="D518" t="str">
            <v>300mm x 300mm x 6mm, Steel Plate</v>
          </cell>
        </row>
        <row r="519">
          <cell r="D519" t="str">
            <v>180mm x 180mm x 16mm, Steel Plate</v>
          </cell>
        </row>
        <row r="520">
          <cell r="D520" t="str">
            <v>180mm x 180mm x 16mm, Steel Plate</v>
          </cell>
        </row>
        <row r="521">
          <cell r="D521" t="str">
            <v>Steel Plate'</v>
          </cell>
        </row>
        <row r="522">
          <cell r="D522" t="str">
            <v>Steel Block</v>
          </cell>
        </row>
        <row r="523">
          <cell r="D523" t="str">
            <v>6mm, Expanded Metal Mesh</v>
          </cell>
        </row>
        <row r="524">
          <cell r="D524" t="str">
            <v>( STAINLESS STEEL CYLINDRICAL TANK )</v>
          </cell>
        </row>
        <row r="525">
          <cell r="D525" t="str">
            <v>600L Ga. 18 Cylindrical H2O Tank</v>
          </cell>
        </row>
        <row r="526">
          <cell r="D526" t="str">
            <v>800L Ga. 18 Cylindrical H2O Tank</v>
          </cell>
        </row>
        <row r="527">
          <cell r="D527" t="str">
            <v>1000L Ga. 18 Cylindrical H2O Tank</v>
          </cell>
        </row>
        <row r="528">
          <cell r="D528" t="str">
            <v>300mm x 300mm x 6mm, Steel Plate</v>
          </cell>
        </row>
        <row r="529">
          <cell r="D529" t="str">
            <v>( ALUMINUM AND GLASS )</v>
          </cell>
        </row>
        <row r="530">
          <cell r="D530" t="str">
            <v>Jalousie Glass Blade w/ Alum. Frame</v>
          </cell>
        </row>
        <row r="531">
          <cell r="D531" t="str">
            <v>Clear Glass</v>
          </cell>
        </row>
        <row r="532">
          <cell r="D532" t="str">
            <v>Smoke Glass</v>
          </cell>
        </row>
        <row r="533">
          <cell r="D533" t="str">
            <v>16 blades 4" Alum. Jal. Frame</v>
          </cell>
        </row>
        <row r="534">
          <cell r="D534" t="str">
            <v>14 blades 4" Alum. Jal. Frame</v>
          </cell>
        </row>
        <row r="535">
          <cell r="D535" t="str">
            <v>7 blades 4" Alum. Jal. Frame</v>
          </cell>
        </row>
        <row r="536">
          <cell r="D536" t="str">
            <v>800L Ga. 18 Cylindrical H2O Tank</v>
          </cell>
        </row>
        <row r="537">
          <cell r="D537" t="str">
            <v>( PLASTIC PRODUCTS )</v>
          </cell>
        </row>
        <row r="538">
          <cell r="D538" t="str">
            <v>25mm  Plastic Stranded Rope</v>
          </cell>
        </row>
        <row r="539">
          <cell r="D539" t="str">
            <v>( ALUMINUM AND GLASS )</v>
          </cell>
        </row>
        <row r="540">
          <cell r="D540" t="str">
            <v>PIPING &amp; EQUIPMENTS</v>
          </cell>
        </row>
        <row r="541">
          <cell r="D541" t="str">
            <v>Submersible Pumps &amp; its accessories</v>
          </cell>
        </row>
        <row r="542">
          <cell r="D542" t="str">
            <v>Submersible Pumps &amp; its accessories (3HP - 186S3.412)</v>
          </cell>
        </row>
        <row r="543">
          <cell r="D543" t="str">
            <v>Submersible Pumps &amp; its accessories (1HP - 136S10412)</v>
          </cell>
        </row>
        <row r="544">
          <cell r="D544" t="str">
            <v>14 blades 4" Alum. Jal. Frame</v>
          </cell>
        </row>
        <row r="545">
          <cell r="D545" t="str">
            <v>GI PIPES AND FITTINGS</v>
          </cell>
        </row>
        <row r="546">
          <cell r="D546" t="str">
            <v>ø12mm sch 40 GI Pipe</v>
          </cell>
        </row>
        <row r="547">
          <cell r="D547" t="str">
            <v>ø25mm sch 40 GI Pipe</v>
          </cell>
        </row>
        <row r="548">
          <cell r="D548" t="str">
            <v>ø38mm sch 40 GI Pipe</v>
          </cell>
        </row>
        <row r="549">
          <cell r="D549" t="str">
            <v>ø50mm SCH 40 GI Pipe</v>
          </cell>
        </row>
        <row r="550">
          <cell r="D550" t="str">
            <v>ø63mm SCH 40 GI Pipe</v>
          </cell>
        </row>
        <row r="551">
          <cell r="D551" t="str">
            <v>ø65mm SCH 40 GI Pipe</v>
          </cell>
        </row>
        <row r="552">
          <cell r="D552" t="str">
            <v>ø75mm SCH 40 GI Pipe</v>
          </cell>
        </row>
        <row r="553">
          <cell r="D553" t="str">
            <v>Submersible Pumps &amp; its accessories (1HP - 136S10412)</v>
          </cell>
        </row>
        <row r="554">
          <cell r="D554" t="str">
            <v>½" G.I. Pipe, sch. 40</v>
          </cell>
        </row>
        <row r="555">
          <cell r="D555" t="str">
            <v>3/4" G.I. Pipe, sch. 40</v>
          </cell>
        </row>
        <row r="556">
          <cell r="D556" t="str">
            <v>1" G.I. Pipe, sch. 40</v>
          </cell>
        </row>
        <row r="557">
          <cell r="D557" t="str">
            <v>1¼" G.I. Pipe, sch. 40</v>
          </cell>
        </row>
        <row r="558">
          <cell r="D558" t="str">
            <v>1½" G.I. Pipe, sch. 40</v>
          </cell>
        </row>
        <row r="559">
          <cell r="D559" t="str">
            <v>2" G.I. Pipe, sch. 40</v>
          </cell>
        </row>
        <row r="560">
          <cell r="D560" t="str">
            <v>2¼" G.I. Pipe, sch. 40</v>
          </cell>
        </row>
        <row r="561">
          <cell r="D561" t="str">
            <v>3" G.I. Pipe, sch. 40</v>
          </cell>
        </row>
        <row r="562">
          <cell r="D562" t="str">
            <v>4" G.I. Pipe, sch. 40</v>
          </cell>
        </row>
        <row r="563">
          <cell r="D563" t="str">
            <v>2½" G.I. Pipe, sch. 40</v>
          </cell>
        </row>
        <row r="564">
          <cell r="D564" t="str">
            <v>4" G.I. Pipe ,sch. 20</v>
          </cell>
        </row>
        <row r="565">
          <cell r="D565" t="str">
            <v>1½" G.I. Pipe ,sch. 20</v>
          </cell>
        </row>
        <row r="566">
          <cell r="D566" t="str">
            <v>2" B.I. Pipe, sch. 40</v>
          </cell>
        </row>
        <row r="567">
          <cell r="D567" t="str">
            <v>1" B.I. Pipe, sch. 40</v>
          </cell>
        </row>
        <row r="568">
          <cell r="D568" t="str">
            <v>½" G.I. Coupling, sch. 40</v>
          </cell>
        </row>
        <row r="569">
          <cell r="D569" t="str">
            <v>1" G.I. Coupling, sch. 40</v>
          </cell>
        </row>
        <row r="570">
          <cell r="D570" t="str">
            <v>1¼" G.I. Coupling, sch. 40</v>
          </cell>
        </row>
        <row r="571">
          <cell r="D571" t="str">
            <v>1½" G.I. Coupling, sch. 40</v>
          </cell>
        </row>
        <row r="572">
          <cell r="D572" t="str">
            <v>2"  G.I. Coupling, sch. 40</v>
          </cell>
        </row>
        <row r="573">
          <cell r="D573" t="str">
            <v>2¼" G.I. Coupling, sch. 40</v>
          </cell>
        </row>
        <row r="574">
          <cell r="D574" t="str">
            <v>3" G.I. Coupling, sch. 40</v>
          </cell>
        </row>
        <row r="575">
          <cell r="D575" t="str">
            <v>4"  G.I. Coupling, sch. 40</v>
          </cell>
        </row>
        <row r="576">
          <cell r="D576" t="str">
            <v>2½" G.I. Coupling, sch. 40</v>
          </cell>
        </row>
        <row r="577">
          <cell r="D577" t="str">
            <v>½" G.I. Elbow 45°, sch. 40</v>
          </cell>
        </row>
        <row r="578">
          <cell r="D578" t="str">
            <v>1"G.I. Elbow 45°, sch. 40</v>
          </cell>
        </row>
        <row r="579">
          <cell r="D579" t="str">
            <v>1¼"G.I. Elbow 45°, sch. 40</v>
          </cell>
        </row>
        <row r="580">
          <cell r="D580" t="str">
            <v>1½"G.I. Elbow 45°, sch. 40</v>
          </cell>
        </row>
        <row r="581">
          <cell r="D581" t="str">
            <v>2"G.I. Elbow 45°, sch. 40</v>
          </cell>
        </row>
        <row r="582">
          <cell r="D582" t="str">
            <v>2½" G.I. Elbow 45°, sch. 40</v>
          </cell>
        </row>
        <row r="583">
          <cell r="D583" t="str">
            <v>3" G.I. Elbow 45°, sch. 40</v>
          </cell>
        </row>
        <row r="584">
          <cell r="D584" t="str">
            <v>4" G.I. Elbow 45°, sch. 40</v>
          </cell>
        </row>
        <row r="585">
          <cell r="D585" t="str">
            <v>½" G.I. Elbow 90°, sch 40</v>
          </cell>
        </row>
        <row r="586">
          <cell r="D586" t="str">
            <v>1" G.I. Elbow 90°, sch 40</v>
          </cell>
        </row>
        <row r="587">
          <cell r="D587" t="str">
            <v>1¼" G.I. Elbow 90°, sch 40</v>
          </cell>
        </row>
        <row r="588">
          <cell r="D588" t="str">
            <v>1½"  G.I. Elbow 90°, sch 40</v>
          </cell>
        </row>
        <row r="589">
          <cell r="D589" t="str">
            <v>2" G.I. Elbow 90°, sch 40</v>
          </cell>
        </row>
        <row r="590">
          <cell r="D590" t="str">
            <v>2½" G.I. Elbow 90°, sch 40</v>
          </cell>
        </row>
        <row r="591">
          <cell r="D591" t="str">
            <v>3" G.I. Elbow 90°, sch 40</v>
          </cell>
        </row>
        <row r="592">
          <cell r="D592" t="str">
            <v>4" G.I. Elbow 90°, sch 40</v>
          </cell>
        </row>
        <row r="593">
          <cell r="D593" t="str">
            <v>2" G.I. Street Elbow, sch 40</v>
          </cell>
        </row>
        <row r="594">
          <cell r="D594" t="str">
            <v>3/4"  G.I. Elbow 90°, sch 40</v>
          </cell>
        </row>
        <row r="595">
          <cell r="D595" t="str">
            <v>½" G.I. TEE, sch 40</v>
          </cell>
        </row>
        <row r="596">
          <cell r="D596" t="str">
            <v>1" G.I. TEE, sch 40</v>
          </cell>
        </row>
        <row r="597">
          <cell r="D597" t="str">
            <v>1¼" G.I. TEE, sch 40</v>
          </cell>
        </row>
        <row r="598">
          <cell r="D598" t="str">
            <v>1½" G.I. TEE, sch 40</v>
          </cell>
        </row>
        <row r="599">
          <cell r="D599" t="str">
            <v>2"  G.I. TEE, sch 40</v>
          </cell>
        </row>
        <row r="600">
          <cell r="D600" t="str">
            <v>2½" G.I. TEE, sch 40</v>
          </cell>
        </row>
        <row r="601">
          <cell r="D601" t="str">
            <v>3" G.I. TEE, sch 40</v>
          </cell>
        </row>
        <row r="602">
          <cell r="D602" t="str">
            <v>4" G.I. TEE, sch 40</v>
          </cell>
        </row>
        <row r="603">
          <cell r="D603" t="str">
            <v>½" G.I. Nipples, 12"</v>
          </cell>
        </row>
        <row r="604">
          <cell r="D604" t="str">
            <v>1" G.I. Nipples, 12"</v>
          </cell>
        </row>
        <row r="605">
          <cell r="D605" t="str">
            <v>1" G.I. Nipple, 10"</v>
          </cell>
        </row>
        <row r="606">
          <cell r="D606" t="str">
            <v>1¼" G.I. Nipples, 4"</v>
          </cell>
        </row>
        <row r="607">
          <cell r="D607" t="str">
            <v>1¼" G.I. Nipples, 12"</v>
          </cell>
        </row>
        <row r="608">
          <cell r="D608" t="str">
            <v>½" G.I. Nipples, 4"</v>
          </cell>
        </row>
        <row r="609">
          <cell r="D609" t="str">
            <v>½" G.I. Nipples, 8"</v>
          </cell>
        </row>
        <row r="610">
          <cell r="D610" t="str">
            <v>3/4"  G.I. Nipples, 4"</v>
          </cell>
        </row>
        <row r="611">
          <cell r="D611" t="str">
            <v>63mmØ Gate Valve</v>
          </cell>
        </row>
        <row r="612">
          <cell r="D612" t="str">
            <v>63mmØ x 90° G.I. Elbow</v>
          </cell>
        </row>
        <row r="613">
          <cell r="D613" t="str">
            <v>63mmØ x 63mmØ Female Adaptor</v>
          </cell>
        </row>
        <row r="614">
          <cell r="D614" t="str">
            <v>63mmØ GI Union Patente</v>
          </cell>
        </row>
        <row r="615">
          <cell r="D615" t="str">
            <v>63mmØ GI Pipe</v>
          </cell>
        </row>
        <row r="616">
          <cell r="D616" t="str">
            <v>50mmØ GI Pipe</v>
          </cell>
        </row>
        <row r="617">
          <cell r="D617" t="str">
            <v>50mmØ GI Union Patente</v>
          </cell>
        </row>
        <row r="618">
          <cell r="D618" t="str">
            <v>50mmØ x 90° G.I. Elbow</v>
          </cell>
        </row>
        <row r="619">
          <cell r="D619" t="str">
            <v>50mmØ G.I. Nipples x 600mm</v>
          </cell>
        </row>
        <row r="620">
          <cell r="D620" t="str">
            <v>50mmØ G.I. Nipples x 500mm</v>
          </cell>
        </row>
        <row r="621">
          <cell r="D621" t="str">
            <v>50mmØ G.I. Nipples x 300mm</v>
          </cell>
        </row>
        <row r="622">
          <cell r="D622" t="str">
            <v>50mmØ G.I. Nipples x 200mm</v>
          </cell>
        </row>
        <row r="623">
          <cell r="D623" t="str">
            <v>50mmØ G.I. Gate Valve</v>
          </cell>
        </row>
        <row r="624">
          <cell r="D624" t="str">
            <v>50mmØ G.I. End Cap</v>
          </cell>
        </row>
        <row r="625">
          <cell r="D625" t="str">
            <v>50mmØ G.I. Perforated w/ Strainer</v>
          </cell>
        </row>
        <row r="626">
          <cell r="D626" t="str">
            <v>40mmØ x 50mmØ Female Adaptor</v>
          </cell>
        </row>
        <row r="627">
          <cell r="D627" t="str">
            <v>40mmØ x 90° G.I. Elbow</v>
          </cell>
        </row>
        <row r="628">
          <cell r="D628" t="str">
            <v>40mmØ G.I. Gate Valve</v>
          </cell>
        </row>
        <row r="629">
          <cell r="D629" t="str">
            <v>40mmØ G.I. Tee</v>
          </cell>
        </row>
        <row r="630">
          <cell r="D630" t="str">
            <v>40mmØ G.I. Coupling</v>
          </cell>
        </row>
        <row r="631">
          <cell r="D631" t="str">
            <v>38mmØ G.I. Nipples x 400mm</v>
          </cell>
        </row>
        <row r="632">
          <cell r="D632" t="str">
            <v>38mmØ G.I. Nipples x 100mm</v>
          </cell>
        </row>
        <row r="633">
          <cell r="D633" t="str">
            <v>38mmØ x 90° G.I. Elbow</v>
          </cell>
        </row>
        <row r="634">
          <cell r="D634" t="str">
            <v>12mmØ Brass Faucet</v>
          </cell>
        </row>
        <row r="635">
          <cell r="D635" t="str">
            <v>12mmØ Globe Valve</v>
          </cell>
        </row>
        <row r="636">
          <cell r="D636" t="str">
            <v>12mmØ Gate Valve</v>
          </cell>
        </row>
        <row r="637">
          <cell r="D637" t="str">
            <v>12mmØ Saddle Clamp</v>
          </cell>
        </row>
        <row r="638">
          <cell r="D638" t="str">
            <v>12mmØ PE Pipe</v>
          </cell>
        </row>
        <row r="639">
          <cell r="D639" t="str">
            <v>12mmØ GI Pipe</v>
          </cell>
        </row>
        <row r="640">
          <cell r="D640" t="str">
            <v>12mmØ x 90° GI Elbow</v>
          </cell>
        </row>
        <row r="641">
          <cell r="D641" t="str">
            <v>100mmØ PVC Pipe</v>
          </cell>
        </row>
        <row r="642">
          <cell r="D642" t="str">
            <v>38mmØ G.I. Nipples x 100mm</v>
          </cell>
        </row>
        <row r="643">
          <cell r="D643" t="str">
            <v>½" G.I. Cap</v>
          </cell>
        </row>
        <row r="644">
          <cell r="D644" t="str">
            <v>1¼" G.I. Cap</v>
          </cell>
        </row>
        <row r="645">
          <cell r="D645" t="str">
            <v>2" G.I. Cap</v>
          </cell>
        </row>
        <row r="646">
          <cell r="D646" t="str">
            <v>2"x3/4", Saddle Clamp</v>
          </cell>
        </row>
        <row r="647">
          <cell r="D647" t="str">
            <v>½" Gate Valve</v>
          </cell>
        </row>
        <row r="648">
          <cell r="D648" t="str">
            <v>2" Gate Valve</v>
          </cell>
        </row>
        <row r="649">
          <cell r="D649" t="str">
            <v>3/4"  Gate Valve</v>
          </cell>
        </row>
        <row r="650">
          <cell r="D650" t="str">
            <v>½" Check Valve</v>
          </cell>
        </row>
        <row r="651">
          <cell r="D651" t="str">
            <v xml:space="preserve">½"  G.I. Union Patent </v>
          </cell>
        </row>
        <row r="652">
          <cell r="D652" t="str">
            <v xml:space="preserve">2" G.I. Union Patent </v>
          </cell>
        </row>
        <row r="653">
          <cell r="D653" t="str">
            <v xml:space="preserve">2½" G.I. Union Patent </v>
          </cell>
        </row>
        <row r="654">
          <cell r="D654" t="str">
            <v xml:space="preserve">1¼" x 3/4"  G.I. Bushing </v>
          </cell>
        </row>
        <row r="655">
          <cell r="D655" t="str">
            <v xml:space="preserve">1"x2", G.I. Bushing </v>
          </cell>
        </row>
        <row r="656">
          <cell r="D656" t="str">
            <v>1½" GI Male Adapter</v>
          </cell>
        </row>
        <row r="657">
          <cell r="D657" t="str">
            <v xml:space="preserve">2" x ½"  G.I. Bushing </v>
          </cell>
        </row>
        <row r="658">
          <cell r="D658" t="str">
            <v>2" x 1½" Reducer, Bell Cap</v>
          </cell>
        </row>
        <row r="659">
          <cell r="D659" t="str">
            <v>3/4"  Gate Valve</v>
          </cell>
        </row>
        <row r="660">
          <cell r="D660" t="str">
            <v>½" Check Valve</v>
          </cell>
        </row>
        <row r="661">
          <cell r="D661" t="str">
            <v>PVC AND UPVC PIPES AND FITTINGS - Blue Pipes (WaterPipes)</v>
          </cell>
        </row>
        <row r="662">
          <cell r="D662" t="str">
            <v>1/2" PVC Blue Pipe</v>
          </cell>
        </row>
        <row r="663">
          <cell r="D663" t="str">
            <v xml:space="preserve">2½" G.I. Union Patent </v>
          </cell>
        </row>
        <row r="664">
          <cell r="D664" t="str">
            <v>( PVC AND UPVC PIPES AND FITTINGS )</v>
          </cell>
        </row>
        <row r="665">
          <cell r="D665" t="str">
            <v>2" PVC Pipe</v>
          </cell>
        </row>
        <row r="666">
          <cell r="D666" t="str">
            <v>3" PVC Pipe</v>
          </cell>
        </row>
        <row r="667">
          <cell r="D667" t="str">
            <v>4" PVC Pipe</v>
          </cell>
        </row>
        <row r="668">
          <cell r="D668" t="str">
            <v>4" PVC Pipe (S-40)</v>
          </cell>
        </row>
        <row r="669">
          <cell r="D669" t="str">
            <v>2" PVC TEE</v>
          </cell>
        </row>
        <row r="670">
          <cell r="D670" t="str">
            <v>3" PVC TEE</v>
          </cell>
        </row>
        <row r="671">
          <cell r="D671" t="str">
            <v>4" PVC TEE</v>
          </cell>
        </row>
        <row r="672">
          <cell r="D672" t="str">
            <v>2" PVC Elbow 45°</v>
          </cell>
        </row>
        <row r="673">
          <cell r="D673" t="str">
            <v>3" PVC Elbow 45°</v>
          </cell>
        </row>
        <row r="674">
          <cell r="D674" t="str">
            <v>4" PVC Elbow 45°</v>
          </cell>
        </row>
        <row r="675">
          <cell r="D675" t="str">
            <v>2" PVC Elbow 90°</v>
          </cell>
        </row>
        <row r="676">
          <cell r="D676" t="str">
            <v>3" PVC Elbow 90°</v>
          </cell>
        </row>
        <row r="677">
          <cell r="D677" t="str">
            <v>4" PVC Elbow 90°</v>
          </cell>
        </row>
        <row r="678">
          <cell r="D678" t="str">
            <v>2" PVC WYE</v>
          </cell>
        </row>
        <row r="679">
          <cell r="D679" t="str">
            <v>3" PVC WYE</v>
          </cell>
        </row>
        <row r="680">
          <cell r="D680" t="str">
            <v>4"  PVC WYE</v>
          </cell>
        </row>
        <row r="681">
          <cell r="D681" t="str">
            <v>2" PVC 1/8" bend</v>
          </cell>
        </row>
        <row r="682">
          <cell r="D682" t="str">
            <v>3"  PVC 1/8" bend</v>
          </cell>
        </row>
        <row r="683">
          <cell r="D683" t="str">
            <v>4"  PVC 1/8" bend</v>
          </cell>
        </row>
        <row r="684">
          <cell r="D684" t="str">
            <v>2" PVC clean-out</v>
          </cell>
        </row>
        <row r="685">
          <cell r="D685" t="str">
            <v>3" PVC clean-out</v>
          </cell>
        </row>
        <row r="686">
          <cell r="D686" t="str">
            <v>4" PVC clean-out</v>
          </cell>
        </row>
        <row r="687">
          <cell r="D687" t="str">
            <v>4" PVC end cap</v>
          </cell>
        </row>
        <row r="688">
          <cell r="D688" t="str">
            <v>2" PVC P-Trap</v>
          </cell>
        </row>
        <row r="689">
          <cell r="D689" t="str">
            <v>3"  PVC P-Trap</v>
          </cell>
        </row>
        <row r="690">
          <cell r="D690" t="str">
            <v>4" PVC P-Trap</v>
          </cell>
        </row>
        <row r="691">
          <cell r="D691" t="str">
            <v>2"x3", PVC Reducer</v>
          </cell>
        </row>
        <row r="692">
          <cell r="D692" t="str">
            <v>3"x4", PVC Reducer</v>
          </cell>
        </row>
        <row r="693">
          <cell r="D693" t="str">
            <v>2"x4", PVC Reducer</v>
          </cell>
        </row>
        <row r="694">
          <cell r="D694" t="str">
            <v>4"x2", PVC TEE</v>
          </cell>
        </row>
        <row r="695">
          <cell r="D695" t="str">
            <v>4"x2", PVC  WYE</v>
          </cell>
        </row>
        <row r="696">
          <cell r="D696" t="str">
            <v>3"x4", PVC  WYE</v>
          </cell>
        </row>
        <row r="697">
          <cell r="D697" t="str">
            <v>3"x2", PVC  WYE</v>
          </cell>
        </row>
        <row r="698">
          <cell r="D698" t="str">
            <v>4" PVC Coupling</v>
          </cell>
        </row>
        <row r="699">
          <cell r="D699" t="str">
            <v>3/4" uPVC Elbow</v>
          </cell>
        </row>
        <row r="700">
          <cell r="D700" t="str">
            <v>3/4" uPVC Tee</v>
          </cell>
        </row>
        <row r="701">
          <cell r="D701" t="str">
            <v>3/4" uPVC Coupling</v>
          </cell>
        </row>
        <row r="702">
          <cell r="D702" t="str">
            <v>3" uPVC Coupling</v>
          </cell>
        </row>
        <row r="703">
          <cell r="D703" t="str">
            <v>4" uPVC Coupling</v>
          </cell>
        </row>
        <row r="704">
          <cell r="D704" t="str">
            <v>3/4" uPVC Nipple</v>
          </cell>
        </row>
        <row r="705">
          <cell r="D705" t="str">
            <v>½"x3/4", uPVC Reducer</v>
          </cell>
        </row>
        <row r="706">
          <cell r="D706" t="str">
            <v xml:space="preserve">½" uPVC Water Pipe </v>
          </cell>
        </row>
        <row r="707">
          <cell r="D707" t="str">
            <v xml:space="preserve">3/4" uPVC Water Pipe </v>
          </cell>
        </row>
        <row r="708">
          <cell r="D708" t="str">
            <v xml:space="preserve">4" uPVC Water Pipe </v>
          </cell>
        </row>
        <row r="709">
          <cell r="D709" t="str">
            <v xml:space="preserve">3" uPVC Water Pipe </v>
          </cell>
        </row>
        <row r="710">
          <cell r="D710" t="str">
            <v xml:space="preserve">2" uPVC Water Pipe </v>
          </cell>
        </row>
        <row r="711">
          <cell r="D711" t="str">
            <v xml:space="preserve">1-1/2" uPVC Water Pipe </v>
          </cell>
        </row>
        <row r="712">
          <cell r="D712" t="str">
            <v xml:space="preserve">1" uPVC Water Pipe </v>
          </cell>
        </row>
        <row r="713">
          <cell r="D713" t="str">
            <v xml:space="preserve">2-1/2" uPVC Water Pipe </v>
          </cell>
        </row>
        <row r="714">
          <cell r="D714" t="str">
            <v>3/4" uPVC Nipple</v>
          </cell>
        </row>
        <row r="715">
          <cell r="D715" t="str">
            <v>( PE PIPES AND FITTINGS )</v>
          </cell>
        </row>
        <row r="716">
          <cell r="D716" t="str">
            <v>PE Pipe, SDR 9  3/8"</v>
          </cell>
        </row>
        <row r="717">
          <cell r="D717" t="str">
            <v>PE Pipe, SDR 9  1/2"</v>
          </cell>
        </row>
        <row r="718">
          <cell r="D718" t="str">
            <v>PE Pipe, SDR 9  3/4"</v>
          </cell>
        </row>
        <row r="719">
          <cell r="D719" t="str">
            <v>PE Pipe, SDR 9  1"</v>
          </cell>
        </row>
        <row r="720">
          <cell r="D720" t="str">
            <v>PE Pipe, SDR 9  1-1/4"</v>
          </cell>
        </row>
        <row r="721">
          <cell r="D721" t="str">
            <v>PE Pipe, SDR 9  1-1/2"</v>
          </cell>
        </row>
        <row r="722">
          <cell r="D722" t="str">
            <v>PE Pipe, SDR 9  2"</v>
          </cell>
        </row>
        <row r="723">
          <cell r="D723" t="str">
            <v>PE Pipe, SDR 9  2-1/2"</v>
          </cell>
        </row>
        <row r="724">
          <cell r="D724" t="str">
            <v>PE Pipe, SDR 9  3"</v>
          </cell>
        </row>
        <row r="725">
          <cell r="D725" t="str">
            <v>PE Pipe, SDR 9  4"</v>
          </cell>
        </row>
        <row r="726">
          <cell r="D726" t="str">
            <v>PE Pipe, SDR 9  6"</v>
          </cell>
        </row>
        <row r="727">
          <cell r="D727" t="str">
            <v>PE Pipe, SDR 11  3/8"</v>
          </cell>
        </row>
        <row r="728">
          <cell r="D728" t="str">
            <v>PE Pipe, SDR 11  1/2"</v>
          </cell>
        </row>
        <row r="729">
          <cell r="D729" t="str">
            <v>PE Pipe, SDR 11  3/4"</v>
          </cell>
        </row>
        <row r="730">
          <cell r="D730" t="str">
            <v>PE Pipe, SDR 11  1"</v>
          </cell>
        </row>
        <row r="731">
          <cell r="D731" t="str">
            <v>PE Pipe, SDR 11  1-1/4"</v>
          </cell>
        </row>
        <row r="732">
          <cell r="D732" t="str">
            <v>PE Pipe, SDR 11  1-1/2"</v>
          </cell>
        </row>
        <row r="733">
          <cell r="D733" t="str">
            <v>PE Pipe, SDR 11  2"</v>
          </cell>
        </row>
        <row r="734">
          <cell r="D734" t="str">
            <v>PE Pipe, SDR 11  2-1/2"</v>
          </cell>
        </row>
        <row r="735">
          <cell r="D735" t="str">
            <v>PE Pipe, SDR 11  3"</v>
          </cell>
        </row>
        <row r="736">
          <cell r="D736" t="str">
            <v>PE Pipe, SDR 11  4"</v>
          </cell>
        </row>
        <row r="737">
          <cell r="D737" t="str">
            <v>PE Pipe, SDR 11  6"</v>
          </cell>
        </row>
        <row r="738">
          <cell r="D738" t="str">
            <v>PE Pipe, SDR 13.5   3/8"</v>
          </cell>
        </row>
        <row r="739">
          <cell r="D739" t="str">
            <v>PE Pipe, SDR 13.5   1/2"</v>
          </cell>
        </row>
        <row r="740">
          <cell r="D740" t="str">
            <v>PE Pipe, SDR 13.5   3/4"</v>
          </cell>
        </row>
        <row r="741">
          <cell r="D741" t="str">
            <v>PE Pipe, SDR 13.5   1"</v>
          </cell>
        </row>
        <row r="742">
          <cell r="D742" t="str">
            <v>PE Pipe, SDR 13.5   1-1/4"</v>
          </cell>
        </row>
        <row r="743">
          <cell r="D743" t="str">
            <v>PE Pipe, SDR 13.5   1-1/2"</v>
          </cell>
        </row>
        <row r="744">
          <cell r="D744" t="str">
            <v>PE Pipe, SDR 13.5   2"</v>
          </cell>
        </row>
        <row r="745">
          <cell r="D745" t="str">
            <v>PE Pipe, SDR 13.5   2-1/2"</v>
          </cell>
        </row>
        <row r="746">
          <cell r="D746" t="str">
            <v>PE Pipe, SDR 13.5   3"</v>
          </cell>
        </row>
        <row r="747">
          <cell r="D747" t="str">
            <v>PE Pipe, SDR 13.5   4"</v>
          </cell>
        </row>
        <row r="748">
          <cell r="D748" t="str">
            <v>PE Pipe, SDR 13.5   6"</v>
          </cell>
        </row>
        <row r="749">
          <cell r="D749" t="str">
            <v>PE Pipe, SDR 17   3/8"</v>
          </cell>
        </row>
        <row r="750">
          <cell r="D750" t="str">
            <v>PE Pipe, SDR 17   1/2"</v>
          </cell>
        </row>
        <row r="751">
          <cell r="D751" t="str">
            <v>PE Pipe, SDR 17   3/4"</v>
          </cell>
        </row>
        <row r="752">
          <cell r="D752" t="str">
            <v>PE Pipe, SDR 17   1"</v>
          </cell>
        </row>
        <row r="753">
          <cell r="D753" t="str">
            <v>PE Pipe, SDR 17   1-1/4"</v>
          </cell>
        </row>
        <row r="754">
          <cell r="D754" t="str">
            <v>PE Pipe, SDR 17   1-1/2"</v>
          </cell>
        </row>
        <row r="755">
          <cell r="D755" t="str">
            <v>PE Pipe, SDR 17   2"</v>
          </cell>
        </row>
        <row r="756">
          <cell r="D756" t="str">
            <v>PE Pipe, SDR 17   2-1/2"</v>
          </cell>
        </row>
        <row r="757">
          <cell r="D757" t="str">
            <v>PE Pipe, SDR 17   3"</v>
          </cell>
        </row>
        <row r="758">
          <cell r="D758" t="str">
            <v>PE Pipe, SDR 17   4"</v>
          </cell>
        </row>
        <row r="759">
          <cell r="D759" t="str">
            <v>PE Pipe, SDR 17   6"</v>
          </cell>
        </row>
        <row r="760">
          <cell r="D760" t="str">
            <v>PE Pipe, SDR 17   1/2"</v>
          </cell>
        </row>
        <row r="761">
          <cell r="D761" t="str">
            <v>PE PIPES FITTINGS FACTOR =</v>
          </cell>
        </row>
        <row r="762">
          <cell r="D762" t="str">
            <v>PE Pipe, SDR 17   1"</v>
          </cell>
        </row>
        <row r="763">
          <cell r="D763" t="str">
            <v>PE PIPE MALE ADAPTOR</v>
          </cell>
        </row>
        <row r="764">
          <cell r="D764" t="str">
            <v>PE Pipe Male Thread Adaptor - 20mm x 1/2"</v>
          </cell>
        </row>
        <row r="765">
          <cell r="D765" t="str">
            <v>PE Pipe Male Thread Adaptor - 25mm x 3/4"</v>
          </cell>
        </row>
        <row r="766">
          <cell r="D766" t="str">
            <v>PE Pipe Male Thread Adaptor - 32mm x 1"</v>
          </cell>
        </row>
        <row r="767">
          <cell r="D767" t="str">
            <v>PE Pipe Male Thread Adaptor - 40mm x 1-1/4"</v>
          </cell>
        </row>
        <row r="768">
          <cell r="D768" t="str">
            <v>PE Pipe Male Thread Adaptor - 50mm x 1-1/2"</v>
          </cell>
        </row>
        <row r="769">
          <cell r="D769" t="str">
            <v>PE Pipe Male Thread Adaptor - 63mm x 2"</v>
          </cell>
        </row>
        <row r="770">
          <cell r="D770" t="str">
            <v>PE Pipe Male Thread Adaptor - 90mm x 3"</v>
          </cell>
        </row>
        <row r="771">
          <cell r="D771" t="str">
            <v>PE PIPES FITTINGS FACTOR =</v>
          </cell>
        </row>
        <row r="772">
          <cell r="D772" t="str">
            <v>PE PIPE FEMALE ADAPTOR</v>
          </cell>
        </row>
        <row r="773">
          <cell r="D773" t="str">
            <v>PE Pipe Female Thread Adaptor - 20mm x 1/2"</v>
          </cell>
        </row>
        <row r="774">
          <cell r="D774" t="str">
            <v>PE Pipe Female Thread Adaptor - 25mm x 3/4"</v>
          </cell>
        </row>
        <row r="775">
          <cell r="D775" t="str">
            <v>PE Pipe Female Thread Adaptor - 32mm x 1"</v>
          </cell>
        </row>
        <row r="776">
          <cell r="D776" t="str">
            <v>PE Pipe Female Thread Adaptor - 50mm x 1-1/2"</v>
          </cell>
        </row>
        <row r="777">
          <cell r="D777" t="str">
            <v>PE Pipe Female Thread Adaptor - 63mm x 2"</v>
          </cell>
        </row>
        <row r="778">
          <cell r="D778" t="str">
            <v>PE Pipe Female Thread Adaptor - 90mm x 3"</v>
          </cell>
        </row>
        <row r="779">
          <cell r="D779" t="str">
            <v>PE Pipe Male Thread Adaptor - 63mm x 2"</v>
          </cell>
        </row>
        <row r="780">
          <cell r="D780" t="str">
            <v>STRAIGHT COUPLER</v>
          </cell>
        </row>
        <row r="781">
          <cell r="D781" t="str">
            <v>PE Pipe Straight Coupler - 20mm x 20mm</v>
          </cell>
        </row>
        <row r="782">
          <cell r="D782" t="str">
            <v>PE Pipe Straight Coupler - 25mm x 25mm</v>
          </cell>
        </row>
        <row r="783">
          <cell r="D783" t="str">
            <v>PE Pipe Straight Coupler - 32mm x 32mm</v>
          </cell>
        </row>
        <row r="784">
          <cell r="D784" t="str">
            <v>PE Pipe Straight Coupler - 40mm x 40mm</v>
          </cell>
        </row>
        <row r="785">
          <cell r="D785" t="str">
            <v>PE Pipe Straight Coupler - 50mm x 50mm</v>
          </cell>
        </row>
        <row r="786">
          <cell r="D786" t="str">
            <v>PE Pipe Straight Coupler - 63mm x 63mm</v>
          </cell>
        </row>
        <row r="787">
          <cell r="D787" t="str">
            <v>PE Pipe Straight Coupler - 75mm x 75mm</v>
          </cell>
        </row>
        <row r="788">
          <cell r="D788" t="str">
            <v>PE Pipe Straight Coupler - 90mm x 90mm</v>
          </cell>
        </row>
        <row r="789">
          <cell r="D789" t="str">
            <v>PE Pipe Straight Coupler - 90mm x 90mm</v>
          </cell>
        </row>
        <row r="790">
          <cell r="D790" t="str">
            <v>REDUCING COUPLER</v>
          </cell>
        </row>
        <row r="791">
          <cell r="D791" t="str">
            <v>PE Pipe Reducing Coupler - 25mm x 20mm</v>
          </cell>
        </row>
        <row r="792">
          <cell r="D792" t="str">
            <v>PE Pipe Reducing Coupler - 32mm x 20mm</v>
          </cell>
        </row>
        <row r="793">
          <cell r="D793" t="str">
            <v>PE Pipe Reducing Coupler - 32mm x 25mm</v>
          </cell>
        </row>
        <row r="794">
          <cell r="D794" t="str">
            <v>PE Pipe Reducing Coupler - 40mm x 32mm</v>
          </cell>
        </row>
        <row r="795">
          <cell r="D795" t="str">
            <v>PE Pipe Reducing Coupler - 50mm x 25mm</v>
          </cell>
        </row>
        <row r="796">
          <cell r="D796" t="str">
            <v>PE Pipe Reducing Coupler - 50mm x 32mm</v>
          </cell>
        </row>
        <row r="797">
          <cell r="D797" t="str">
            <v>PE Pipe Reducing Coupler - 50mm x 40mm</v>
          </cell>
        </row>
        <row r="798">
          <cell r="D798" t="str">
            <v>PE Pipe Reducing Coupler - 63mm x 32mm</v>
          </cell>
        </row>
        <row r="799">
          <cell r="D799" t="str">
            <v>PE Pipe Reducing Coupler - 63mm x 40mm</v>
          </cell>
        </row>
        <row r="800">
          <cell r="D800" t="str">
            <v>PE Pipe Reducing Coupler - 63mm x 50mm</v>
          </cell>
        </row>
        <row r="801">
          <cell r="D801" t="str">
            <v>PE Pipe Reducing Coupler - 90mm x 63mm</v>
          </cell>
        </row>
        <row r="802">
          <cell r="D802" t="str">
            <v>PE Pipe Reducing Coupler - 32mm x 20mm</v>
          </cell>
        </row>
        <row r="803">
          <cell r="D803" t="str">
            <v>END CAP</v>
          </cell>
        </row>
        <row r="804">
          <cell r="D804" t="str">
            <v>PE Pipe End Cap - 20mm</v>
          </cell>
        </row>
        <row r="805">
          <cell r="D805" t="str">
            <v>PE Pipe End Cap - 25mm</v>
          </cell>
        </row>
        <row r="806">
          <cell r="D806" t="str">
            <v>PE Pipe End Cap - 32mm</v>
          </cell>
        </row>
        <row r="807">
          <cell r="D807" t="str">
            <v>PE Pipe End Cap - 40mm</v>
          </cell>
        </row>
        <row r="808">
          <cell r="D808" t="str">
            <v>PE Pipe End Cap - 50mm</v>
          </cell>
        </row>
        <row r="809">
          <cell r="D809" t="str">
            <v>PE Pipe End Cap - 63mm</v>
          </cell>
        </row>
        <row r="810">
          <cell r="D810" t="str">
            <v>PE Pipe End Cap - 90mm</v>
          </cell>
        </row>
        <row r="811">
          <cell r="D811" t="str">
            <v>PE Pipe Reducing Coupler - 90mm x 63mm</v>
          </cell>
        </row>
        <row r="812">
          <cell r="D812" t="str">
            <v>MALE TEE</v>
          </cell>
        </row>
        <row r="813">
          <cell r="D813" t="str">
            <v>PE Pipe Male Tee - 20mm x 1/2"</v>
          </cell>
        </row>
        <row r="814">
          <cell r="D814" t="str">
            <v>PE Pipe Male Tee - 20mm x 3/4"</v>
          </cell>
        </row>
        <row r="815">
          <cell r="D815" t="str">
            <v>PE Pipe Male Tee - 25mm x 1/2"</v>
          </cell>
        </row>
        <row r="816">
          <cell r="D816" t="str">
            <v>PE Pipe Male Tee - 25mm x 3/4"</v>
          </cell>
        </row>
        <row r="817">
          <cell r="D817" t="str">
            <v>PE Pipe Male Tee - 32mm x 3/4"</v>
          </cell>
        </row>
        <row r="818">
          <cell r="D818" t="str">
            <v>PE Pipe Male Tee - 32mm x 1"</v>
          </cell>
        </row>
        <row r="819">
          <cell r="D819" t="str">
            <v>PE Pipe Male Tee - 50mm x 1-1/2"</v>
          </cell>
        </row>
        <row r="820">
          <cell r="D820" t="str">
            <v>PE Pipe Male Tee - 63mm x 2"</v>
          </cell>
        </row>
        <row r="821">
          <cell r="D821" t="str">
            <v>PE Pipe Male Tee - 90mm x 3"</v>
          </cell>
        </row>
        <row r="822">
          <cell r="D822" t="str">
            <v>MALE TEE</v>
          </cell>
        </row>
        <row r="823">
          <cell r="D823" t="str">
            <v>FEMALE TEE</v>
          </cell>
        </row>
        <row r="824">
          <cell r="D824" t="str">
            <v>PE Pipe Female Tee - 20mm x 1/2"</v>
          </cell>
        </row>
        <row r="825">
          <cell r="D825" t="str">
            <v>PE Pipe Female Tee - 20mm x 3/4"</v>
          </cell>
        </row>
        <row r="826">
          <cell r="D826" t="str">
            <v>PE Pipe Female Tee - 25mm x 1/2"</v>
          </cell>
        </row>
        <row r="827">
          <cell r="D827" t="str">
            <v>PE Pipe Female Tee - 25mm x 3/4"</v>
          </cell>
        </row>
        <row r="828">
          <cell r="D828" t="str">
            <v>PE Pipe Female Tee - 32mm x 3/4"</v>
          </cell>
        </row>
        <row r="829">
          <cell r="D829" t="str">
            <v>PE Pipe Female Tee - 32mm x 1"</v>
          </cell>
        </row>
        <row r="830">
          <cell r="D830" t="str">
            <v>PE Pipe Female Tee - 50mm x 1-1/2"</v>
          </cell>
        </row>
        <row r="831">
          <cell r="D831" t="str">
            <v>PE Pipe Female Tee - 63mm x 2"</v>
          </cell>
        </row>
        <row r="832">
          <cell r="D832" t="str">
            <v>PE Pipe Female Tee - 90mm x 3"</v>
          </cell>
        </row>
        <row r="833">
          <cell r="D833" t="str">
            <v>FEMALE TEE</v>
          </cell>
        </row>
        <row r="834">
          <cell r="D834" t="str">
            <v>REDUCING TEE</v>
          </cell>
        </row>
        <row r="835">
          <cell r="D835" t="str">
            <v>PE Pipe Reducing Tee - 25mm x 20mm</v>
          </cell>
        </row>
        <row r="836">
          <cell r="D836" t="str">
            <v>PE Pipe Reducing Tee - 32mm x 20mm</v>
          </cell>
        </row>
        <row r="837">
          <cell r="D837" t="str">
            <v>PE Pipe Reducing Tee - 32mm x 25mm</v>
          </cell>
        </row>
        <row r="838">
          <cell r="D838" t="str">
            <v>PE Pipe Reducing Tee - 40mm x 32mm</v>
          </cell>
        </row>
        <row r="839">
          <cell r="D839" t="str">
            <v>PE Pipe Reducing Tee - 50mm x 32mm</v>
          </cell>
        </row>
        <row r="840">
          <cell r="D840" t="str">
            <v>PE Pipe Reducing Tee - 50mm x 40mm</v>
          </cell>
        </row>
        <row r="841">
          <cell r="D841" t="str">
            <v>PE Pipe Reducing Tee - 63mm x 50mm</v>
          </cell>
        </row>
        <row r="842">
          <cell r="D842" t="str">
            <v>PE Pipe Female Tee - 90mm x 3"</v>
          </cell>
        </row>
        <row r="843">
          <cell r="D843" t="str">
            <v>EQUAL TEE</v>
          </cell>
        </row>
        <row r="844">
          <cell r="D844" t="str">
            <v>PE Pipe Equal Tee - 20mm x 20mm</v>
          </cell>
        </row>
        <row r="845">
          <cell r="D845" t="str">
            <v>PE Pipe Equal Tee - 20mm x 25mm</v>
          </cell>
        </row>
        <row r="846">
          <cell r="D846" t="str">
            <v>PE Pipe Equal Tee - 32mm x 32mm</v>
          </cell>
        </row>
        <row r="847">
          <cell r="D847" t="str">
            <v>PE Pipe Equal Tee - 40mm x 40mm</v>
          </cell>
        </row>
        <row r="848">
          <cell r="D848" t="str">
            <v>PE Pipe Equal Tee - 50mm x 50mm</v>
          </cell>
        </row>
        <row r="849">
          <cell r="D849" t="str">
            <v>PE Pipe Equal Tee - 63mm x 63mm</v>
          </cell>
        </row>
        <row r="850">
          <cell r="D850" t="str">
            <v>PE Pipe Equal Tee - 90mm x 90mm</v>
          </cell>
        </row>
        <row r="851">
          <cell r="D851" t="str">
            <v>PE Pipe Reducing Tee - 63mm x 50mm</v>
          </cell>
        </row>
        <row r="852">
          <cell r="D852" t="str">
            <v>EQUAL BEND 90°</v>
          </cell>
        </row>
        <row r="853">
          <cell r="D853" t="str">
            <v>PE Pipe Equal Bend 90° - 20mm x 20mm</v>
          </cell>
        </row>
        <row r="854">
          <cell r="D854" t="str">
            <v>PE Pipe Equal Bend 90° - 20mm x 25mm</v>
          </cell>
        </row>
        <row r="855">
          <cell r="D855" t="str">
            <v>PE Pipe Equal Bend 90° - 32mm x 32mm</v>
          </cell>
        </row>
        <row r="856">
          <cell r="D856" t="str">
            <v>PE Pipe Equal Bend 90° - 40mm x 40mm</v>
          </cell>
        </row>
        <row r="857">
          <cell r="D857" t="str">
            <v>PE Pipe Equal Bend 90° - 50mm x 50mm</v>
          </cell>
        </row>
        <row r="858">
          <cell r="D858" t="str">
            <v>PE Pipe Equal Bend 90° - 63mm x 63mm</v>
          </cell>
        </row>
        <row r="859">
          <cell r="D859" t="str">
            <v>PE Pipe Equal Bend 90° - 90mm x 90mm</v>
          </cell>
        </row>
        <row r="860">
          <cell r="D860" t="str">
            <v>PE Pipe Equal Tee - 90mm x 90mm</v>
          </cell>
        </row>
        <row r="861">
          <cell r="D861" t="str">
            <v>FEMALE BEND 90°</v>
          </cell>
        </row>
        <row r="862">
          <cell r="D862" t="str">
            <v>PE Pipe Female Bend 90° - 20mm x 1/2"</v>
          </cell>
        </row>
        <row r="863">
          <cell r="D863" t="str">
            <v>PE Pipe Female Bend 90° - 20mm x 3/4"</v>
          </cell>
        </row>
        <row r="864">
          <cell r="D864" t="str">
            <v>PE Pipe Female Bend 90° - 25mm x 1/2"</v>
          </cell>
        </row>
        <row r="865">
          <cell r="D865" t="str">
            <v>PE Pipe Female Bend 90° - 25mm x 3/4"</v>
          </cell>
        </row>
        <row r="866">
          <cell r="D866" t="str">
            <v>PE Pipe Female Bend 90° - 25mm x 1"</v>
          </cell>
        </row>
        <row r="867">
          <cell r="D867" t="str">
            <v>PE Pipe Female Bend 90° - 32mm x 3/4"</v>
          </cell>
        </row>
        <row r="868">
          <cell r="D868" t="str">
            <v>PE Pipe Female Bend 90° - 32mm x 1"</v>
          </cell>
        </row>
        <row r="869">
          <cell r="D869" t="str">
            <v>PE Pipe Female Bend 90° - 50mm x 1-1/2"</v>
          </cell>
        </row>
        <row r="870">
          <cell r="D870" t="str">
            <v>PE Pipe Female Bend 90° - 63mm x 2"</v>
          </cell>
        </row>
        <row r="871">
          <cell r="D871" t="str">
            <v>PE Pipe Female Bend 90° - 90mm x 3"</v>
          </cell>
        </row>
        <row r="872">
          <cell r="D872" t="str">
            <v>PE Pipe Female Bend 90° - 20mm x 1/2"</v>
          </cell>
        </row>
        <row r="873">
          <cell r="D873" t="str">
            <v>MALE BEND 90°</v>
          </cell>
        </row>
        <row r="874">
          <cell r="D874" t="str">
            <v>PE Pipe Male Bend 90° - 20mm x 1/2"</v>
          </cell>
        </row>
        <row r="875">
          <cell r="D875" t="str">
            <v>PE Pipe Male Bend 90° - 20mm x 3/4"</v>
          </cell>
        </row>
        <row r="876">
          <cell r="D876" t="str">
            <v>PE Pipe Male Bend 90° - 25mm x 1/2"</v>
          </cell>
        </row>
        <row r="877">
          <cell r="D877" t="str">
            <v>PE Pipe Male Bend 90° - 25mm x 3/4"</v>
          </cell>
        </row>
        <row r="878">
          <cell r="D878" t="str">
            <v>PE Pipe Male Bend 90° - 25mm x 1"</v>
          </cell>
        </row>
        <row r="879">
          <cell r="D879" t="str">
            <v>PE Pipe Male Bend 90° - 32mm x 3/4"</v>
          </cell>
        </row>
        <row r="880">
          <cell r="D880" t="str">
            <v>PE Pipe Male Bend 90° - 32mm x 1"</v>
          </cell>
        </row>
        <row r="881">
          <cell r="D881" t="str">
            <v>PE Pipe Male Bend 90° - 50mm x 1-1/2"</v>
          </cell>
        </row>
        <row r="882">
          <cell r="D882" t="str">
            <v>PE Pipe Male Bend 90° - 63mm x 2"</v>
          </cell>
        </row>
        <row r="883">
          <cell r="D883" t="str">
            <v>PE Pipe Male Bend 90° - 90mm x 3"</v>
          </cell>
        </row>
        <row r="884">
          <cell r="D884" t="str">
            <v>PE Pipe Male Bend 90° - 20mm x 1/2"</v>
          </cell>
        </row>
        <row r="885">
          <cell r="D885" t="str">
            <v>SINGLE OUTLET SADDLE CLAMP</v>
          </cell>
        </row>
        <row r="886">
          <cell r="D886" t="str">
            <v>PE Pipe Single Outlet Saddle Clamp - 32mm x 3/4"</v>
          </cell>
        </row>
        <row r="887">
          <cell r="D887" t="str">
            <v>PE Pipe Single Outlet Saddle Clamp - 32mm x 1"</v>
          </cell>
        </row>
        <row r="888">
          <cell r="D888" t="str">
            <v>PE Pipe Single Outlet Saddle Clamp - 40mm x 1"</v>
          </cell>
        </row>
        <row r="889">
          <cell r="D889" t="str">
            <v>PE Pipe Single Outlet Saddle Clamp - 50mm x 3/4"</v>
          </cell>
        </row>
        <row r="890">
          <cell r="D890" t="str">
            <v>PE Pipe Single Outlet Saddle Clamp - 50mm x 1"</v>
          </cell>
        </row>
        <row r="891">
          <cell r="D891" t="str">
            <v>PE Pipe Single Outlet Saddle Clamp - 63mm x 3/4"</v>
          </cell>
        </row>
        <row r="892">
          <cell r="D892" t="str">
            <v>PE Pipe Single Outlet Saddle Clamp - 63mm x 1"</v>
          </cell>
        </row>
        <row r="893">
          <cell r="D893" t="str">
            <v>PE Pipe Single Outlet Saddle Clamp - 73mm x 1"</v>
          </cell>
        </row>
        <row r="894">
          <cell r="D894" t="str">
            <v>PE Pipe Single Outlet Saddle Clamp - 90mm x 3/4"</v>
          </cell>
        </row>
        <row r="895">
          <cell r="D895" t="str">
            <v>PE Pipe Single Outlet Saddle Clamp - 90mm x 1"</v>
          </cell>
        </row>
        <row r="896">
          <cell r="D896" t="str">
            <v>PE Pipe Single Outlet Saddle Clamp - 90mm x 2"</v>
          </cell>
        </row>
        <row r="897">
          <cell r="D897" t="str">
            <v>PE Pipe Single Outlet Saddle Clamp - 110mm x 3/4"</v>
          </cell>
        </row>
        <row r="898">
          <cell r="D898" t="str">
            <v>PE Pipe Single Outlet Saddle Clamp - 110mm x 1"</v>
          </cell>
        </row>
        <row r="899">
          <cell r="D899" t="str">
            <v>PE Pipe Single Outlet Saddle Clamp - 110mm x 1-1/4"</v>
          </cell>
        </row>
        <row r="900">
          <cell r="D900" t="str">
            <v>PE Pipe Single Outlet Saddle Clamp - 110mm x 2"</v>
          </cell>
        </row>
        <row r="901">
          <cell r="D901" t="str">
            <v>PE Pipe Single Outlet Saddle Clamp - 160mm x 3/4"</v>
          </cell>
        </row>
        <row r="902">
          <cell r="D902" t="str">
            <v>PE Pipe Single Outlet Saddle Clamp - 160mm x 1"</v>
          </cell>
        </row>
        <row r="903">
          <cell r="D903" t="str">
            <v>PE Pipe Single Outlet Saddle Clamp - 160mm x 2"</v>
          </cell>
        </row>
        <row r="904">
          <cell r="D904" t="str">
            <v>PE Pipe Single Outlet Saddle Clamp - 90mm x 3/4"</v>
          </cell>
        </row>
        <row r="905">
          <cell r="D905" t="str">
            <v>DOUBLE OUTLET SADDLE CLAMP</v>
          </cell>
        </row>
        <row r="906">
          <cell r="D906" t="str">
            <v>PE Pipe Double Outlet Saddle Clamp - 32mm x 3/4" x 3/4"</v>
          </cell>
        </row>
        <row r="907">
          <cell r="D907" t="str">
            <v>PE Pipe Double Outlet Saddle Clamp - 32mm x 1" x 1"</v>
          </cell>
        </row>
        <row r="908">
          <cell r="D908" t="str">
            <v>PE Pipe Double Outlet Saddle Clamp - 50mm x 3/4" x 3/4"</v>
          </cell>
        </row>
        <row r="909">
          <cell r="D909" t="str">
            <v>PE Pipe Double Outlet Saddle Clamp - 50mm x 1" x 1"</v>
          </cell>
        </row>
        <row r="910">
          <cell r="D910" t="str">
            <v>PE Pipe Double Outlet Saddle Clamp - 63mm x 3/4" x 3/4"</v>
          </cell>
        </row>
        <row r="911">
          <cell r="D911" t="str">
            <v>PE Pipe Double Outlet Saddle Clamp - 63mm x 1" x 1"</v>
          </cell>
        </row>
        <row r="912">
          <cell r="D912" t="str">
            <v>PE Pipe Double Outlet Saddle Clamp - 90mm x 3/4" x 3/4"</v>
          </cell>
        </row>
        <row r="913">
          <cell r="D913" t="str">
            <v>PE Pipe Double Outlet Saddle Clamp - 90mm x 1" x 1"</v>
          </cell>
        </row>
        <row r="914">
          <cell r="D914" t="str">
            <v>PE Pipe Double Outlet Saddle Clamp - 90mm x 2" x 2"</v>
          </cell>
        </row>
        <row r="915">
          <cell r="D915" t="str">
            <v>PE Pipe Double Outlet Saddle Clamp - 110mm x 3/4" x 3/4"</v>
          </cell>
        </row>
        <row r="916">
          <cell r="D916" t="str">
            <v>PE Pipe Double Outlet Saddle Clamp - 110mm x 1" x 1"</v>
          </cell>
        </row>
        <row r="917">
          <cell r="D917" t="str">
            <v>PE Pipe Double Outlet Saddle Clamp - 110mm x 2" x 2"</v>
          </cell>
        </row>
        <row r="918">
          <cell r="D918" t="str">
            <v>PE Pipe Double Outlet Saddle Clamp - 160mm x 3/4" x 3/4"</v>
          </cell>
        </row>
        <row r="919">
          <cell r="D919" t="str">
            <v>PE Pipe Double Outlet Saddle Clamp - 160mm x 1" x 1"</v>
          </cell>
        </row>
        <row r="920">
          <cell r="D920" t="str">
            <v>PE Pipe Double Outlet Saddle Clamp - 160mm x 2" x 2"</v>
          </cell>
        </row>
        <row r="921">
          <cell r="D921" t="str">
            <v>PE Pipe Double Outlet Saddle Clamp - 63mm x 1" x 1"</v>
          </cell>
        </row>
        <row r="922">
          <cell r="D922" t="str">
            <v>SPIGOT - Stub End</v>
          </cell>
        </row>
        <row r="923">
          <cell r="D923" t="str">
            <v>PE Pipe Stub End Long Collar - 90mm x 63mm</v>
          </cell>
        </row>
        <row r="924">
          <cell r="D924" t="str">
            <v>PE Pipe Stub End Long Collar - 110mm x 63mm</v>
          </cell>
        </row>
        <row r="925">
          <cell r="D925" t="str">
            <v>PE Pipe Stub End Long Collar - 160mm x 63mm</v>
          </cell>
        </row>
        <row r="926">
          <cell r="D926" t="str">
            <v>PE Pipe Stub End Long Collar - 160mm x 110mm</v>
          </cell>
        </row>
        <row r="927">
          <cell r="D927" t="str">
            <v>PE Pipe Double Outlet Saddle Clamp - 110mm x 2" x 2"</v>
          </cell>
        </row>
        <row r="928">
          <cell r="D928" t="str">
            <v>SPIGOT - Reducer</v>
          </cell>
        </row>
        <row r="929">
          <cell r="D929" t="str">
            <v>PE Pipe (Spigot) Reducer - 63mm</v>
          </cell>
        </row>
        <row r="930">
          <cell r="D930" t="str">
            <v>PE Pipe (Spigot) Reducer - 90mm</v>
          </cell>
        </row>
        <row r="931">
          <cell r="D931" t="str">
            <v>PE Pipe (Spigot) Reducer - 110mm</v>
          </cell>
        </row>
        <row r="932">
          <cell r="D932" t="str">
            <v>PE Pipe (Spigot) Reducer - 160mm</v>
          </cell>
        </row>
        <row r="933">
          <cell r="D933" t="str">
            <v>PE Pipe Stub End Long Collar - 90mm x 63mm</v>
          </cell>
        </row>
        <row r="934">
          <cell r="D934" t="str">
            <v>PE Pipe, SDR 17   25mmØ</v>
          </cell>
        </row>
        <row r="935">
          <cell r="D935" t="str">
            <v>PE Pipe, SDR 17   32mmØ</v>
          </cell>
        </row>
        <row r="936">
          <cell r="D936" t="str">
            <v>PE Pipe, SDR 17   40mmØ</v>
          </cell>
        </row>
        <row r="937">
          <cell r="D937" t="str">
            <v>PE Pipe, SDR 17   50mmØ</v>
          </cell>
        </row>
        <row r="938">
          <cell r="D938" t="str">
            <v>PE Pipe, SDR 17   63mmØ</v>
          </cell>
        </row>
        <row r="939">
          <cell r="D939" t="str">
            <v>PE Pipe, SDR 17  75mmØ</v>
          </cell>
        </row>
        <row r="940">
          <cell r="D940" t="str">
            <v>PE Pipe, SDR 17  90mmØ</v>
          </cell>
        </row>
        <row r="941">
          <cell r="D941" t="str">
            <v>PE Pipe (Spigot) Reducer - 110mm</v>
          </cell>
        </row>
        <row r="942">
          <cell r="D942" t="str">
            <v>3/8" PE Pipe Coupling/Connector</v>
          </cell>
        </row>
        <row r="943">
          <cell r="D943" t="str">
            <v>½" PE Pipe Coupling/Connector</v>
          </cell>
        </row>
        <row r="944">
          <cell r="D944" t="str">
            <v>3/4" PE Pipe Coupling/Connector</v>
          </cell>
        </row>
        <row r="945">
          <cell r="D945" t="str">
            <v>1" PE Pipe Coupling/Connector</v>
          </cell>
        </row>
        <row r="946">
          <cell r="D946" t="str">
            <v>1¼" PE Pipe Coupling/Connector</v>
          </cell>
        </row>
        <row r="947">
          <cell r="D947" t="str">
            <v>1½" PE Pipe Coupling/Connector</v>
          </cell>
        </row>
        <row r="948">
          <cell r="D948" t="str">
            <v>2" PE Pipe Coupling/Connector</v>
          </cell>
        </row>
        <row r="949">
          <cell r="D949" t="str">
            <v>2½" PE Pipe Coupling/Connector</v>
          </cell>
        </row>
        <row r="950">
          <cell r="D950" t="str">
            <v>3" PE Pipe Coupling/Connector</v>
          </cell>
        </row>
        <row r="951">
          <cell r="D951" t="str">
            <v>63mm X 2"dia. Male Adaptor, PLASSON</v>
          </cell>
        </row>
        <row r="952">
          <cell r="D952" t="str">
            <v>75mm X 2½"dia. Male Adaptor, PLASSON</v>
          </cell>
        </row>
        <row r="953">
          <cell r="D953" t="str">
            <v>½" PE Pipe Coupling/Connector</v>
          </cell>
        </row>
        <row r="954">
          <cell r="D954" t="str">
            <v>Butt Fusion</v>
          </cell>
        </row>
        <row r="955">
          <cell r="D955" t="str">
            <v>PE Pipe Butt Fussion - 25mmØ</v>
          </cell>
        </row>
        <row r="956">
          <cell r="D956" t="str">
            <v>PE Pipe Butt Fussion - 32mmØ</v>
          </cell>
        </row>
        <row r="957">
          <cell r="D957" t="str">
            <v>PE Pipe Butt Fussion - 40mmØ</v>
          </cell>
        </row>
        <row r="958">
          <cell r="D958" t="str">
            <v>PE Pipe Butt Fussion - 50mmØ</v>
          </cell>
        </row>
        <row r="959">
          <cell r="D959" t="str">
            <v>PE Pipe Butt Fussion - 63mmØ</v>
          </cell>
        </row>
        <row r="960">
          <cell r="D960" t="str">
            <v>PE Pipe Butt Fussion - 75mmØ</v>
          </cell>
        </row>
        <row r="961">
          <cell r="D961" t="str">
            <v>PE Pipe Butt Fussion - 90mmØ</v>
          </cell>
        </row>
        <row r="962">
          <cell r="D962" t="str">
            <v>75mm X 2½"dia. Male Adaptor, PLASSON</v>
          </cell>
        </row>
        <row r="963">
          <cell r="D963" t="str">
            <v>PE Pipe Butt Fussion - 25mm x 20mm</v>
          </cell>
        </row>
        <row r="964">
          <cell r="D964" t="str">
            <v>PE Pipe Butt Fussion - 32mm x 20mm</v>
          </cell>
        </row>
        <row r="965">
          <cell r="D965" t="str">
            <v>PE Pipe Butt Fussion - 32mm x 25mm</v>
          </cell>
        </row>
        <row r="966">
          <cell r="D966" t="str">
            <v>PE Pipe Butt Fussion - 50mm x 25mm</v>
          </cell>
        </row>
        <row r="967">
          <cell r="D967" t="str">
            <v>PE Pipe Butt Fussion - 50mm x 32mm</v>
          </cell>
        </row>
        <row r="968">
          <cell r="D968" t="str">
            <v>PE Pipe Butt Fussion - 50mm x 40mm</v>
          </cell>
        </row>
        <row r="969">
          <cell r="D969" t="str">
            <v>PE Pipe Butt Fussion - 63mm x 32mm</v>
          </cell>
        </row>
        <row r="970">
          <cell r="D970" t="str">
            <v>PE Pipe Butt Fussion - 63mm x 40mm</v>
          </cell>
        </row>
        <row r="971">
          <cell r="D971" t="str">
            <v>PE Pipe Butt Fussion - 63mm x 50mm</v>
          </cell>
        </row>
        <row r="972">
          <cell r="D972" t="str">
            <v>PE Pipe Butt Fussion - 90mm x 63mm</v>
          </cell>
        </row>
        <row r="973">
          <cell r="D973" t="str">
            <v>PE Pipe Butt Fussion - 25mm x 20mm</v>
          </cell>
        </row>
        <row r="974">
          <cell r="D974" t="str">
            <v>PE Pipe Butt Fussion - 32mm x 20mm</v>
          </cell>
        </row>
        <row r="975">
          <cell r="D975" t="str">
            <v>( SANITARY FIXTURES )</v>
          </cell>
        </row>
        <row r="976">
          <cell r="D976" t="str">
            <v>½" Brass Faucet, Plain Bibb</v>
          </cell>
        </row>
        <row r="977">
          <cell r="D977" t="str">
            <v>Water closet (ordinary)</v>
          </cell>
        </row>
        <row r="978">
          <cell r="D978" t="str">
            <v>Water closet</v>
          </cell>
        </row>
        <row r="979">
          <cell r="D979" t="str">
            <v>Water seal bowl (Pail Flush)</v>
          </cell>
        </row>
        <row r="980">
          <cell r="D980" t="str">
            <v>Lavatory, porcelain</v>
          </cell>
        </row>
        <row r="981">
          <cell r="D981" t="str">
            <v>Kitchen sink ( Aluminum)</v>
          </cell>
        </row>
        <row r="982">
          <cell r="D982" t="str">
            <v>Soap Holder (ceramic)</v>
          </cell>
        </row>
        <row r="983">
          <cell r="D983" t="str">
            <v>Paper Holder (ceramic)</v>
          </cell>
        </row>
        <row r="984">
          <cell r="D984" t="str">
            <v>4x4 Floor drain plate</v>
          </cell>
        </row>
        <row r="985">
          <cell r="D985" t="str">
            <v>6x6 Floor drain plate</v>
          </cell>
        </row>
        <row r="986">
          <cell r="D986" t="str">
            <v>1¼" Jetmatic Pump, Heavy Duty</v>
          </cell>
        </row>
        <row r="987">
          <cell r="D987" t="str">
            <v>Magsaysay Pump, Heavy Duty</v>
          </cell>
        </row>
        <row r="988">
          <cell r="D988" t="str">
            <v>Sink Strainer</v>
          </cell>
        </row>
        <row r="989">
          <cell r="D989" t="str">
            <v>Dome Type Roof Drain</v>
          </cell>
        </row>
        <row r="990">
          <cell r="D990" t="str">
            <v>Kitchen sink (Stainless)</v>
          </cell>
        </row>
        <row r="991">
          <cell r="D991" t="str">
            <v>Brass Faucet</v>
          </cell>
        </row>
        <row r="992">
          <cell r="D992" t="str">
            <v>Stainless Lavatory Faucet</v>
          </cell>
        </row>
        <row r="993">
          <cell r="D993" t="str">
            <v>150mm PVC Sanitary/Sewer Pipe x 3000</v>
          </cell>
        </row>
        <row r="994">
          <cell r="D994" t="str">
            <v>150mm PVC Pipe x 6000</v>
          </cell>
        </row>
        <row r="995">
          <cell r="D995" t="str">
            <v>6x6 Floor drain plate</v>
          </cell>
        </row>
        <row r="996">
          <cell r="D996" t="str">
            <v>( ELECTRICAL WIRES &amp; APURTENANCES )</v>
          </cell>
        </row>
        <row r="997">
          <cell r="D997" t="str">
            <v>#8 AWG TW Wire solid</v>
          </cell>
        </row>
        <row r="998">
          <cell r="D998" t="str">
            <v>#10 AWG TW Wire solid</v>
          </cell>
        </row>
        <row r="999">
          <cell r="D999" t="str">
            <v>#12 AWG TW Wire solid</v>
          </cell>
        </row>
        <row r="1000">
          <cell r="D1000" t="str">
            <v>#14 AWG TW Wire solid</v>
          </cell>
        </row>
        <row r="1001">
          <cell r="D1001" t="str">
            <v>#10 AWG TW Wire stranded</v>
          </cell>
        </row>
        <row r="1002">
          <cell r="D1002" t="str">
            <v>#12 AWG TW Wire stranded</v>
          </cell>
        </row>
        <row r="1003">
          <cell r="D1003" t="str">
            <v>#14 AWG TW Wire stranded</v>
          </cell>
        </row>
        <row r="1004">
          <cell r="D1004" t="str">
            <v>#10  PDX Wire</v>
          </cell>
        </row>
        <row r="1005">
          <cell r="D1005" t="str">
            <v>#12 PDX Wire</v>
          </cell>
        </row>
        <row r="1006">
          <cell r="D1006" t="str">
            <v>#14 PDX Wire</v>
          </cell>
        </row>
        <row r="1007">
          <cell r="D1007" t="str">
            <v>3/4" PolyFlex Pipe</v>
          </cell>
        </row>
        <row r="1008">
          <cell r="D1008" t="str">
            <v>½" Flexible conduit</v>
          </cell>
        </row>
        <row r="1009">
          <cell r="D1009" t="str">
            <v>1" Flexible conduit</v>
          </cell>
        </row>
        <row r="1010">
          <cell r="D1010" t="str">
            <v>½" Entrance Cap</v>
          </cell>
        </row>
        <row r="1011">
          <cell r="D1011" t="str">
            <v>20A Circuit Breakers</v>
          </cell>
        </row>
        <row r="1012">
          <cell r="D1012" t="str">
            <v>30A Circuit Breakers</v>
          </cell>
        </row>
        <row r="1013">
          <cell r="D1013" t="str">
            <v>40A Circuit Breakers</v>
          </cell>
        </row>
        <row r="1014">
          <cell r="D1014" t="str">
            <v>60ACircuit Breakers</v>
          </cell>
        </row>
        <row r="1015">
          <cell r="D1015" t="str">
            <v>100A Circuit Breakers</v>
          </cell>
        </row>
        <row r="1016">
          <cell r="D1016" t="str">
            <v>15A Fuse</v>
          </cell>
        </row>
        <row r="1017">
          <cell r="D1017" t="str">
            <v>20A Fuse</v>
          </cell>
        </row>
        <row r="1018">
          <cell r="D1018" t="str">
            <v>30A Fuse</v>
          </cell>
        </row>
        <row r="1019">
          <cell r="D1019" t="str">
            <v>60A Fuse</v>
          </cell>
        </row>
        <row r="1020">
          <cell r="D1020" t="str">
            <v>30A kWh Meter</v>
          </cell>
        </row>
        <row r="1021">
          <cell r="D1021" t="str">
            <v>60A kWh Meter</v>
          </cell>
        </row>
        <row r="1022">
          <cell r="D1022" t="str">
            <v>100A kWh Meter</v>
          </cell>
        </row>
        <row r="1023">
          <cell r="D1023" t="str">
            <v>2X4, Utility Box</v>
          </cell>
        </row>
        <row r="1024">
          <cell r="D1024" t="str">
            <v>4X4, Junction Box with cover (Square)</v>
          </cell>
        </row>
        <row r="1025">
          <cell r="D1025" t="str">
            <v>4X4, Junction Box with cover (Octagonal)</v>
          </cell>
        </row>
        <row r="1026">
          <cell r="D1026" t="str">
            <v>Porcelain Ceiling Outlet</v>
          </cell>
        </row>
        <row r="1027">
          <cell r="D1027" t="str">
            <v>Duplex convenience outlet (surface type)</v>
          </cell>
        </row>
        <row r="1028">
          <cell r="D1028" t="str">
            <v>Rubber female plug</v>
          </cell>
        </row>
        <row r="1029">
          <cell r="D1029" t="str">
            <v>Electrical Tape</v>
          </cell>
        </row>
        <row r="1030">
          <cell r="D1030" t="str">
            <v>Panel Board, 6-Breakers</v>
          </cell>
        </row>
        <row r="1031">
          <cell r="D1031" t="str">
            <v>One Gang Switch (flush type)</v>
          </cell>
        </row>
        <row r="1032">
          <cell r="D1032" t="str">
            <v>Two Gang Swicth (flush type)</v>
          </cell>
        </row>
        <row r="1033">
          <cell r="D1033" t="str">
            <v>Three Gang Swicth (flush type)</v>
          </cell>
        </row>
        <row r="1034">
          <cell r="D1034" t="str">
            <v>One Gang Outlet (flush type)</v>
          </cell>
        </row>
        <row r="1035">
          <cell r="D1035" t="str">
            <v>Two Gang Outlet (flush type)</v>
          </cell>
        </row>
        <row r="1036">
          <cell r="D1036" t="str">
            <v>Three Gang Outlet (flush type)</v>
          </cell>
        </row>
        <row r="1037">
          <cell r="D1037" t="str">
            <v>1/2" Metal Conduit Pipe, 3.0m</v>
          </cell>
        </row>
        <row r="1038">
          <cell r="D1038" t="str">
            <v>20mmØ PVC Conduit Pipes, 3.0m</v>
          </cell>
        </row>
        <row r="1039">
          <cell r="D1039" t="str">
            <v>Main Switch Box, 2P, Double-Throw</v>
          </cell>
        </row>
        <row r="1040">
          <cell r="D1040" t="str">
            <v>Porcelain Wire Holder</v>
          </cell>
        </row>
        <row r="1041">
          <cell r="D1041" t="str">
            <v>Panel Board, 6-Breakers</v>
          </cell>
        </row>
        <row r="1042">
          <cell r="D1042" t="str">
            <v>( LIGHTS AND LAMPS )</v>
          </cell>
        </row>
        <row r="1043">
          <cell r="D1043" t="str">
            <v>20W 220 V Flourescent Lamp</v>
          </cell>
        </row>
        <row r="1044">
          <cell r="D1044" t="str">
            <v>40W 220 V Flourescent Lamp</v>
          </cell>
        </row>
        <row r="1045">
          <cell r="D1045" t="str">
            <v>20W 220 V Reflectorized Flourescent Lamp, Single Housing</v>
          </cell>
        </row>
        <row r="1046">
          <cell r="D1046" t="str">
            <v>10W Incandescent Bulb</v>
          </cell>
        </row>
        <row r="1047">
          <cell r="D1047" t="str">
            <v>20W Incandescent Bulb</v>
          </cell>
        </row>
        <row r="1048">
          <cell r="D1048" t="str">
            <v>50W Incandescent Bulb</v>
          </cell>
        </row>
        <row r="1049">
          <cell r="D1049" t="str">
            <v>100W Incandescent Bulb</v>
          </cell>
        </row>
        <row r="1050">
          <cell r="D1050" t="str">
            <v>18 W SL 2000 Flourescent Bulb</v>
          </cell>
        </row>
        <row r="1051">
          <cell r="D1051" t="str">
            <v>18 W SL 2000 Flourescent Bulb</v>
          </cell>
        </row>
        <row r="1052">
          <cell r="D1052" t="str">
            <v>Porcelain Wire Holder</v>
          </cell>
        </row>
        <row r="1053">
          <cell r="D1053" t="str">
            <v>( PAINTS &amp; ACCESSORIES )</v>
          </cell>
        </row>
        <row r="1054">
          <cell r="D1054" t="str">
            <v>Latex Paint Flat</v>
          </cell>
        </row>
        <row r="1055">
          <cell r="D1055" t="str">
            <v>Acrylic Latex Paint Flat</v>
          </cell>
        </row>
        <row r="1056">
          <cell r="D1056" t="str">
            <v>Acrylic Semi-Gloss Paint Latex</v>
          </cell>
        </row>
        <row r="1057">
          <cell r="D1057" t="str">
            <v>Acrylic Gloss Latex</v>
          </cell>
        </row>
        <row r="1058">
          <cell r="D1058" t="str">
            <v>Acrylic Clear Gloss Emulsion</v>
          </cell>
        </row>
        <row r="1059">
          <cell r="D1059" t="str">
            <v>Latex High Gloss Enamel</v>
          </cell>
        </row>
        <row r="1060">
          <cell r="D1060" t="str">
            <v>Latex Tinting Color (Water-based)</v>
          </cell>
        </row>
        <row r="1061">
          <cell r="D1061" t="str">
            <v>Quick Drying Enamel</v>
          </cell>
        </row>
        <row r="1062">
          <cell r="D1062" t="str">
            <v>Interior Semi-Gloss Enamel</v>
          </cell>
        </row>
        <row r="1063">
          <cell r="D1063" t="str">
            <v>Flat Wall Enamel</v>
          </cell>
        </row>
        <row r="1064">
          <cell r="D1064" t="str">
            <v>Conc. Primer Sealer</v>
          </cell>
        </row>
        <row r="1065">
          <cell r="D1065" t="str">
            <v>Interior Primer Sealer</v>
          </cell>
        </row>
        <row r="1066">
          <cell r="D1066" t="str">
            <v>Exterior Wood Primer</v>
          </cell>
        </row>
        <row r="1067">
          <cell r="D1067" t="str">
            <v>Prepakote Red Oxide Primer</v>
          </cell>
        </row>
        <row r="1068">
          <cell r="D1068" t="str">
            <v>Zinc Chromate Primer.</v>
          </cell>
        </row>
        <row r="1069">
          <cell r="D1069" t="str">
            <v>Red Lead Primer</v>
          </cell>
        </row>
        <row r="1070">
          <cell r="D1070" t="str">
            <v>Blackboard Paint green</v>
          </cell>
        </row>
        <row r="1071">
          <cell r="D1071" t="str">
            <v>Portland Roofing Paint</v>
          </cell>
        </row>
        <row r="1072">
          <cell r="D1072" t="str">
            <v>Galva wash zinc remover</v>
          </cell>
        </row>
        <row r="1073">
          <cell r="D1073" t="str">
            <v>Sanding Sealer</v>
          </cell>
        </row>
        <row r="1074">
          <cell r="D1074" t="str">
            <v>Clear Gloss Lacquer</v>
          </cell>
        </row>
        <row r="1075">
          <cell r="D1075" t="str">
            <v>Paint Thinner</v>
          </cell>
        </row>
        <row r="1076">
          <cell r="D1076" t="str">
            <v>Concrete Neutralizer</v>
          </cell>
        </row>
        <row r="1077">
          <cell r="D1077" t="str">
            <v>Coal Tar</v>
          </cell>
        </row>
        <row r="1078">
          <cell r="D1078" t="str">
            <v>Wood Stain</v>
          </cell>
        </row>
        <row r="1079">
          <cell r="D1079" t="str">
            <v>Kalsomine powder</v>
          </cell>
        </row>
        <row r="1080">
          <cell r="D1080" t="str">
            <v>Sanding Paper</v>
          </cell>
        </row>
        <row r="1081">
          <cell r="D1081" t="str">
            <v>Epoxy Primer, Boysen</v>
          </cell>
        </row>
        <row r="1082">
          <cell r="D1082" t="str">
            <v>Roller Brush w/ Tray</v>
          </cell>
        </row>
        <row r="1083">
          <cell r="D1083" t="str">
            <v>Paint Brush</v>
          </cell>
        </row>
        <row r="1084">
          <cell r="D1084" t="str">
            <v>Reflectorized Paint</v>
          </cell>
        </row>
        <row r="1085">
          <cell r="D1085" t="str">
            <v>Reflectorized Paint (Black/Yellow)</v>
          </cell>
        </row>
        <row r="1086">
          <cell r="D1086" t="str">
            <v>Marine Paint</v>
          </cell>
        </row>
        <row r="1087">
          <cell r="D1087" t="str">
            <v>Epoxy Enamel, Boysen</v>
          </cell>
        </row>
        <row r="1088">
          <cell r="D1088" t="str">
            <v>Concrete Neutralizer</v>
          </cell>
        </row>
        <row r="1089">
          <cell r="D1089" t="str">
            <v>( PRESERVATIVES )</v>
          </cell>
        </row>
        <row r="1090">
          <cell r="D1090" t="str">
            <v>Wood preservative (Solignum)</v>
          </cell>
        </row>
        <row r="1091">
          <cell r="D1091" t="str">
            <v>Kalsomine powder</v>
          </cell>
        </row>
        <row r="1092">
          <cell r="D1092" t="str">
            <v>( TILES )</v>
          </cell>
        </row>
        <row r="1093">
          <cell r="D1093" t="str">
            <v>Unglazed Tiles  4-1/4" x 4-1/4"</v>
          </cell>
        </row>
        <row r="1094">
          <cell r="D1094" t="str">
            <v>Glazed Tile (Plain Color)  4-1/4" x 4-1/4"</v>
          </cell>
        </row>
        <row r="1095">
          <cell r="D1095" t="str">
            <v>Mosaic Floor Tiles  12 x 12</v>
          </cell>
        </row>
        <row r="1096">
          <cell r="D1096" t="str">
            <v>Glazed Tiles  4" x 4"</v>
          </cell>
        </row>
        <row r="1097">
          <cell r="D1097" t="str">
            <v>Vitirified Tiles  4" x 8"</v>
          </cell>
        </row>
        <row r="1098">
          <cell r="D1098" t="str">
            <v>Floor Tiles (Plain Color)  8" x 8"</v>
          </cell>
        </row>
        <row r="1099">
          <cell r="D1099" t="str">
            <v>Glazed Tiles (Plain Color)  8" x 8"</v>
          </cell>
        </row>
        <row r="1100">
          <cell r="D1100" t="str">
            <v>Vinyl Tiles  8" x 8"</v>
          </cell>
        </row>
        <row r="1101">
          <cell r="D1101" t="str">
            <v>Capping</v>
          </cell>
        </row>
        <row r="1102">
          <cell r="D1102" t="str">
            <v>Internal Bead  4"</v>
          </cell>
        </row>
        <row r="1103">
          <cell r="D1103" t="str">
            <v xml:space="preserve">External Bead  4" </v>
          </cell>
        </row>
        <row r="1104">
          <cell r="D1104" t="str">
            <v>Internal Corner bead</v>
          </cell>
        </row>
        <row r="1105">
          <cell r="D1105" t="str">
            <v>External Corner bead</v>
          </cell>
        </row>
        <row r="1106">
          <cell r="D1106" t="str">
            <v>Unglazed Tiles  4" x 4"</v>
          </cell>
        </row>
        <row r="1107">
          <cell r="D1107" t="str">
            <v>Mosaic Floor Tiles  12 x 12</v>
          </cell>
        </row>
        <row r="1108">
          <cell r="D1108" t="str">
            <v>( INSTRUMENTS )</v>
          </cell>
        </row>
        <row r="1109">
          <cell r="D1109" t="str">
            <v>Weighing Scale w Ht Measurement (Adult)</v>
          </cell>
        </row>
        <row r="1110">
          <cell r="D1110" t="str">
            <v>Weighing Scale (Newborn)</v>
          </cell>
        </row>
        <row r="1111">
          <cell r="D1111" t="str">
            <v>Stethoscope</v>
          </cell>
        </row>
        <row r="1112">
          <cell r="D1112" t="str">
            <v>Medical Trolley w/glass container</v>
          </cell>
        </row>
        <row r="1113">
          <cell r="D1113" t="str">
            <v>Sphygmomanometer (Mercury)</v>
          </cell>
        </row>
        <row r="1114">
          <cell r="D1114" t="str">
            <v>Thermometer</v>
          </cell>
        </row>
        <row r="1115">
          <cell r="D1115" t="str">
            <v>Scissors (Surgical)</v>
          </cell>
        </row>
        <row r="1116">
          <cell r="D1116" t="str">
            <v>Scissors (Bandage)</v>
          </cell>
        </row>
        <row r="1117">
          <cell r="D1117" t="str">
            <v>Forceps (Curve)</v>
          </cell>
        </row>
        <row r="1118">
          <cell r="D1118" t="str">
            <v>Forceps (Straight)</v>
          </cell>
        </row>
        <row r="1119">
          <cell r="D1119" t="str">
            <v>Kidney Basin (Stainless)</v>
          </cell>
        </row>
        <row r="1120">
          <cell r="D1120" t="str">
            <v>Bed Pan (Metal)</v>
          </cell>
        </row>
        <row r="1121">
          <cell r="D1121" t="str">
            <v>Male Urinal</v>
          </cell>
        </row>
        <row r="1122">
          <cell r="D1122" t="str">
            <v>O.B. Bed with Stirrups</v>
          </cell>
        </row>
        <row r="1123">
          <cell r="D1123" t="str">
            <v>Hot Water Bag</v>
          </cell>
        </row>
        <row r="1124">
          <cell r="D1124" t="str">
            <v>Medical Trolley w/glass container</v>
          </cell>
        </row>
        <row r="1125">
          <cell r="D1125" t="str">
            <v>( FURNITURES )</v>
          </cell>
        </row>
        <row r="1126">
          <cell r="D1126" t="str">
            <v>Monoblock Student Chair</v>
          </cell>
        </row>
        <row r="1127">
          <cell r="D1127" t="str">
            <v>Monoblock Chair</v>
          </cell>
        </row>
        <row r="1128">
          <cell r="D1128" t="str">
            <v>Standard Office Table, Wood (SZOPAD Standard)</v>
          </cell>
        </row>
        <row r="1129">
          <cell r="D1129" t="str">
            <v>Blackboard</v>
          </cell>
        </row>
        <row r="1130">
          <cell r="D1130" t="str">
            <v>Kitchen Table, Wood (SZOPAD Standard)</v>
          </cell>
        </row>
        <row r="1131">
          <cell r="D1131" t="str">
            <v>Monoblock Bench (2-seater)</v>
          </cell>
        </row>
        <row r="1132">
          <cell r="D1132" t="str">
            <v>Bed Pan (Metal)</v>
          </cell>
        </row>
        <row r="1133">
          <cell r="D1133" t="str">
            <v>( MOORING &amp; FENDERS )</v>
          </cell>
        </row>
        <row r="1134">
          <cell r="D1134" t="str">
            <v>Mooring Bollard 25T</v>
          </cell>
        </row>
        <row r="1135">
          <cell r="D1135" t="str">
            <v>Mooring Bollard 15T</v>
          </cell>
        </row>
        <row r="1136">
          <cell r="D1136" t="str">
            <v>Mooring Bitt 10T</v>
          </cell>
        </row>
        <row r="1137">
          <cell r="D1137" t="str">
            <v>Mooring Bitt 15T</v>
          </cell>
        </row>
        <row r="1138">
          <cell r="D1138" t="str">
            <v>Mooring Cleat 5T</v>
          </cell>
        </row>
        <row r="1139">
          <cell r="D1139" t="str">
            <v>V-Type Rubber Fender (200x1500) incl. its appurtenances</v>
          </cell>
        </row>
        <row r="1140">
          <cell r="D1140" t="str">
            <v>V-Type Rubber Fender (300x1500) incl. its appurtenances</v>
          </cell>
        </row>
        <row r="1141">
          <cell r="D1141" t="str">
            <v>V-Type Rubber Fender (400x1000) incl. its appurtenances</v>
          </cell>
        </row>
        <row r="1142">
          <cell r="D1142" t="str">
            <v>V-Type Rubber Fender (400x2000) incl. its appurtenances</v>
          </cell>
        </row>
        <row r="1143">
          <cell r="D1143" t="str">
            <v>L Corner Type Rubber Fender (250Hx1000Lx1000L) incl. its appurtenances</v>
          </cell>
        </row>
        <row r="1144">
          <cell r="D1144" t="str">
            <v>Used Tires (800mmØ)</v>
          </cell>
        </row>
        <row r="1145">
          <cell r="D1145" t="str">
            <v>Used Tires (600mmØ)</v>
          </cell>
        </row>
        <row r="1146">
          <cell r="D1146" t="str">
            <v>Used Tires (1000mmØ) and its appurtenances</v>
          </cell>
        </row>
        <row r="1147">
          <cell r="D1147" t="str">
            <v>Mooring Bollard 15T</v>
          </cell>
        </row>
        <row r="1148">
          <cell r="D1148" t="str">
            <v>Mooring Bitt 10T</v>
          </cell>
        </row>
        <row r="1149">
          <cell r="D1149" t="str">
            <v>( LUBRICANT AND OIL )</v>
          </cell>
        </row>
        <row r="1150">
          <cell r="D1150" t="str">
            <v>Used Oil</v>
          </cell>
        </row>
        <row r="1151">
          <cell r="D1151" t="str">
            <v>Oil, No. 110</v>
          </cell>
        </row>
        <row r="1152">
          <cell r="D1152" t="str">
            <v>Gasoline, Regular</v>
          </cell>
        </row>
        <row r="1153">
          <cell r="D1153" t="str">
            <v>V-Type Rubber Fender (400x1000) incl. its appurtenances</v>
          </cell>
        </row>
        <row r="1154">
          <cell r="D1154" t="str">
            <v>( JUNKS &amp; JOB ORDER )</v>
          </cell>
        </row>
        <row r="1155">
          <cell r="D1155" t="str">
            <v>Tension Rod</v>
          </cell>
        </row>
        <row r="1156">
          <cell r="D1156" t="str">
            <v>Steel Plate Cover 0.65 X 0.65 m</v>
          </cell>
        </row>
        <row r="1157">
          <cell r="D1157" t="str">
            <v>Window Grill, Steel</v>
          </cell>
        </row>
        <row r="1158">
          <cell r="D1158" t="str">
            <v xml:space="preserve">Shop-made Door Lock, 5/8" Plain Bar </v>
          </cell>
        </row>
        <row r="1159">
          <cell r="D1159" t="str">
            <v>Fabricated Clamp, 5mm thk x 3"</v>
          </cell>
        </row>
        <row r="1160">
          <cell r="D1160" t="str">
            <v>Used Tires</v>
          </cell>
        </row>
        <row r="1161">
          <cell r="D1161" t="str">
            <v>2.0m X 2.40m  GI Vertical Roll-Up Door</v>
          </cell>
        </row>
        <row r="1162">
          <cell r="D1162" t="str">
            <v>30"  Spherical Roof Vent, Turbine Type</v>
          </cell>
        </row>
        <row r="1163">
          <cell r="D1163" t="str">
            <v>Ga#24 GI Sht Caps</v>
          </cell>
        </row>
        <row r="1164">
          <cell r="D1164" t="str">
            <v>Hard Asphalt Filler</v>
          </cell>
        </row>
        <row r="1165">
          <cell r="D1165" t="str">
            <v>250 x 250 x 3000 Rubbing Timber (Yakal)</v>
          </cell>
        </row>
        <row r="1166">
          <cell r="D1166" t="str">
            <v>Creosoted Wooden Pole 300mmØ x 15m.</v>
          </cell>
        </row>
        <row r="1167">
          <cell r="D1167" t="str">
            <v>Creosoted Wooden Pole 300mmØ x 18m.</v>
          </cell>
        </row>
        <row r="1168">
          <cell r="D1168" t="str">
            <v>Steel Stapples 10mmØ</v>
          </cell>
        </row>
        <row r="1169">
          <cell r="D1169" t="str">
            <v>Fire Extinguishers</v>
          </cell>
        </row>
        <row r="1170">
          <cell r="D1170" t="str">
            <v>Water Proofing Compound &amp; Accessories</v>
          </cell>
        </row>
        <row r="1171">
          <cell r="D1171" t="str">
            <v>Gate Accessories</v>
          </cell>
        </row>
        <row r="1172">
          <cell r="D1172" t="str">
            <v>Electrical &amp; Fixtures</v>
          </cell>
        </row>
        <row r="1173">
          <cell r="D1173" t="str">
            <v>Regulatory Sign</v>
          </cell>
        </row>
        <row r="1174">
          <cell r="D1174" t="str">
            <v>Warning Sign</v>
          </cell>
        </row>
        <row r="1175">
          <cell r="D1175" t="str">
            <v>Elastomeric Bearing Pad Duro 60 (Complete Set)</v>
          </cell>
        </row>
        <row r="1176">
          <cell r="D1176" t="str">
            <v>Restrainer Bolt (25mmØx800</v>
          </cell>
        </row>
        <row r="1177">
          <cell r="D1177" t="str">
            <v>Ga#10 GI Pre-Fab Steel Flex Beam</v>
          </cell>
        </row>
        <row r="1178">
          <cell r="D1178" t="str">
            <v>Ga#10 GI Pre-Fab Steel Flex Beam end</v>
          </cell>
        </row>
        <row r="1179">
          <cell r="D1179" t="str">
            <v>Restrainer Bolt (25mmØx800)</v>
          </cell>
        </row>
        <row r="1180">
          <cell r="D1180" t="str">
            <v>Water Meter</v>
          </cell>
        </row>
        <row r="1181">
          <cell r="D1181" t="str">
            <v>Filter Fabric</v>
          </cell>
        </row>
        <row r="1182">
          <cell r="D1182" t="str">
            <v>Ga# 18 Stainless Steel Tank and Accessories</v>
          </cell>
        </row>
        <row r="1183">
          <cell r="D1183" t="str">
            <v>Engr's Transit</v>
          </cell>
        </row>
        <row r="1184">
          <cell r="D1184" t="str">
            <v>Polyurethane Plastic</v>
          </cell>
        </row>
        <row r="1185">
          <cell r="D1185" t="str">
            <v>Regulatory Sign</v>
          </cell>
        </row>
        <row r="1186">
          <cell r="D1186" t="str">
            <v>Warning Sign</v>
          </cell>
        </row>
        <row r="1187">
          <cell r="D1187" t="str">
            <v>FENESTRATION</v>
          </cell>
        </row>
        <row r="1188">
          <cell r="D1188" t="str">
            <v>Door 1 - Community Center 1</v>
          </cell>
        </row>
        <row r="1189">
          <cell r="D1189" t="str">
            <v>Door 2 - Community Center 1</v>
          </cell>
        </row>
        <row r="1190">
          <cell r="D1190" t="str">
            <v>Window 1 - Community Center 1</v>
          </cell>
        </row>
        <row r="1191">
          <cell r="D1191" t="str">
            <v>Window 2 - Community Center 1</v>
          </cell>
        </row>
        <row r="1192">
          <cell r="D1192" t="str">
            <v>Window 3 - Community Center 1</v>
          </cell>
        </row>
        <row r="1193">
          <cell r="D1193" t="str">
            <v>Filter Fabric</v>
          </cell>
        </row>
        <row r="1194">
          <cell r="D1194" t="str">
            <v>Door 1 - Community Center 2</v>
          </cell>
        </row>
        <row r="1195">
          <cell r="D1195" t="str">
            <v>Door 2 - Community Center 2</v>
          </cell>
        </row>
        <row r="1196">
          <cell r="D1196" t="str">
            <v>Window 1 - Community Center 2</v>
          </cell>
        </row>
        <row r="1197">
          <cell r="D1197" t="str">
            <v>Window 2 - Community Center 2</v>
          </cell>
        </row>
        <row r="1198">
          <cell r="D1198" t="str">
            <v>Window 3 - Community Center 2</v>
          </cell>
        </row>
        <row r="1199">
          <cell r="D1199" t="str">
            <v>FENESTRATION</v>
          </cell>
        </row>
        <row r="1200">
          <cell r="D1200" t="str">
            <v>Door 1 - Community Center 1</v>
          </cell>
        </row>
        <row r="1201">
          <cell r="D1201" t="str">
            <v>FACILITIES FOR ENGINEER</v>
          </cell>
        </row>
        <row r="1202">
          <cell r="D1202" t="str">
            <v>Temporary Field Office/Quarter (2 Container Van w/ Shed)</v>
          </cell>
        </row>
        <row r="1203">
          <cell r="D1203" t="str">
            <v>Temporary Field Office/Quarter</v>
          </cell>
        </row>
        <row r="1204">
          <cell r="D1204" t="str">
            <v>Airconditioning Unit</v>
          </cell>
        </row>
        <row r="1205">
          <cell r="D1205" t="str">
            <v>Computer Pentium 4 w/ HP Deskject Printer (Latest Model)</v>
          </cell>
        </row>
        <row r="1206">
          <cell r="D1206" t="str">
            <v>Office Furnitures/Equipment (Items 81.70, 81.80 and 81.90)</v>
          </cell>
        </row>
        <row r="1207">
          <cell r="D1207" t="str">
            <v>Office Supplies/Water/Electricity</v>
          </cell>
        </row>
        <row r="1208">
          <cell r="D1208" t="str">
            <v>Furnishing on Rental Basis (Mat'ls Laboratory, Operations &amp; Maintenance)</v>
          </cell>
        </row>
        <row r="1209">
          <cell r="D1209" t="str">
            <v>Progress Photographed</v>
          </cell>
        </row>
        <row r="1210">
          <cell r="D1210" t="str">
            <v>Window 3 - Community Center 2</v>
          </cell>
        </row>
        <row r="1211">
          <cell r="D1211" t="str">
            <v>OFFICE FURNITURES</v>
          </cell>
        </row>
        <row r="1212">
          <cell r="D1212" t="str">
            <v>Office Table</v>
          </cell>
        </row>
        <row r="1213">
          <cell r="D1213" t="str">
            <v>Office Chairs</v>
          </cell>
        </row>
        <row r="1214">
          <cell r="D1214" t="str">
            <v>Bench</v>
          </cell>
        </row>
        <row r="1215">
          <cell r="D1215" t="str">
            <v>Plywood Board</v>
          </cell>
        </row>
        <row r="1216">
          <cell r="D1216" t="str">
            <v>Airconditioning Unit</v>
          </cell>
        </row>
        <row r="1217">
          <cell r="D1217" t="str">
            <v>SIGNAGES</v>
          </cell>
        </row>
        <row r="1218">
          <cell r="D1218" t="str">
            <v>Plate Marker</v>
          </cell>
        </row>
        <row r="1219">
          <cell r="D1219" t="str">
            <v>Marker Pedestal</v>
          </cell>
        </row>
        <row r="1220">
          <cell r="D1220" t="str">
            <v>Stainless Steel Plaque</v>
          </cell>
        </row>
        <row r="1221">
          <cell r="D1221" t="str">
            <v>Stainless Steel Plaque w/ Concrete Pedestal</v>
          </cell>
        </row>
        <row r="1222">
          <cell r="D1222" t="str">
            <v>Wooden Type Project Information Signboard</v>
          </cell>
        </row>
        <row r="1223">
          <cell r="D1223" t="str">
            <v>Steel Type Project Information Signboard</v>
          </cell>
        </row>
        <row r="1224">
          <cell r="D1224" t="str">
            <v>Steel Type Project Information Signboard (Tarpaulin w/ Plywood Backing)</v>
          </cell>
        </row>
        <row r="1225">
          <cell r="D1225" t="str">
            <v>Signage</v>
          </cell>
        </row>
        <row r="1226">
          <cell r="D1226" t="str">
            <v>Plate Marker w/ Pedestal</v>
          </cell>
        </row>
        <row r="1227">
          <cell r="D1227" t="str">
            <v>Plywood Board</v>
          </cell>
        </row>
        <row r="1228">
          <cell r="D1228" t="str">
            <v>Solar Dryer</v>
          </cell>
        </row>
        <row r="1229">
          <cell r="D1229" t="str">
            <v>PERMITS &amp; LICENSES</v>
          </cell>
        </row>
        <row r="1230">
          <cell r="D1230" t="str">
            <v>Warehouse</v>
          </cell>
        </row>
        <row r="1231">
          <cell r="D1231" t="str">
            <v>Solar Dryer</v>
          </cell>
        </row>
        <row r="1232">
          <cell r="D1232" t="str">
            <v>Community Center 1</v>
          </cell>
        </row>
        <row r="1233">
          <cell r="D1233" t="str">
            <v>Stainless Steel Plaque w/ Concrete Pedestal</v>
          </cell>
        </row>
        <row r="1234">
          <cell r="D1234" t="str">
            <v>SAFETY</v>
          </cell>
        </row>
        <row r="1235">
          <cell r="D1235" t="str">
            <v>Hard Hats</v>
          </cell>
        </row>
        <row r="1236">
          <cell r="D1236" t="str">
            <v>First Aid Kit</v>
          </cell>
        </row>
        <row r="1237">
          <cell r="D1237" t="str">
            <v>Traffic Barricade Type "D"</v>
          </cell>
        </row>
        <row r="1238">
          <cell r="D1238" t="str">
            <v>4 feet width Plastic Canvas</v>
          </cell>
        </row>
        <row r="1239">
          <cell r="D1239" t="str">
            <v>No.8 diameter Nylon Rope</v>
          </cell>
        </row>
        <row r="1240">
          <cell r="D1240" t="str">
            <v>( LIQUIFIED AND PRESSURE GASES )</v>
          </cell>
        </row>
        <row r="1241">
          <cell r="D1241" t="str">
            <v>Oxygen Gas</v>
          </cell>
        </row>
        <row r="1242">
          <cell r="D1242" t="str">
            <v>Acetylene Gas</v>
          </cell>
        </row>
        <row r="1243">
          <cell r="D1243" t="str">
            <v>Warehouse</v>
          </cell>
        </row>
        <row r="1244">
          <cell r="D1244" t="str">
            <v>Solar Dryer</v>
          </cell>
        </row>
        <row r="1245">
          <cell r="D1245" t="str">
            <v>Community Center 1</v>
          </cell>
        </row>
        <row r="1246">
          <cell r="D1246" t="str">
            <v>Traffic Barricade Type "D"</v>
          </cell>
        </row>
        <row r="1247">
          <cell r="D1247" t="str">
            <v>SAFETY</v>
          </cell>
        </row>
        <row r="1248">
          <cell r="D1248" t="str">
            <v>Hard Hats</v>
          </cell>
        </row>
        <row r="1249">
          <cell r="D1249" t="str">
            <v>First Aid Kit</v>
          </cell>
        </row>
        <row r="1250">
          <cell r="D1250" t="str">
            <v>Traffic Barricade Type "D"</v>
          </cell>
        </row>
        <row r="1251">
          <cell r="D1251" t="str">
            <v>Plastic Canvas (1.2m width)</v>
          </cell>
        </row>
        <row r="1252">
          <cell r="D1252" t="str">
            <v>Nylon Rope</v>
          </cell>
        </row>
        <row r="1253">
          <cell r="D1253" t="str">
            <v>( LIQUIFIED AND PRESSURE GASES )</v>
          </cell>
        </row>
        <row r="1254">
          <cell r="D1254" t="str">
            <v>Oxygen Gas</v>
          </cell>
        </row>
        <row r="1255">
          <cell r="D1255" t="str">
            <v>( LIQUIFIED AND PRESSURE GASES )</v>
          </cell>
        </row>
        <row r="1256">
          <cell r="D1256" t="str">
            <v>Oxygen Gas</v>
          </cell>
        </row>
        <row r="1257">
          <cell r="D1257" t="str">
            <v>Acetylene Gas</v>
          </cell>
        </row>
        <row r="1258">
          <cell r="D1258" t="str">
            <v>Bench</v>
          </cell>
        </row>
        <row r="1259">
          <cell r="D1259" t="str">
            <v>Plywood Board</v>
          </cell>
        </row>
        <row r="1260">
          <cell r="D1260" t="str">
            <v>Plywood Board</v>
          </cell>
        </row>
        <row r="1261">
          <cell r="D1261" t="str">
            <v>SIGNAGES</v>
          </cell>
        </row>
        <row r="1262">
          <cell r="D1262" t="str">
            <v>Plate Marker</v>
          </cell>
        </row>
        <row r="1263">
          <cell r="D1263" t="str">
            <v>Marker Pedestal</v>
          </cell>
        </row>
        <row r="1264">
          <cell r="D1264" t="str">
            <v>Stainless Steel Plaque</v>
          </cell>
        </row>
        <row r="1265">
          <cell r="D1265" t="str">
            <v>Stainless Steel Plaque w/ Concrete Pedestal</v>
          </cell>
        </row>
        <row r="1266">
          <cell r="D1266" t="str">
            <v>Wooden Type Project Information Signboard</v>
          </cell>
        </row>
        <row r="1267">
          <cell r="D1267" t="str">
            <v>Steel Type Project Information Signboard</v>
          </cell>
        </row>
        <row r="1268">
          <cell r="D1268" t="str">
            <v>Steel Type Project Information Signboard (Tarpaulin w/ Plywood Backing)</v>
          </cell>
        </row>
        <row r="1269">
          <cell r="D1269" t="str">
            <v>Signage</v>
          </cell>
        </row>
        <row r="1270">
          <cell r="D1270" t="str">
            <v>Plate Marker w/ Pedestal</v>
          </cell>
        </row>
        <row r="1271">
          <cell r="D1271" t="str">
            <v>Plate Marker w/ Pedestal</v>
          </cell>
        </row>
        <row r="1273">
          <cell r="D1273" t="str">
            <v>PERMITS &amp; LICENSES</v>
          </cell>
        </row>
        <row r="1274">
          <cell r="D1274" t="str">
            <v>Warehouse</v>
          </cell>
        </row>
        <row r="1275">
          <cell r="D1275" t="str">
            <v>Solar Dryer</v>
          </cell>
        </row>
        <row r="1276">
          <cell r="D1276" t="str">
            <v>Community Center 1</v>
          </cell>
        </row>
        <row r="1277">
          <cell r="D1277" t="str">
            <v>Community Center 1</v>
          </cell>
        </row>
        <row r="1278">
          <cell r="D1278" t="str">
            <v>SAFETY</v>
          </cell>
        </row>
        <row r="1279">
          <cell r="D1279" t="str">
            <v>Hard Hats</v>
          </cell>
        </row>
        <row r="1280">
          <cell r="D1280" t="str">
            <v>First Aid Kit</v>
          </cell>
        </row>
        <row r="1281">
          <cell r="D1281" t="str">
            <v>Traffic Barricade Type "D"</v>
          </cell>
        </row>
        <row r="1282">
          <cell r="D1282" t="str">
            <v>Traffic Barricade Type "D"</v>
          </cell>
        </row>
        <row r="1283">
          <cell r="D1283" t="str">
            <v>( LIQUIFIED AND PRESSURE GASES )</v>
          </cell>
        </row>
        <row r="1284">
          <cell r="D1284" t="str">
            <v>Oxygen Gas</v>
          </cell>
        </row>
        <row r="1285">
          <cell r="D1285" t="str">
            <v>Acetylene Gas</v>
          </cell>
        </row>
        <row r="1286">
          <cell r="D1286" t="str">
            <v>Acetylene Gas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ank"/>
      <sheetName val="Scope of Works"/>
      <sheetName val="Compo Bill"/>
      <sheetName val="Detailed"/>
      <sheetName val="Counterpart-Lato2x"/>
      <sheetName val="01Detailed counterpart"/>
      <sheetName val="Counterpart- bATO2X"/>
      <sheetName val="Counterpart"/>
      <sheetName val="Qty Calculation"/>
      <sheetName val="Concrete FENDER PILE"/>
      <sheetName val="BAR CHART"/>
      <sheetName val="Detailed counterpart ref"/>
      <sheetName val="Cost Data Base"/>
      <sheetName val="Menu"/>
      <sheetName val="Materials"/>
      <sheetName val="Manpower"/>
      <sheetName val="Transport"/>
      <sheetName val="Equipment"/>
      <sheetName val="Project List"/>
      <sheetName val="VBA_UsageExample"/>
      <sheetName val="VBA_Wrapper"/>
      <sheetName val="VBA_32bit"/>
      <sheetName val="VBA_16bit"/>
      <sheetName val="CCenter"/>
      <sheetName val="Update"/>
      <sheetName val="Transport Result"/>
      <sheetName val="Aggregates"/>
      <sheetName val="Rod"/>
      <sheetName val="Andrew"/>
      <sheetName val="Bebot"/>
      <sheetName val="Anna"/>
      <sheetName val="Elmer"/>
      <sheetName val="Ruben"/>
      <sheetName val="Rod (7)"/>
      <sheetName val="Rod (8)"/>
      <sheetName val="Sheet1"/>
      <sheetName val="Glenn"/>
      <sheetName val="orig-less det"/>
      <sheetName val="Counterpart-Sitio Kalubian"/>
      <sheetName val="detcount"/>
      <sheetName val="Detailed-orig"/>
      <sheetName val="Qty Take-off"/>
      <sheetName val="ER"/>
      <sheetName val="SWA"/>
      <sheetName val="S-CURVE"/>
      <sheetName val="RCBC RSB QTY "/>
      <sheetName val="Extracted Information"/>
      <sheetName val="Data"/>
      <sheetName val="Numbers"/>
      <sheetName val="Others"/>
      <sheetName val="BOQ"/>
      <sheetName val="Detailed estim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1">
          <cell r="D11" t="str">
            <v xml:space="preserve">[C-??? ] - Kanaway Seaweed Solar Dryer Construction </v>
          </cell>
        </row>
        <row r="13">
          <cell r="D13" t="str">
            <v>( AGGREGATES )</v>
          </cell>
        </row>
        <row r="14">
          <cell r="D14" t="str">
            <v>Sand</v>
          </cell>
        </row>
        <row r="15">
          <cell r="D15" t="str">
            <v>Fine Sand</v>
          </cell>
        </row>
        <row r="16">
          <cell r="D16" t="str">
            <v>Gravel</v>
          </cell>
        </row>
        <row r="17">
          <cell r="D17" t="str">
            <v>Gravel Bedding</v>
          </cell>
        </row>
        <row r="18">
          <cell r="D18" t="str">
            <v>Stone</v>
          </cell>
        </row>
        <row r="19">
          <cell r="D19" t="str">
            <v>Boulders / Stone</v>
          </cell>
        </row>
        <row r="20">
          <cell r="D20" t="str">
            <v>Boulders (20-30 cm dia.)</v>
          </cell>
        </row>
        <row r="21">
          <cell r="D21" t="str">
            <v>Filling Materials</v>
          </cell>
        </row>
        <row r="22">
          <cell r="D22" t="str">
            <v>Aggregate Surface Course (Item 300)</v>
          </cell>
        </row>
        <row r="23">
          <cell r="D23" t="str">
            <v>Aggregate Sub Base Course (Item 200)</v>
          </cell>
        </row>
        <row r="24">
          <cell r="D24" t="str">
            <v>Aggregate Base Course (Item 201)</v>
          </cell>
        </row>
        <row r="25">
          <cell r="D25" t="str">
            <v>Crushed Aggregate Base Course (Item 202)</v>
          </cell>
        </row>
        <row r="26">
          <cell r="D26" t="str">
            <v>Surface Base Course</v>
          </cell>
        </row>
        <row r="27">
          <cell r="D27" t="str">
            <v>Common Borrow</v>
          </cell>
        </row>
        <row r="28">
          <cell r="D28" t="str">
            <v>Gravelfill</v>
          </cell>
        </row>
        <row r="29">
          <cell r="D29" t="str">
            <v>Sand Fill</v>
          </cell>
        </row>
        <row r="30">
          <cell r="D30" t="str">
            <v>Granular Fill</v>
          </cell>
        </row>
        <row r="31">
          <cell r="D31" t="str">
            <v>Rock / Boulder (50-200 kg)</v>
          </cell>
        </row>
        <row r="32">
          <cell r="D32" t="str">
            <v>Rock / Boulder (100-200 kg)</v>
          </cell>
        </row>
        <row r="33">
          <cell r="D33" t="str">
            <v>2" Mixed Gravel</v>
          </cell>
        </row>
        <row r="34">
          <cell r="D34" t="str">
            <v>1" Mixed Gravel</v>
          </cell>
        </row>
        <row r="35">
          <cell r="D35" t="str">
            <v>Screened Pebbles</v>
          </cell>
        </row>
        <row r="37">
          <cell r="D37" t="str">
            <v>( WATER )</v>
          </cell>
        </row>
        <row r="38">
          <cell r="D38" t="str">
            <v>( WATER )</v>
          </cell>
        </row>
        <row r="39">
          <cell r="D39" t="str">
            <v>Water</v>
          </cell>
        </row>
        <row r="40">
          <cell r="D40" t="str">
            <v>( CEMENT )</v>
          </cell>
        </row>
        <row r="41">
          <cell r="D41" t="str">
            <v>( CEMENT )</v>
          </cell>
        </row>
        <row r="42">
          <cell r="D42" t="str">
            <v>Portland Cement 40kg</v>
          </cell>
        </row>
        <row r="43">
          <cell r="D43" t="str">
            <v>Pozzoland Cement 40 kg</v>
          </cell>
        </row>
        <row r="44">
          <cell r="D44" t="str">
            <v>Cement Accelerator (Plasticizer 1000P)</v>
          </cell>
        </row>
        <row r="45">
          <cell r="D45" t="str">
            <v>Waterproofing Cement (Flexcon)</v>
          </cell>
        </row>
        <row r="46">
          <cell r="D46" t="str">
            <v>Red cement</v>
          </cell>
        </row>
        <row r="47">
          <cell r="D47" t="str">
            <v>White Cement</v>
          </cell>
        </row>
        <row r="48">
          <cell r="D48" t="str">
            <v>Water Sealant Cement</v>
          </cell>
        </row>
        <row r="49">
          <cell r="D49" t="str">
            <v>Bentonite</v>
          </cell>
        </row>
        <row r="50">
          <cell r="D50" t="str">
            <v>Epoxy Grout</v>
          </cell>
        </row>
        <row r="51">
          <cell r="D51" t="str">
            <v>Epoxy Resin</v>
          </cell>
        </row>
        <row r="52">
          <cell r="D52" t="str">
            <v>Non-Shrink Grout</v>
          </cell>
        </row>
        <row r="53">
          <cell r="D53" t="str">
            <v>Emulsified Asphalt</v>
          </cell>
        </row>
        <row r="54">
          <cell r="D54" t="str">
            <v>Bituminous Asphalt</v>
          </cell>
        </row>
        <row r="55">
          <cell r="D55" t="str">
            <v>Curing Compound</v>
          </cell>
        </row>
        <row r="56">
          <cell r="D56" t="str">
            <v>( CEMENT PRODUCTS )</v>
          </cell>
        </row>
        <row r="57">
          <cell r="D57" t="str">
            <v>( CEMENT PRODUCTS )</v>
          </cell>
        </row>
        <row r="58">
          <cell r="D58" t="str">
            <v>100mm Conc. Hollow Block</v>
          </cell>
        </row>
        <row r="59">
          <cell r="D59" t="str">
            <v>150mm Conc. Hollow Block</v>
          </cell>
        </row>
        <row r="60">
          <cell r="D60" t="str">
            <v>Decorative Concrete Block (Louver Type)</v>
          </cell>
        </row>
        <row r="61">
          <cell r="D61" t="str">
            <v>250mm x 250mm Decorative Concrete Block</v>
          </cell>
        </row>
        <row r="62">
          <cell r="D62" t="str">
            <v>300mmØ RC Pipe Culvert</v>
          </cell>
        </row>
        <row r="63">
          <cell r="D63" t="str">
            <v>460mmØ RC Pipe Culvert</v>
          </cell>
        </row>
        <row r="64">
          <cell r="D64" t="str">
            <v>610mmØ RC Pipe Culvert</v>
          </cell>
        </row>
        <row r="65">
          <cell r="D65" t="str">
            <v>760mmØ RC Pipe Culvert</v>
          </cell>
        </row>
        <row r="66">
          <cell r="D66" t="str">
            <v>910mmØ RC Pipe Culvert</v>
          </cell>
        </row>
        <row r="67">
          <cell r="D67" t="str">
            <v>1220mmØ RC Pipe Culvert</v>
          </cell>
        </row>
        <row r="68">
          <cell r="D68" t="str">
            <v>1520mmØ RC Pipe Culvert</v>
          </cell>
        </row>
        <row r="69">
          <cell r="D69" t="str">
            <v>3"dia. Conc. Baluster, 18"</v>
          </cell>
        </row>
        <row r="70">
          <cell r="D70" t="str">
            <v>PRESTRESSED PILES</v>
          </cell>
        </row>
        <row r="71">
          <cell r="D71" t="str">
            <v>PRESTRESSED PILES</v>
          </cell>
        </row>
        <row r="72">
          <cell r="D72" t="str">
            <v>PSC Piles, 400mm x 400mm x 10m.</v>
          </cell>
        </row>
        <row r="73">
          <cell r="D73" t="str">
            <v>PSC Piles, 400mm x 400mm x 10m.</v>
          </cell>
        </row>
        <row r="74">
          <cell r="D74" t="str">
            <v>PSC Piles, 400mm x 400mm x 12m.</v>
          </cell>
        </row>
        <row r="75">
          <cell r="D75" t="str">
            <v>PSC Piles, 400mm x 400mm x 14m.</v>
          </cell>
        </row>
        <row r="76">
          <cell r="D76" t="str">
            <v>PSC Piles, 400mm x 400mm x 21m.</v>
          </cell>
        </row>
        <row r="77">
          <cell r="D77" t="str">
            <v>PSC Piles, 400mm x 400mm x 22m.</v>
          </cell>
        </row>
        <row r="78">
          <cell r="D78" t="str">
            <v>PSC Piles, 400mm x 400mm x 24m.</v>
          </cell>
        </row>
        <row r="79">
          <cell r="D79" t="str">
            <v>PSC Test Piles, 400mm x 400mm x 10m.</v>
          </cell>
        </row>
        <row r="80">
          <cell r="D80" t="str">
            <v>PSC Test Piles, 400mm x 400mm x 10m.</v>
          </cell>
        </row>
        <row r="81">
          <cell r="D81" t="str">
            <v>PSC Test Piles, 400mm x 400mm x 12m.</v>
          </cell>
        </row>
        <row r="82">
          <cell r="D82" t="str">
            <v>PSC Test Piles, 400mm x 400mm x 14m.</v>
          </cell>
        </row>
        <row r="83">
          <cell r="D83" t="str">
            <v>PSC Test Piles, 400mm x 400mm x 21m.</v>
          </cell>
        </row>
        <row r="84">
          <cell r="D84" t="str">
            <v>PSC Test Piles, 400mm x 400mm x 22m.</v>
          </cell>
        </row>
        <row r="85">
          <cell r="D85" t="str">
            <v xml:space="preserve">PSC Test Piles, 400mm x 400mm x 24m. </v>
          </cell>
        </row>
        <row r="87">
          <cell r="D87" t="str">
            <v xml:space="preserve">PSC Test Piles, 450mm x 450mm x 35m. </v>
          </cell>
        </row>
        <row r="88">
          <cell r="D88" t="str">
            <v xml:space="preserve">PSC Test Piles, 450mm x 450mm x 35m. </v>
          </cell>
        </row>
        <row r="89">
          <cell r="D89" t="str">
            <v>PSC Piles, 450mm x 450mm x 35m.</v>
          </cell>
        </row>
        <row r="90">
          <cell r="D90" t="str">
            <v xml:space="preserve">PSC Test Piles, 450mm x 450mm x 25m. </v>
          </cell>
        </row>
        <row r="91">
          <cell r="D91" t="str">
            <v>PSC Piles, 450mm x 450mm x 25m.</v>
          </cell>
        </row>
        <row r="93">
          <cell r="D93" t="str">
            <v xml:space="preserve">PSC Test Piles, 400mm x 400mm x 40m. </v>
          </cell>
        </row>
        <row r="94">
          <cell r="D94" t="str">
            <v xml:space="preserve">PSC Test Piles, 400mm x 400mm x 40m. </v>
          </cell>
        </row>
        <row r="95">
          <cell r="D95" t="str">
            <v>PSC Piles, 400mm x 400mm x 40m.</v>
          </cell>
        </row>
        <row r="97">
          <cell r="D97" t="str">
            <v xml:space="preserve">PSC Test Piles - 400mm x 400mm x 24m. </v>
          </cell>
        </row>
        <row r="98">
          <cell r="D98" t="str">
            <v xml:space="preserve">PSC Test Piles - 400mm x 400mm x 24m. </v>
          </cell>
        </row>
        <row r="99">
          <cell r="D99" t="str">
            <v>PSC Piles - 400mm x 400mm x 24m.</v>
          </cell>
        </row>
        <row r="102">
          <cell r="D102" t="str">
            <v>Steel Piles</v>
          </cell>
        </row>
        <row r="103">
          <cell r="D103" t="str">
            <v>Steel Piles</v>
          </cell>
        </row>
        <row r="104">
          <cell r="D104" t="str">
            <v>Steel Sheet Pile (PZ27)</v>
          </cell>
        </row>
        <row r="105">
          <cell r="D105" t="str">
            <v>Steel Sheet Piles (PZ27)</v>
          </cell>
        </row>
        <row r="106">
          <cell r="D106" t="str">
            <v>Steel Pipe Pile (Ø 450 x 12t x 18m. - SKK400)</v>
          </cell>
        </row>
        <row r="107">
          <cell r="D107" t="str">
            <v>Steel Pipe Pile (Ø 150 x 12t x 6m. - SKK400)</v>
          </cell>
        </row>
        <row r="108">
          <cell r="D108" t="str">
            <v>Steel Sheet Pile (for Cofferdam)</v>
          </cell>
        </row>
        <row r="110">
          <cell r="D110" t="str">
            <v>( TIMBER and INDIGENOUS MATERIALS )</v>
          </cell>
        </row>
        <row r="111">
          <cell r="D111" t="str">
            <v>( TIMBER and INDIGENOUS MATERIALS )</v>
          </cell>
        </row>
        <row r="112">
          <cell r="D112" t="str">
            <v>Yakal Specie</v>
          </cell>
        </row>
        <row r="113">
          <cell r="D113" t="str">
            <v>1" x 6" (Yakal)</v>
          </cell>
        </row>
        <row r="114">
          <cell r="D114" t="str">
            <v>1" x 8" (Yakal)</v>
          </cell>
        </row>
        <row r="115">
          <cell r="D115" t="str">
            <v>2" x 2" (Yakal)</v>
          </cell>
        </row>
        <row r="116">
          <cell r="D116" t="str">
            <v>2" x 6" (Yakal)</v>
          </cell>
        </row>
        <row r="117">
          <cell r="D117" t="str">
            <v>2" x 4" (Yakal or equivalent)</v>
          </cell>
        </row>
        <row r="118">
          <cell r="D118" t="str">
            <v>2" x 4" (Yakal)</v>
          </cell>
        </row>
        <row r="119">
          <cell r="D119" t="str">
            <v>2" x 3" (Yakal)</v>
          </cell>
        </row>
        <row r="120">
          <cell r="D120" t="str">
            <v>2" x 3" (Yakal or equivalent)</v>
          </cell>
        </row>
        <row r="121">
          <cell r="D121" t="str">
            <v>2" x 6" (Yakal or equivalent)</v>
          </cell>
        </row>
        <row r="122">
          <cell r="D122" t="str">
            <v>2" x 6" x 6' (Yakal)</v>
          </cell>
        </row>
        <row r="123">
          <cell r="D123" t="str">
            <v>2" x 6" x 6' (Yakal or equivalent)</v>
          </cell>
        </row>
        <row r="124">
          <cell r="D124" t="str">
            <v>2" x 6" x 8' (Yakal)</v>
          </cell>
        </row>
        <row r="125">
          <cell r="D125" t="str">
            <v>2" x 6" x 10' (Yakal)</v>
          </cell>
        </row>
        <row r="126">
          <cell r="D126" t="str">
            <v>2" x 6" x 12' (Yakal)</v>
          </cell>
        </row>
        <row r="127">
          <cell r="D127" t="str">
            <v>2" x 6" x 14' (Yakal)</v>
          </cell>
        </row>
        <row r="128">
          <cell r="D128" t="str">
            <v>3" x 4" (Yakal)</v>
          </cell>
        </row>
        <row r="129">
          <cell r="D129" t="str">
            <v>4" x 4" (Yakal)</v>
          </cell>
        </row>
        <row r="130">
          <cell r="D130" t="str">
            <v>3" x 4" (Yakal or equivalent)</v>
          </cell>
        </row>
        <row r="131">
          <cell r="D131" t="str">
            <v>3" x 4" x 8' (Yakal)</v>
          </cell>
        </row>
        <row r="132">
          <cell r="D132" t="str">
            <v>3" x 4" x 10' (Yakal)</v>
          </cell>
        </row>
        <row r="133">
          <cell r="D133" t="str">
            <v>6" x 6" (Yakal)</v>
          </cell>
        </row>
        <row r="134">
          <cell r="D134" t="str">
            <v>6" x 6" (Yakal or equivalent)</v>
          </cell>
        </row>
        <row r="135">
          <cell r="D135" t="str">
            <v>Yakal</v>
          </cell>
        </row>
        <row r="138">
          <cell r="D138" t="str">
            <v>Molave Specie</v>
          </cell>
        </row>
        <row r="139">
          <cell r="D139" t="str">
            <v>Molave Specie</v>
          </cell>
        </row>
        <row r="140">
          <cell r="D140" t="str">
            <v>6" x 6" (Molave)</v>
          </cell>
        </row>
        <row r="141">
          <cell r="D141" t="str">
            <v>6" x 6" (Molave or equivalent)</v>
          </cell>
        </row>
        <row r="142">
          <cell r="D142" t="str">
            <v>6" x 6" x 10' (Yakal)</v>
          </cell>
        </row>
        <row r="143">
          <cell r="D143" t="str">
            <v>6" x 6" x 8' (Molave)</v>
          </cell>
        </row>
        <row r="144">
          <cell r="D144" t="str">
            <v>6" x 6" x 10' (Molave)</v>
          </cell>
        </row>
        <row r="145">
          <cell r="D145" t="str">
            <v>6" x 6" x 14' (Molave)</v>
          </cell>
        </row>
        <row r="146">
          <cell r="D146" t="str">
            <v>6" x 6" x 16' (Molave)</v>
          </cell>
        </row>
        <row r="147">
          <cell r="D147" t="str">
            <v>6" x 6" x 18' (Molave)</v>
          </cell>
        </row>
        <row r="148">
          <cell r="D148" t="str">
            <v>6" x 6" x 20' (Molave)</v>
          </cell>
        </row>
        <row r="149">
          <cell r="D149" t="str">
            <v>6" x 6" x 22' (Molave)</v>
          </cell>
        </row>
        <row r="150">
          <cell r="D150" t="str">
            <v>8" Ø Molave Pile</v>
          </cell>
        </row>
        <row r="151">
          <cell r="D151" t="str">
            <v>Tambulian Specie</v>
          </cell>
        </row>
        <row r="152">
          <cell r="D152" t="str">
            <v>Tambulian Specie</v>
          </cell>
        </row>
        <row r="153">
          <cell r="D153" t="str">
            <v>Tambulian</v>
          </cell>
        </row>
        <row r="155">
          <cell r="D155" t="str">
            <v>Gullum Specie</v>
          </cell>
        </row>
        <row r="156">
          <cell r="D156" t="str">
            <v>Gullum Specie</v>
          </cell>
        </row>
        <row r="157">
          <cell r="D157" t="str">
            <v>Gullum</v>
          </cell>
        </row>
        <row r="158">
          <cell r="D158" t="str">
            <v>Lauan Specie</v>
          </cell>
        </row>
        <row r="159">
          <cell r="D159" t="str">
            <v>Lauan Specie</v>
          </cell>
        </row>
        <row r="160">
          <cell r="D160" t="str">
            <v>Lauan</v>
          </cell>
        </row>
        <row r="162">
          <cell r="D162" t="str">
            <v>Others Specie</v>
          </cell>
        </row>
        <row r="163">
          <cell r="D163" t="str">
            <v>Others Specie</v>
          </cell>
        </row>
        <row r="164">
          <cell r="D164" t="str">
            <v>Guijo</v>
          </cell>
        </row>
        <row r="165">
          <cell r="D165" t="str">
            <v>Apitong</v>
          </cell>
        </row>
        <row r="166">
          <cell r="D166" t="str">
            <v>Coco Trunks</v>
          </cell>
        </row>
        <row r="167">
          <cell r="D167" t="str">
            <v>Coco Lumber</v>
          </cell>
        </row>
        <row r="168">
          <cell r="D168" t="str">
            <v>Coco Lumber (Miscut)</v>
          </cell>
        </row>
        <row r="169">
          <cell r="D169" t="str">
            <v>Falsework &amp; Scaffolds (Coco Lumber)</v>
          </cell>
        </row>
        <row r="170">
          <cell r="D170" t="str">
            <v>Falsework, Scaffolds &amp; Formworks (Coco Lumber)</v>
          </cell>
        </row>
        <row r="171">
          <cell r="D171" t="str">
            <v>Bamboo Poles</v>
          </cell>
        </row>
        <row r="172">
          <cell r="D172" t="str">
            <v>1½"   Bamboo Slats</v>
          </cell>
        </row>
        <row r="173">
          <cell r="D173" t="str">
            <v>Bamboo Slats</v>
          </cell>
        </row>
        <row r="174">
          <cell r="D174" t="str">
            <v>Bacauan</v>
          </cell>
        </row>
        <row r="175">
          <cell r="D175" t="str">
            <v>Tambulian or Equivalent</v>
          </cell>
        </row>
        <row r="176">
          <cell r="D176" t="str">
            <v>Nipa Shingles</v>
          </cell>
        </row>
        <row r="177">
          <cell r="D177" t="str">
            <v>Gemilina</v>
          </cell>
        </row>
        <row r="178">
          <cell r="D178" t="str">
            <v>( TIMBER PRODUCTS )</v>
          </cell>
        </row>
        <row r="179">
          <cell r="D179" t="str">
            <v>( TIMBER PRODUCTS )</v>
          </cell>
        </row>
        <row r="180">
          <cell r="D180" t="str">
            <v>Mouldings and Slats</v>
          </cell>
        </row>
        <row r="181">
          <cell r="D181" t="str">
            <v>S-Type Mouldings/Cornice</v>
          </cell>
        </row>
        <row r="182">
          <cell r="D182" t="str">
            <v>0.70 x 1.00 fixed Louvers</v>
          </cell>
        </row>
        <row r="183">
          <cell r="D183" t="str">
            <v>Wall Boards, T&amp;G, stone-cut, etc.</v>
          </cell>
        </row>
        <row r="184">
          <cell r="D184" t="str">
            <v>¼" thk, Ordinary Plywood</v>
          </cell>
        </row>
        <row r="185">
          <cell r="D185" t="str">
            <v>3/8" thk, Ordinary Plywood</v>
          </cell>
        </row>
        <row r="186">
          <cell r="D186" t="str">
            <v>½" thk, Ordinary Plywood</v>
          </cell>
        </row>
        <row r="187">
          <cell r="D187" t="str">
            <v>½" thk, Hardiflex</v>
          </cell>
        </row>
        <row r="188">
          <cell r="D188" t="str">
            <v>3/4" thk,  Ordinary Plywood</v>
          </cell>
        </row>
        <row r="189">
          <cell r="D189" t="str">
            <v>¼" thk,  Marine Plywood</v>
          </cell>
        </row>
        <row r="190">
          <cell r="D190" t="str">
            <v>½" thk,  Marine Plywood</v>
          </cell>
        </row>
        <row r="191">
          <cell r="D191" t="str">
            <v>3/8" thk,  Form Plywood</v>
          </cell>
        </row>
        <row r="192">
          <cell r="D192" t="str">
            <v>4" x 8' Stone-Cut T&amp;G</v>
          </cell>
        </row>
        <row r="193">
          <cell r="D193" t="str">
            <v>4" x 8' Stone-Cut T&amp;G</v>
          </cell>
        </row>
        <row r="194">
          <cell r="D194" t="str">
            <v>Wooden Door Set</v>
          </cell>
        </row>
        <row r="195">
          <cell r="D195" t="str">
            <v>Wooden Window Set w/ Steel Grilles</v>
          </cell>
        </row>
        <row r="196">
          <cell r="D196" t="str">
            <v>Wooden Window-1 Set w/ Steel Grilles</v>
          </cell>
        </row>
        <row r="197">
          <cell r="D197" t="str">
            <v>Wooden Window-2 Set w/ Steel Grilles</v>
          </cell>
        </row>
        <row r="198">
          <cell r="D198" t="str">
            <v>Wooden Window-2 Set w/ Steel Grilles</v>
          </cell>
        </row>
        <row r="199">
          <cell r="D199" t="str">
            <v>Wooden Door-1 Set</v>
          </cell>
        </row>
        <row r="200">
          <cell r="D200" t="str">
            <v>Wooden Door-2 Set</v>
          </cell>
        </row>
        <row r="201">
          <cell r="D201" t="str">
            <v>Wooden Door-3 Set</v>
          </cell>
        </row>
        <row r="202">
          <cell r="D202" t="str">
            <v>Wooden Window Set</v>
          </cell>
        </row>
        <row r="203">
          <cell r="D203" t="str">
            <v>Wooden Window Set</v>
          </cell>
        </row>
        <row r="204">
          <cell r="D204" t="str">
            <v>Wooden Window Set w/ Steel Grilles</v>
          </cell>
        </row>
        <row r="205">
          <cell r="D205" t="str">
            <v>Wooden Window Set w/ Steel Grilles</v>
          </cell>
        </row>
        <row r="206">
          <cell r="D206" t="str">
            <v>Wooden Window-1 Set w/ Steel Grilles</v>
          </cell>
        </row>
        <row r="207">
          <cell r="D207" t="str">
            <v>Wooden Window-2 Set w/ Steel Grilles</v>
          </cell>
        </row>
        <row r="208">
          <cell r="D208" t="str">
            <v>Wooden Window-2 Set w/ Steel Grilles</v>
          </cell>
        </row>
        <row r="209">
          <cell r="D209" t="str">
            <v>( FLAT &amp; ROUND STEEL BARS )</v>
          </cell>
        </row>
        <row r="210">
          <cell r="D210" t="str">
            <v>( FLAT &amp; ROUND STEEL BARS )</v>
          </cell>
        </row>
        <row r="211">
          <cell r="D211" t="str">
            <v>Deformed Bars, Grade 60</v>
          </cell>
        </row>
        <row r="212">
          <cell r="D212" t="str">
            <v>Deformed Bars, Grade 40</v>
          </cell>
        </row>
        <row r="213">
          <cell r="D213" t="str">
            <v>Deformed Bars, Grade 33</v>
          </cell>
        </row>
        <row r="214">
          <cell r="D214" t="str">
            <v xml:space="preserve">6mmØ x 6m. RSB </v>
          </cell>
        </row>
        <row r="215">
          <cell r="D215" t="str">
            <v xml:space="preserve">8mmØ x 6m. RSB </v>
          </cell>
        </row>
        <row r="216">
          <cell r="D216" t="str">
            <v xml:space="preserve">10mmØ x 6m. RSB </v>
          </cell>
        </row>
        <row r="217">
          <cell r="D217" t="str">
            <v xml:space="preserve">12mmØ x 6m. RSB </v>
          </cell>
        </row>
        <row r="218">
          <cell r="D218" t="str">
            <v>Deformed Bars, (414 Mpa)</v>
          </cell>
        </row>
        <row r="219">
          <cell r="D219" t="str">
            <v>Deformed Bars, Grade 33</v>
          </cell>
        </row>
        <row r="220">
          <cell r="D220" t="str">
            <v>Deformed Bars, (230 Mpa)</v>
          </cell>
        </row>
        <row r="221">
          <cell r="D221" t="str">
            <v>Plain Round Bars, Grade 33</v>
          </cell>
        </row>
        <row r="222">
          <cell r="D222" t="str">
            <v>12mm  Suction Rod with Threaded Coupling</v>
          </cell>
        </row>
        <row r="223">
          <cell r="D223" t="str">
            <v>Square Bar</v>
          </cell>
        </row>
        <row r="224">
          <cell r="D224" t="str">
            <v>¼" X 2½" Flat Bar</v>
          </cell>
        </row>
        <row r="225">
          <cell r="D225" t="str">
            <v>3mm x 40mm Flat Bar</v>
          </cell>
        </row>
        <row r="226">
          <cell r="D226" t="str">
            <v>63mm x 4.5mm Flat Bar</v>
          </cell>
        </row>
        <row r="227">
          <cell r="D227" t="str">
            <v>36mmØ Splicing Bar</v>
          </cell>
        </row>
        <row r="228">
          <cell r="D228" t="str">
            <v>36mmØ Splicing Bar</v>
          </cell>
        </row>
        <row r="229">
          <cell r="D229" t="str">
            <v>10mmØ x 6m. RSB Grade 33</v>
          </cell>
        </row>
        <row r="230">
          <cell r="D230" t="str">
            <v>10mmØ x 6m. RSB Grade 33</v>
          </cell>
        </row>
        <row r="231">
          <cell r="D231" t="str">
            <v>10mmØ x 9m. RSB Grade 33</v>
          </cell>
        </row>
        <row r="232">
          <cell r="D232" t="str">
            <v>12mmØ x 6m. RSB Grade 33</v>
          </cell>
        </row>
        <row r="233">
          <cell r="D233" t="str">
            <v>12mmØ x 7.5m. RSB Grade 33</v>
          </cell>
        </row>
        <row r="234">
          <cell r="D234" t="str">
            <v>12mmØ x 9m. RSB Grade 33</v>
          </cell>
        </row>
        <row r="235">
          <cell r="D235" t="str">
            <v>16mmØ x 6m. RSB Grade 33</v>
          </cell>
        </row>
        <row r="236">
          <cell r="D236" t="str">
            <v>16mmØ x 7.5m. RSB Grade 33</v>
          </cell>
        </row>
        <row r="237">
          <cell r="D237" t="str">
            <v>16mmØ x 9m. RSB Grade 33</v>
          </cell>
        </row>
        <row r="238">
          <cell r="D238" t="str">
            <v>20mmØ x 6m. RSB Grade 33</v>
          </cell>
        </row>
        <row r="239">
          <cell r="D239" t="str">
            <v>20mmØ x 7.5m. RSB Grade 33</v>
          </cell>
        </row>
        <row r="240">
          <cell r="D240" t="str">
            <v>20mmØ x 9m. RSB Grade 33</v>
          </cell>
        </row>
        <row r="241">
          <cell r="D241" t="str">
            <v>25mmØ x 6m. RSB Grade 33</v>
          </cell>
        </row>
        <row r="242">
          <cell r="D242" t="str">
            <v>25mmØ x 7.5m. RSB Grade 33</v>
          </cell>
        </row>
        <row r="243">
          <cell r="D243" t="str">
            <v>25mmØ x 9m. RSB Grade 33</v>
          </cell>
        </row>
        <row r="244">
          <cell r="D244" t="str">
            <v>25mmØ x 9m. RSB Grade 33</v>
          </cell>
        </row>
        <row r="245">
          <cell r="D245" t="str">
            <v>6mmØ - Grade 33</v>
          </cell>
        </row>
        <row r="246">
          <cell r="D246" t="str">
            <v>8mmØ - Grade 33</v>
          </cell>
        </row>
        <row r="247">
          <cell r="D247" t="str">
            <v>10mmØ - Grade 33</v>
          </cell>
        </row>
        <row r="248">
          <cell r="D248" t="str">
            <v>12mmØ - Grade 33</v>
          </cell>
        </row>
        <row r="249">
          <cell r="D249" t="str">
            <v>16mmØ - Grade 33</v>
          </cell>
        </row>
        <row r="250">
          <cell r="D250" t="str">
            <v>20mmØ - Grade 33</v>
          </cell>
        </row>
        <row r="251">
          <cell r="D251" t="str">
            <v>25mmØ - Grade 33</v>
          </cell>
        </row>
        <row r="252">
          <cell r="D252" t="str">
            <v>Reinforcing Bars - Grade 33</v>
          </cell>
        </row>
        <row r="253">
          <cell r="D253" t="str">
            <v>Reinforcing Bars - Grade 33</v>
          </cell>
        </row>
        <row r="254">
          <cell r="D254" t="str">
            <v>6mmØ - Grade 40</v>
          </cell>
        </row>
        <row r="255">
          <cell r="D255" t="str">
            <v>8mmØ - Grade 40</v>
          </cell>
        </row>
        <row r="256">
          <cell r="D256" t="str">
            <v>10mmØ - Grade 40</v>
          </cell>
        </row>
        <row r="257">
          <cell r="D257" t="str">
            <v>12mmØ - Grade 40</v>
          </cell>
        </row>
        <row r="258">
          <cell r="D258" t="str">
            <v>16mmØ - Grade 40</v>
          </cell>
        </row>
        <row r="259">
          <cell r="D259" t="str">
            <v>20mmØ - Grade 40</v>
          </cell>
        </row>
        <row r="260">
          <cell r="D260" t="str">
            <v>25mmØ - Grade 40</v>
          </cell>
        </row>
        <row r="261">
          <cell r="D261" t="str">
            <v>25mmØ - Grade 40</v>
          </cell>
        </row>
        <row r="262">
          <cell r="D262" t="str">
            <v>10mmØ - Stainless Steel Rod Grade 30</v>
          </cell>
        </row>
        <row r="263">
          <cell r="D263" t="str">
            <v>10mmØ - Stainless Steel Turn Buckle Grade 30</v>
          </cell>
        </row>
        <row r="264">
          <cell r="D264" t="str">
            <v>10mmØ - Stainless Steel Hook Bar Grade 30</v>
          </cell>
        </row>
        <row r="265">
          <cell r="D265" t="str">
            <v>12mmØ - Stainless Steel Rod Grade 30</v>
          </cell>
        </row>
        <row r="266">
          <cell r="D266" t="str">
            <v>12mmØ - Stainless Steel Turn Buckle Grade 30</v>
          </cell>
        </row>
        <row r="267">
          <cell r="D267" t="str">
            <v>12mmØ - Stainless Steel Hook Bar Grade 30</v>
          </cell>
        </row>
        <row r="268">
          <cell r="D268" t="str">
            <v>12mmØ - Stainless Steel Hook Bar Grade 30</v>
          </cell>
        </row>
        <row r="269">
          <cell r="D269" t="str">
            <v>1/8" x 3/4" x 3/4" Angle Bar</v>
          </cell>
        </row>
        <row r="270">
          <cell r="D270" t="str">
            <v>( STRUCTURAL STEEL )</v>
          </cell>
        </row>
        <row r="271">
          <cell r="D271" t="str">
            <v>3/16"x1½"x1½" Angle Bar</v>
          </cell>
        </row>
        <row r="272">
          <cell r="D272" t="str">
            <v>1/8" x 3/4" x 3/4" Angle Bar</v>
          </cell>
        </row>
        <row r="273">
          <cell r="D273" t="str">
            <v>1/8" x 2" x 2" Angle Bar</v>
          </cell>
        </row>
        <row r="274">
          <cell r="D274" t="str">
            <v>3/16" x 2" x 2" Angle Bar</v>
          </cell>
        </row>
        <row r="275">
          <cell r="D275" t="str">
            <v>3/16" x 1" x1" Angle Bar</v>
          </cell>
        </row>
        <row r="276">
          <cell r="D276" t="str">
            <v>3/16" x 1" x1" Angle Bar</v>
          </cell>
        </row>
        <row r="277">
          <cell r="D277" t="str">
            <v>38mm x 38mmx 5mm Angle Bar</v>
          </cell>
        </row>
        <row r="278">
          <cell r="D278" t="str">
            <v>50mm x 50mm x 6mm Angle Bar</v>
          </cell>
        </row>
        <row r="279">
          <cell r="D279" t="str">
            <v>Steel Plate/Bar</v>
          </cell>
        </row>
        <row r="280">
          <cell r="D280" t="str">
            <v>50mm x 50mm x 5.5mm Angle Bar</v>
          </cell>
        </row>
        <row r="281">
          <cell r="D281" t="str">
            <v>1" x 1/4" Flat Bar</v>
          </cell>
        </row>
        <row r="282">
          <cell r="D282" t="str">
            <v>6mm x 50mm Flat Bar</v>
          </cell>
        </row>
        <row r="283">
          <cell r="D283" t="str">
            <v>38mm x 38mmx 5mm Angle Bar</v>
          </cell>
        </row>
        <row r="284">
          <cell r="D284" t="str">
            <v>38mm x 38mmx 6mm Angle Bar</v>
          </cell>
        </row>
        <row r="285">
          <cell r="D285" t="str">
            <v>38mm x 38mmx 5.2mm Angle Bar</v>
          </cell>
        </row>
        <row r="286">
          <cell r="D286" t="str">
            <v>40mm x 40mmx 6mm Angle Bar</v>
          </cell>
        </row>
        <row r="287">
          <cell r="D287" t="str">
            <v>40mm x 40mmx 5.5mm Angle Bar</v>
          </cell>
        </row>
        <row r="288">
          <cell r="D288" t="str">
            <v>25mm x 25mm x 3mm Angle Bar</v>
          </cell>
        </row>
        <row r="289">
          <cell r="D289" t="str">
            <v>25mm x 25mm x 6mm Angle Bar</v>
          </cell>
        </row>
        <row r="290">
          <cell r="D290" t="str">
            <v>50mm x 50mm x 4.5mm Angle Bar</v>
          </cell>
        </row>
        <row r="291">
          <cell r="D291" t="str">
            <v>50mm x 50mm x 5.5mm Angle Bar</v>
          </cell>
        </row>
        <row r="292">
          <cell r="D292" t="str">
            <v>63mm x 63mm x 4.5mm Angle Bar</v>
          </cell>
        </row>
        <row r="293">
          <cell r="D293" t="str">
            <v>3/16" x 2½" x2½" Angle Bar</v>
          </cell>
        </row>
        <row r="294">
          <cell r="D294" t="str">
            <v>100mm x 100mm x 8mm Angle Bar</v>
          </cell>
        </row>
        <row r="295">
          <cell r="D295" t="str">
            <v>100mm x 100mm x 10mm Angle Bar</v>
          </cell>
        </row>
        <row r="296">
          <cell r="D296" t="str">
            <v>100mm x 100mm x 12mm Angle Bar</v>
          </cell>
        </row>
        <row r="297">
          <cell r="D297" t="str">
            <v>Structural Steel, ASTM A36</v>
          </cell>
        </row>
        <row r="298">
          <cell r="D298" t="str">
            <v>Structural Steel Plate 9mm thk., ASTM A36</v>
          </cell>
        </row>
        <row r="299">
          <cell r="D299" t="str">
            <v>Structural Steel Plate 12mm thk., ASTM A36</v>
          </cell>
        </row>
        <row r="300">
          <cell r="D300" t="str">
            <v>Structural Steel Plate 16mm thk., ASTM A36</v>
          </cell>
        </row>
        <row r="301">
          <cell r="D301" t="str">
            <v>Structural Steel Plate 25mm thk., ASTM A36</v>
          </cell>
        </row>
        <row r="302">
          <cell r="D302" t="str">
            <v>Structural Steel 50mm x 50mm x 6m., ASTM A36</v>
          </cell>
        </row>
        <row r="303">
          <cell r="D303" t="str">
            <v>Steel Channel, 4 x 7.25</v>
          </cell>
        </row>
        <row r="304">
          <cell r="D304" t="str">
            <v>Steel Channel, 6 x 13</v>
          </cell>
        </row>
        <row r="305">
          <cell r="D305" t="str">
            <v>Steel Channel, C10 x 30</v>
          </cell>
        </row>
        <row r="306">
          <cell r="D306" t="str">
            <v>2" x 4" C-Purlin, Ga.16</v>
          </cell>
        </row>
        <row r="307">
          <cell r="D307" t="str">
            <v>LC 100x50x15x2.0 Purlins</v>
          </cell>
        </row>
        <row r="308">
          <cell r="D308" t="str">
            <v>LC 100x50x15x2.0 Studdings</v>
          </cell>
        </row>
        <row r="309">
          <cell r="D309" t="str">
            <v>12mmØ x 210mm A325 Bolts</v>
          </cell>
        </row>
        <row r="310">
          <cell r="D310" t="str">
            <v>20mmØ x 210mm A325 Bolts</v>
          </cell>
        </row>
        <row r="311">
          <cell r="D311" t="str">
            <v>25mmØ x 300mm A325 Bolts</v>
          </cell>
        </row>
        <row r="312">
          <cell r="D312" t="str">
            <v>32mmØ Standard Turn Buckle</v>
          </cell>
        </row>
        <row r="313">
          <cell r="D313" t="str">
            <v>32mmØ Standard Ring Joint</v>
          </cell>
        </row>
        <row r="314">
          <cell r="D314" t="str">
            <v>32mmØ Tie Rod</v>
          </cell>
        </row>
        <row r="315">
          <cell r="D315" t="str">
            <v>25mmØ x 500mm A325 Bolts</v>
          </cell>
        </row>
        <row r="316">
          <cell r="D316" t="str">
            <v>16mmØ x 250mm A325 Bolts</v>
          </cell>
        </row>
        <row r="317">
          <cell r="D317" t="str">
            <v>16mmØ x 50mm A325 Bolts</v>
          </cell>
        </row>
        <row r="318">
          <cell r="D318" t="str">
            <v>12mmØ x 75mm A325 Bolts</v>
          </cell>
        </row>
        <row r="319">
          <cell r="D319" t="str">
            <v>16mmØ x 50mm A325 Bolts</v>
          </cell>
        </row>
        <row r="320">
          <cell r="D320" t="str">
            <v>Steel Plate</v>
          </cell>
        </row>
        <row r="321">
          <cell r="D321" t="str">
            <v>Consumables</v>
          </cell>
        </row>
        <row r="322">
          <cell r="D322" t="str">
            <v>Joint Sealer</v>
          </cell>
        </row>
        <row r="323">
          <cell r="D323" t="str">
            <v>Joint Filler, hot poured</v>
          </cell>
        </row>
        <row r="324">
          <cell r="D324" t="str">
            <v>Filler Board</v>
          </cell>
        </row>
        <row r="325">
          <cell r="D325" t="str">
            <v>Filter Cloth</v>
          </cell>
        </row>
        <row r="326">
          <cell r="D326" t="str">
            <v>Filler Board</v>
          </cell>
        </row>
        <row r="327">
          <cell r="D327" t="str">
            <v>( NAILS, BOLTS and FASTENERS )</v>
          </cell>
        </row>
        <row r="328">
          <cell r="D328" t="str">
            <v>Common Wire Nails</v>
          </cell>
        </row>
        <row r="329">
          <cell r="D329" t="str">
            <v>Common Wire Nails (Keg)</v>
          </cell>
        </row>
        <row r="330">
          <cell r="D330" t="str">
            <v>Finishing Nails</v>
          </cell>
        </row>
        <row r="331">
          <cell r="D331" t="str">
            <v>Roofing Nails umbrella type</v>
          </cell>
        </row>
        <row r="332">
          <cell r="D332" t="str">
            <v>Concrete Nail</v>
          </cell>
        </row>
        <row r="333">
          <cell r="D333" t="str">
            <v>13mm, High-Strength Bolt, 4"</v>
          </cell>
        </row>
        <row r="334">
          <cell r="D334" t="str">
            <v>Machine Bolt w/ nut &amp; washer</v>
          </cell>
        </row>
        <row r="335">
          <cell r="D335" t="str">
            <v>16mmØ x 300mm Stainless Machine Bolt w/ nut &amp; washer</v>
          </cell>
        </row>
        <row r="336">
          <cell r="D336" t="str">
            <v>16mmØ x 250mm Stainless Machine Bolt w/ nut &amp; washer</v>
          </cell>
        </row>
        <row r="337">
          <cell r="D337" t="str">
            <v>16mmØ x 150mm Stainless Machine Bolt w/ nut &amp; washer</v>
          </cell>
        </row>
        <row r="338">
          <cell r="D338" t="str">
            <v>16mmØ x 200mm Stainless Machine Bolt w/ nut &amp; washer</v>
          </cell>
        </row>
        <row r="339">
          <cell r="D339" t="str">
            <v>12mmØ x 150mm Stainless Machine Bolt w/ nut &amp; washer</v>
          </cell>
        </row>
        <row r="340">
          <cell r="D340" t="str">
            <v>12mmØ x 200mm Stainless Machine Bolt w/ nut &amp; washer</v>
          </cell>
        </row>
        <row r="341">
          <cell r="D341" t="str">
            <v>12mmØ x 250mm Stainless Machine Bolt w/ nut &amp; washer</v>
          </cell>
        </row>
        <row r="342">
          <cell r="D342" t="str">
            <v>12mmØ x 200mm Stainless Machine Bolt w/ nut &amp; washer</v>
          </cell>
        </row>
        <row r="343">
          <cell r="D343" t="str">
            <v>16mmØ x 229 Machine Bolt w/ nut &amp; washer</v>
          </cell>
        </row>
        <row r="344">
          <cell r="D344" t="str">
            <v>20mmØ GI Machine Bolt w/ nut &amp; washer</v>
          </cell>
        </row>
        <row r="345">
          <cell r="D345" t="str">
            <v>16mmØ GI Machine Bolt w/ nut &amp; washer</v>
          </cell>
        </row>
        <row r="346">
          <cell r="D346" t="str">
            <v>12mmØ GI Machine Bolt w/ nut &amp; washer</v>
          </cell>
        </row>
        <row r="347">
          <cell r="D347" t="str">
            <v>16mmØ x 250mm GI Machine Bolt w/ nut &amp; washer</v>
          </cell>
        </row>
        <row r="348">
          <cell r="D348" t="str">
            <v>16mmØ x 300mm GI Machine Bolt w/ nut &amp; washer</v>
          </cell>
        </row>
        <row r="349">
          <cell r="D349" t="str">
            <v>12mmØ x 400mm GI Machine Bolt w/ nut &amp; washer</v>
          </cell>
        </row>
        <row r="350">
          <cell r="D350" t="str">
            <v>12mmØ x 150mm GI Machine Bolt w/ nut &amp; washer</v>
          </cell>
        </row>
        <row r="351">
          <cell r="D351" t="str">
            <v>12mmØ x 75mm GI Machine Bolt w/ nut &amp; washer</v>
          </cell>
        </row>
        <row r="352">
          <cell r="D352" t="str">
            <v>12mmØ GI Machine Bolt w/ nut &amp; washers</v>
          </cell>
        </row>
        <row r="353">
          <cell r="D353" t="str">
            <v>12mmØ GI Bolt w/ nut &amp; washers</v>
          </cell>
        </row>
        <row r="354">
          <cell r="D354" t="str">
            <v>10mmØ GI Machine Bolt w/ nut &amp; washers</v>
          </cell>
        </row>
        <row r="355">
          <cell r="D355" t="str">
            <v>12mmØ GI Bolt w/ nut &amp; washers</v>
          </cell>
        </row>
        <row r="356">
          <cell r="D356" t="str">
            <v>Boat Spike (Nail)</v>
          </cell>
        </row>
        <row r="357">
          <cell r="D357" t="str">
            <v>7/8" Anchor Bolt, 10"</v>
          </cell>
        </row>
        <row r="358">
          <cell r="D358" t="str">
            <v>16mmØ x 250mm Anchor Bolt</v>
          </cell>
        </row>
        <row r="359">
          <cell r="D359" t="str">
            <v>16mmØ x 300mm Anchor Bolt</v>
          </cell>
        </row>
        <row r="360">
          <cell r="D360" t="str">
            <v>20mmØ x 300mm Anchor Bolt</v>
          </cell>
        </row>
        <row r="361">
          <cell r="D361" t="str">
            <v>12mmØ x 38mm Anchor Bolt</v>
          </cell>
        </row>
        <row r="362">
          <cell r="D362" t="str">
            <v>20mm, Turn Buckle</v>
          </cell>
        </row>
        <row r="363">
          <cell r="D363" t="str">
            <v>16mm, Turn Buckle</v>
          </cell>
        </row>
        <row r="364">
          <cell r="D364" t="str">
            <v>12mm  Turnbuckle</v>
          </cell>
        </row>
        <row r="365">
          <cell r="D365" t="str">
            <v>13mm, U-Bolt</v>
          </cell>
        </row>
        <row r="366">
          <cell r="D366" t="str">
            <v>16mm, U-Bolt w/ nuts and washers</v>
          </cell>
        </row>
        <row r="367">
          <cell r="D367" t="str">
            <v>13mm, Cable Clip</v>
          </cell>
        </row>
        <row r="368">
          <cell r="D368" t="str">
            <v>32mm, Cable Clip</v>
          </cell>
        </row>
        <row r="369">
          <cell r="D369" t="str">
            <v>13mm,  Thimble</v>
          </cell>
        </row>
        <row r="370">
          <cell r="D370" t="str">
            <v>12mm  Stainless Screw, 1/2"</v>
          </cell>
        </row>
        <row r="371">
          <cell r="D371" t="str">
            <v>Tekscrew</v>
          </cell>
        </row>
        <row r="372">
          <cell r="D372" t="str">
            <v>Post Strap Flat Bar</v>
          </cell>
        </row>
        <row r="373">
          <cell r="D373" t="str">
            <v>GI Post Strap 1/4" x 2"</v>
          </cell>
        </row>
        <row r="374">
          <cell r="D374" t="str">
            <v>Post Strap Flat Bar</v>
          </cell>
        </row>
        <row r="375">
          <cell r="D375" t="str">
            <v>( GI WIRES )</v>
          </cell>
        </row>
        <row r="376">
          <cell r="D376" t="str">
            <v>Ga.16 GI Tie Wire</v>
          </cell>
        </row>
        <row r="377">
          <cell r="D377" t="str">
            <v>G.I. Rivets</v>
          </cell>
        </row>
        <row r="378">
          <cell r="D378" t="str">
            <v>20mmØ G.I. Chain</v>
          </cell>
        </row>
        <row r="379">
          <cell r="D379" t="str">
            <v>G.I. Rivets</v>
          </cell>
        </row>
        <row r="380">
          <cell r="D380" t="str">
            <v>( ROOFING SHEET )</v>
          </cell>
        </row>
        <row r="381">
          <cell r="D381" t="str">
            <v>GI Sheet Roofing</v>
          </cell>
        </row>
        <row r="382">
          <cell r="D382" t="str">
            <v>CORR. G.I.sheets, Ga.26</v>
          </cell>
        </row>
        <row r="383">
          <cell r="D383" t="str">
            <v>CORR. G.I.sheets, Ga.31</v>
          </cell>
        </row>
        <row r="384">
          <cell r="D384" t="str">
            <v>CORR. G.I.sheets x 6' , Ga.26</v>
          </cell>
        </row>
        <row r="385">
          <cell r="D385" t="str">
            <v>CORR. G.I.sheets x 8' , Ga.26</v>
          </cell>
        </row>
        <row r="386">
          <cell r="D386" t="str">
            <v>3' x 8' Plain G.I. Sheet, Ga.26</v>
          </cell>
        </row>
        <row r="387">
          <cell r="D387" t="str">
            <v>3' x 8' Plain G.I. Sheet, Ga.31</v>
          </cell>
        </row>
        <row r="388">
          <cell r="D388" t="str">
            <v>Plain G.I. Sheet, Ga.26</v>
          </cell>
        </row>
        <row r="389">
          <cell r="D389" t="str">
            <v>Pre-Painted Corr. GI Sht, Ga.26</v>
          </cell>
        </row>
        <row r="390">
          <cell r="D390" t="str">
            <v>24" Prefab GI Gutter</v>
          </cell>
        </row>
        <row r="391">
          <cell r="D391" t="str">
            <v>12" Prefab GI Ridge Roll</v>
          </cell>
        </row>
        <row r="392">
          <cell r="D392" t="str">
            <v>18" Prefab GI Flashing</v>
          </cell>
        </row>
        <row r="393">
          <cell r="D393" t="str">
            <v>3' x 8' Plain G.I. Sheet, Ga.24</v>
          </cell>
        </row>
        <row r="394">
          <cell r="D394" t="str">
            <v>0.40mm x 0.830m Durawide Rib Type Roofing Sheet (Phil Metal)</v>
          </cell>
        </row>
        <row r="395">
          <cell r="D395" t="str">
            <v>0.40mm x 0.45m x 3.66m) Pre-painted ridge roll (Phil Metal)</v>
          </cell>
        </row>
        <row r="396">
          <cell r="D396" t="str">
            <v>0.40mm x 0.915 x 3.66m) Spanish End Flashing (Phil Metal)</v>
          </cell>
        </row>
        <row r="397">
          <cell r="D397" t="str">
            <v>0.40mm x 0.915 x 3.66m) Spanish Gutter (Phil Metal)</v>
          </cell>
        </row>
        <row r="398">
          <cell r="D398" t="str">
            <v>Teks 4 #12-24 x 45mm Hex w/ Neo</v>
          </cell>
        </row>
        <row r="399">
          <cell r="D399" t="str">
            <v>Prepainted Galvallum Corr..sheets , 0.30mm thk.</v>
          </cell>
        </row>
        <row r="400">
          <cell r="D400" t="str">
            <v>Prepainted Galvalume 55 Corr..sheets , 4.0ft wide x 0.3mm thk.</v>
          </cell>
        </row>
        <row r="401">
          <cell r="D401" t="str">
            <v>Prepainted Galvalume 55 Corr..sheets , 3.0ft wide x 0.3mm thk.</v>
          </cell>
        </row>
        <row r="402">
          <cell r="D402" t="str">
            <v>Prepainted Galvalume 55 Plain..sheets , 3.0ft wide x 0.35mm thk.</v>
          </cell>
        </row>
        <row r="403">
          <cell r="D403" t="str">
            <v>Prepainted Galvallum Plain sheets, 0.35mm thk.</v>
          </cell>
        </row>
        <row r="404">
          <cell r="D404" t="str">
            <v>Prepainted Galvallum Corr..sheets x 6' , 0.35mm thk.</v>
          </cell>
        </row>
        <row r="405">
          <cell r="D405" t="str">
            <v>Prepainted Galvallum Corr..sheets x 8' , 0.35mm thk.</v>
          </cell>
        </row>
        <row r="406">
          <cell r="D406" t="str">
            <v>Prepainted Galvallum Plain sheets x 10' , 0.35mm thk.</v>
          </cell>
        </row>
        <row r="407">
          <cell r="D407" t="str">
            <v>Galvalume 55 Plain sheets x 10' , 0.35mm thk.</v>
          </cell>
        </row>
        <row r="408">
          <cell r="D408" t="str">
            <v>Galvalume 55 Corr. sheets x 12' , 0.35mm thk.</v>
          </cell>
        </row>
        <row r="409">
          <cell r="D409" t="str">
            <v>Galvalume 55 Corr. sheets x 10' , 0.35mm thk.</v>
          </cell>
        </row>
        <row r="410">
          <cell r="D410" t="str">
            <v>Galvalume 55 Corr. sheets x 9' , 0.35mm thk.</v>
          </cell>
        </row>
        <row r="411">
          <cell r="D411" t="str">
            <v>Galvalume 55 Corr. sheets x 8' , 0.35mm thk.</v>
          </cell>
        </row>
        <row r="412">
          <cell r="D412" t="str">
            <v>Galvalume 55 Corr. sheets x 7' , 0.35mm thk.</v>
          </cell>
        </row>
        <row r="413">
          <cell r="D413" t="str">
            <v>Galvalume 55 Corr. sheets x 6' , 0.35mm thk.</v>
          </cell>
        </row>
        <row r="414">
          <cell r="D414" t="str">
            <v>Galvalume 55 Corr. sheets x 6' , 0.35mm thk.</v>
          </cell>
        </row>
        <row r="415">
          <cell r="D415" t="str">
            <v>0.30mm thk x 4.0ft. wide Unpainted Galvallum 55</v>
          </cell>
        </row>
        <row r="416">
          <cell r="D416" t="str">
            <v>0.30mmthk x 0.610m x 2.44m Ridge Roll Unpainted Galvallum 55 (4ft x 8ft)</v>
          </cell>
        </row>
        <row r="417">
          <cell r="D417" t="str">
            <v>0.30mm thk x 4.0ft. wide Unpainted Galvallum 55</v>
          </cell>
        </row>
        <row r="418">
          <cell r="D418" t="str">
            <v>0.30mm thk x 4.0ft. wide Unpainted Galvallum 55 (End Flashing)</v>
          </cell>
        </row>
        <row r="419">
          <cell r="D419" t="str">
            <v>0.30mm thk x 4.0ft. wide Unpainted Galvallum 55 (Ridge Roll)</v>
          </cell>
        </row>
        <row r="420">
          <cell r="D420" t="str">
            <v>0.30mm thk x 4.0ft. wide Unpainted Galvallum 55 (End Flashing)</v>
          </cell>
        </row>
        <row r="421">
          <cell r="D421" t="str">
            <v>Metalplas Corr. Roofing (1.5mm thk)</v>
          </cell>
        </row>
        <row r="422">
          <cell r="D422" t="str">
            <v>Metalplas Ridge Roll</v>
          </cell>
        </row>
        <row r="423">
          <cell r="D423" t="str">
            <v>Metalplas End Flashing</v>
          </cell>
        </row>
        <row r="424">
          <cell r="D424" t="str">
            <v>Metalplas Ridge Roll</v>
          </cell>
        </row>
        <row r="425">
          <cell r="D425" t="str">
            <v>Blind Rivets</v>
          </cell>
        </row>
        <row r="426">
          <cell r="D426" t="str">
            <v>Silicon Rubber Sealant</v>
          </cell>
        </row>
        <row r="427">
          <cell r="D427" t="str">
            <v>Touch-up Acrylic Paint</v>
          </cell>
        </row>
        <row r="428">
          <cell r="D428" t="str">
            <v>Silicon Rubber Sealant</v>
          </cell>
        </row>
        <row r="429">
          <cell r="D429" t="str">
            <v>( HARDWARES )</v>
          </cell>
        </row>
        <row r="430">
          <cell r="D430" t="str">
            <v>Gutter seal</v>
          </cell>
        </row>
        <row r="431">
          <cell r="D431" t="str">
            <v>4'-wide Cyclone  Wire</v>
          </cell>
        </row>
        <row r="432">
          <cell r="D432" t="str">
            <v>1¼ "dia. X 6" Double Type Pulley Level</v>
          </cell>
        </row>
        <row r="433">
          <cell r="D433" t="str">
            <v>1¼ "dia. X 6" Steel Ring Bolt Adaptor</v>
          </cell>
        </row>
        <row r="434">
          <cell r="D434" t="str">
            <v>1¼ "dia. X 1¼" Steel Ring Bolt Adaptor</v>
          </cell>
        </row>
        <row r="435">
          <cell r="D435" t="str">
            <v>1" Cylindrical Ejector Assembly, 32"</v>
          </cell>
        </row>
        <row r="436">
          <cell r="D436" t="str">
            <v>1½" " Cylindrical Ejector Assembly, 32"</v>
          </cell>
        </row>
        <row r="437">
          <cell r="D437" t="str">
            <v>Cylindrical Door Knob</v>
          </cell>
        </row>
        <row r="438">
          <cell r="D438" t="str">
            <v>4" Barrel Bolts</v>
          </cell>
        </row>
        <row r="439">
          <cell r="D439" t="str">
            <v>4" x 4" Loose Pin Butt Hinges</v>
          </cell>
        </row>
        <row r="440">
          <cell r="D440" t="str">
            <v>3" x 3" Loose Pin Butt Hinges</v>
          </cell>
        </row>
        <row r="441">
          <cell r="D441" t="str">
            <v>4" Hasp Lock Hinges</v>
          </cell>
        </row>
        <row r="442">
          <cell r="D442" t="str">
            <v>Alum. Mesh Wire, 1/8" eye x 3'</v>
          </cell>
        </row>
        <row r="443">
          <cell r="D443" t="str">
            <v>Alum. Mesh Wire, 1/2" eye x 3'</v>
          </cell>
        </row>
        <row r="444">
          <cell r="D444" t="str">
            <v>Alum. Mesh Wire, 1" eye x 3'</v>
          </cell>
        </row>
        <row r="445">
          <cell r="D445" t="str">
            <v>Aluminum Mosquito Screen, 3ft-wide</v>
          </cell>
        </row>
        <row r="446">
          <cell r="D446" t="str">
            <v>Aukom Rug</v>
          </cell>
        </row>
        <row r="447">
          <cell r="D447" t="str">
            <v>Welding Rods 1/8"ø E60</v>
          </cell>
        </row>
        <row r="448">
          <cell r="D448" t="str">
            <v>Welding Rods 1/8"ø E70XX</v>
          </cell>
        </row>
        <row r="449">
          <cell r="D449" t="str">
            <v>Welwood Glue</v>
          </cell>
        </row>
        <row r="450">
          <cell r="D450" t="str">
            <v>Solvent Cement</v>
          </cell>
        </row>
        <row r="451">
          <cell r="D451" t="str">
            <v xml:space="preserve">1½"   Cylindrical Ejector Assmbly, CLAYTON USA </v>
          </cell>
        </row>
        <row r="452">
          <cell r="D452" t="str">
            <v xml:space="preserve">1¼" Cylindrical Ejector Assmbly, CLAYTON USA </v>
          </cell>
        </row>
        <row r="453">
          <cell r="D453" t="str">
            <v>½" Teflon Tape</v>
          </cell>
        </row>
        <row r="454">
          <cell r="D454" t="str">
            <v>¾" Teflon Tape</v>
          </cell>
        </row>
        <row r="455">
          <cell r="D455" t="str">
            <v>1"  Teflon Tape</v>
          </cell>
        </row>
        <row r="456">
          <cell r="D456" t="str">
            <v>Cabinet Door Handle</v>
          </cell>
        </row>
        <row r="457">
          <cell r="D457" t="str">
            <v>½" dia. x 3/4"  Pillow Block</v>
          </cell>
        </row>
        <row r="458">
          <cell r="D458" t="str">
            <v>#6203  Bearing</v>
          </cell>
        </row>
        <row r="459">
          <cell r="D459" t="str">
            <v>3/4"dia. x 4"  Steel Spring</v>
          </cell>
        </row>
        <row r="460">
          <cell r="D460" t="str">
            <v>1¼" Foot Valve, Brass</v>
          </cell>
        </row>
        <row r="461">
          <cell r="D461" t="str">
            <v>1" x 2" Cabinet Hinges</v>
          </cell>
        </row>
        <row r="462">
          <cell r="D462" t="str">
            <v>Gabion Mattress</v>
          </cell>
        </row>
        <row r="463">
          <cell r="D463" t="str">
            <v>20mmØ Chain and Other Accessories</v>
          </cell>
        </row>
        <row r="464">
          <cell r="D464" t="str">
            <v>Gabion Mattress</v>
          </cell>
        </row>
        <row r="465">
          <cell r="D465" t="str">
            <v>( STRUCTURAL STEEL WIRES AND CABLES )</v>
          </cell>
        </row>
        <row r="466">
          <cell r="D466" t="str">
            <v>6mm,  IWRC (6 x  25)</v>
          </cell>
        </row>
        <row r="467">
          <cell r="D467" t="str">
            <v>8mm,  IWRC (6 x  25)</v>
          </cell>
        </row>
        <row r="468">
          <cell r="D468" t="str">
            <v>10mm,  IWRC (6 x  25)</v>
          </cell>
        </row>
        <row r="469">
          <cell r="D469" t="str">
            <v>11mm,  IWRC (6 x  25)</v>
          </cell>
        </row>
        <row r="470">
          <cell r="D470" t="str">
            <v>13mm,  IWRC (6 x  25)</v>
          </cell>
        </row>
        <row r="471">
          <cell r="D471" t="str">
            <v>14mm,  IWRC (6 x  25)</v>
          </cell>
        </row>
        <row r="472">
          <cell r="D472" t="str">
            <v>16mm,  IWRC (6 x  25)</v>
          </cell>
        </row>
        <row r="473">
          <cell r="D473" t="str">
            <v>20mm,  IWRC (6 x  25)</v>
          </cell>
        </row>
        <row r="474">
          <cell r="D474" t="str">
            <v>22mm,  IWRC (6 x  25)</v>
          </cell>
        </row>
        <row r="475">
          <cell r="D475" t="str">
            <v>25mm,  IWRC (6 x  25)</v>
          </cell>
        </row>
        <row r="476">
          <cell r="D476" t="str">
            <v>29mm,  IWRC (6 x  25)</v>
          </cell>
        </row>
        <row r="477">
          <cell r="D477" t="str">
            <v>32mm,  IWRC (6 x  25)</v>
          </cell>
        </row>
        <row r="478">
          <cell r="D478" t="str">
            <v>35mm, ,  IWRC (6 x  25)</v>
          </cell>
        </row>
        <row r="479">
          <cell r="D479" t="str">
            <v>38mm,  IWRC (6 x  25)</v>
          </cell>
        </row>
        <row r="480">
          <cell r="D480" t="str">
            <v>41mm,  IWRC (6 x  25)</v>
          </cell>
        </row>
        <row r="481">
          <cell r="D481" t="str">
            <v>44mm,  IWRC (6 x  25)</v>
          </cell>
        </row>
        <row r="482">
          <cell r="D482" t="str">
            <v>48mm,  IWRC (6 x  25)</v>
          </cell>
        </row>
        <row r="483">
          <cell r="D483" t="str">
            <v>51mm,  IWRC (6 x  25)</v>
          </cell>
        </row>
        <row r="484">
          <cell r="D484" t="str">
            <v>54mm,  IWRC (6 x  25)</v>
          </cell>
        </row>
        <row r="485">
          <cell r="D485" t="str">
            <v>57mm,  IWRC (6 x  25)</v>
          </cell>
        </row>
        <row r="486">
          <cell r="D486" t="str">
            <v>5mm, Wire Rope Fiber Core (6 x 25)</v>
          </cell>
        </row>
        <row r="487">
          <cell r="D487" t="str">
            <v>6mm, Wire Rope Fiber Core (6 x 25)</v>
          </cell>
        </row>
        <row r="488">
          <cell r="D488" t="str">
            <v>8mm, Wire Rope Fiber Core (6 x 25)</v>
          </cell>
        </row>
        <row r="489">
          <cell r="D489" t="str">
            <v>10mm, Wire Rope Fiber Core (6 x 25)</v>
          </cell>
        </row>
        <row r="490">
          <cell r="D490" t="str">
            <v>11mm, Wire Rope Fiber Core (6 x 25)</v>
          </cell>
        </row>
        <row r="491">
          <cell r="D491" t="str">
            <v>13mm, Wire Rope Fiber Core (6 x 25)</v>
          </cell>
        </row>
        <row r="492">
          <cell r="D492" t="str">
            <v>14mm, Wire Rope Fiber Core (6 x 25)</v>
          </cell>
        </row>
        <row r="493">
          <cell r="D493" t="str">
            <v>16mm, Wire Rope Fiber Core (6 x 25)</v>
          </cell>
        </row>
        <row r="494">
          <cell r="D494" t="str">
            <v>20mm, Wire Rope Fiber Core (6 x 25)</v>
          </cell>
        </row>
        <row r="495">
          <cell r="D495" t="str">
            <v>22mm, Wire Rope Fiber Core (6 x 25)</v>
          </cell>
        </row>
        <row r="496">
          <cell r="D496" t="str">
            <v>25mm, Wire Rope Fiber Core (6 x 25)</v>
          </cell>
        </row>
        <row r="497">
          <cell r="D497" t="str">
            <v>29mm, Wire Rope Fiber Core (6 x 25)</v>
          </cell>
        </row>
        <row r="498">
          <cell r="D498" t="str">
            <v>32mm, Wire Rope Fiber Core (6 x 25)</v>
          </cell>
        </row>
        <row r="499">
          <cell r="D499" t="str">
            <v>35mm, , Wire Rope Fiber Core (6 x 25)</v>
          </cell>
        </row>
        <row r="500">
          <cell r="D500" t="str">
            <v>38mm, Wire Rope Fiber Core (6 x 25)</v>
          </cell>
        </row>
        <row r="501">
          <cell r="D501" t="str">
            <v>41mm, Wire Rope Fiber Core (6 x 25)</v>
          </cell>
        </row>
        <row r="502">
          <cell r="D502" t="str">
            <v>44mm, Wire Rope Fiber Core (6 x 25)</v>
          </cell>
        </row>
        <row r="503">
          <cell r="D503" t="str">
            <v>48mm, Wire Rope Fiber Core (6 x 25)</v>
          </cell>
        </row>
        <row r="504">
          <cell r="D504" t="str">
            <v>51mm, Wire Rope Fiber Core (6 x 25)</v>
          </cell>
        </row>
        <row r="505">
          <cell r="D505" t="str">
            <v>54mm, Wire Rope Fiber Core (6 x 25)</v>
          </cell>
        </row>
        <row r="506">
          <cell r="D506" t="str">
            <v>57mm, Wire Rope Fiber Core (6 x 25)</v>
          </cell>
        </row>
        <row r="507">
          <cell r="D507" t="str">
            <v>10mm, High Grade Steel Cable</v>
          </cell>
        </row>
        <row r="508">
          <cell r="D508" t="str">
            <v>6mmØ Cable Clips</v>
          </cell>
        </row>
        <row r="509">
          <cell r="D509" t="str">
            <v>10mmØ Cable Clips</v>
          </cell>
        </row>
        <row r="510">
          <cell r="D510" t="str">
            <v>20mmØ Cable Clips</v>
          </cell>
        </row>
        <row r="511">
          <cell r="D511" t="str">
            <v>41mm, Wire Rope Fiber Core (6 x 25)</v>
          </cell>
        </row>
        <row r="512">
          <cell r="D512" t="str">
            <v>( STEEL PLATES )</v>
          </cell>
        </row>
        <row r="513">
          <cell r="D513" t="str">
            <v>6mm, Expanded Metal Mesh</v>
          </cell>
        </row>
        <row r="514">
          <cell r="D514" t="str">
            <v>10mm, Steel Plate</v>
          </cell>
        </row>
        <row r="515">
          <cell r="D515" t="str">
            <v>8mm, Steel Plate</v>
          </cell>
        </row>
        <row r="516">
          <cell r="D516" t="str">
            <v>6mm, Steel Plate</v>
          </cell>
        </row>
        <row r="517">
          <cell r="D517" t="str">
            <v>200mm x 200mm x 6mm, Steel Plate</v>
          </cell>
        </row>
        <row r="518">
          <cell r="D518" t="str">
            <v>300mm x 300mm x 6mm, Steel Plate</v>
          </cell>
        </row>
        <row r="519">
          <cell r="D519" t="str">
            <v>180mm x 180mm x 16mm, Steel Plate</v>
          </cell>
        </row>
        <row r="520">
          <cell r="D520" t="str">
            <v>180mm x 180mm x 16mm, Steel Plate</v>
          </cell>
        </row>
        <row r="521">
          <cell r="D521" t="str">
            <v>Steel Plate'</v>
          </cell>
        </row>
        <row r="522">
          <cell r="D522" t="str">
            <v>Steel Block</v>
          </cell>
        </row>
        <row r="523">
          <cell r="D523" t="str">
            <v>6mm, Expanded Metal Mesh</v>
          </cell>
        </row>
        <row r="524">
          <cell r="D524" t="str">
            <v>( STAINLESS STEEL CYLINDRICAL TANK )</v>
          </cell>
        </row>
        <row r="525">
          <cell r="D525" t="str">
            <v>600L Ga. 18 Cylindrical H2O Tank</v>
          </cell>
        </row>
        <row r="526">
          <cell r="D526" t="str">
            <v>800L Ga. 18 Cylindrical H2O Tank</v>
          </cell>
        </row>
        <row r="527">
          <cell r="D527" t="str">
            <v>1000L Ga. 18 Cylindrical H2O Tank</v>
          </cell>
        </row>
        <row r="528">
          <cell r="D528" t="str">
            <v>300mm x 300mm x 6mm, Steel Plate</v>
          </cell>
        </row>
        <row r="529">
          <cell r="D529" t="str">
            <v>( ALUMINUM AND GLASS )</v>
          </cell>
        </row>
        <row r="530">
          <cell r="D530" t="str">
            <v>Jalousie Glass Blade w/ Alum. Frame</v>
          </cell>
        </row>
        <row r="531">
          <cell r="D531" t="str">
            <v>Clear Glass</v>
          </cell>
        </row>
        <row r="532">
          <cell r="D532" t="str">
            <v>Smoke Glass</v>
          </cell>
        </row>
        <row r="533">
          <cell r="D533" t="str">
            <v>16 blades 4" Alum. Jal. Frame</v>
          </cell>
        </row>
        <row r="534">
          <cell r="D534" t="str">
            <v>14 blades 4" Alum. Jal. Frame</v>
          </cell>
        </row>
        <row r="535">
          <cell r="D535" t="str">
            <v>7 blades 4" Alum. Jal. Frame</v>
          </cell>
        </row>
        <row r="536">
          <cell r="D536" t="str">
            <v>800L Ga. 18 Cylindrical H2O Tank</v>
          </cell>
        </row>
        <row r="537">
          <cell r="D537" t="str">
            <v>( PLASTIC PRODUCTS )</v>
          </cell>
        </row>
        <row r="538">
          <cell r="D538" t="str">
            <v>25mm  Plastic Stranded Rope</v>
          </cell>
        </row>
        <row r="539">
          <cell r="D539" t="str">
            <v>( ALUMINUM AND GLASS )</v>
          </cell>
        </row>
        <row r="540">
          <cell r="D540" t="str">
            <v>PIPING &amp; EQUIPMENTS</v>
          </cell>
        </row>
        <row r="541">
          <cell r="D541" t="str">
            <v>Submersible Pumps &amp; its accessories</v>
          </cell>
        </row>
        <row r="542">
          <cell r="D542" t="str">
            <v>Submersible Pumps &amp; its accessories (3HP - 186S3.412)</v>
          </cell>
        </row>
        <row r="543">
          <cell r="D543" t="str">
            <v>Submersible Pumps &amp; its accessories (1HP - 136S10412)</v>
          </cell>
        </row>
        <row r="544">
          <cell r="D544" t="str">
            <v>14 blades 4" Alum. Jal. Frame</v>
          </cell>
        </row>
        <row r="545">
          <cell r="D545" t="str">
            <v>GI PIPES AND FITTINGS</v>
          </cell>
        </row>
        <row r="546">
          <cell r="D546" t="str">
            <v>ø12mm sch 40 GI Pipe</v>
          </cell>
        </row>
        <row r="547">
          <cell r="D547" t="str">
            <v>ø25mm sch 40 GI Pipe</v>
          </cell>
        </row>
        <row r="548">
          <cell r="D548" t="str">
            <v>ø38mm sch 40 GI Pipe</v>
          </cell>
        </row>
        <row r="549">
          <cell r="D549" t="str">
            <v>ø50mm SCH 40 GI Pipe</v>
          </cell>
        </row>
        <row r="550">
          <cell r="D550" t="str">
            <v>ø63mm SCH 40 GI Pipe</v>
          </cell>
        </row>
        <row r="551">
          <cell r="D551" t="str">
            <v>ø65mm SCH 40 GI Pipe</v>
          </cell>
        </row>
        <row r="552">
          <cell r="D552" t="str">
            <v>ø75mm SCH 40 GI Pipe</v>
          </cell>
        </row>
        <row r="553">
          <cell r="D553" t="str">
            <v>Submersible Pumps &amp; its accessories (1HP - 136S10412)</v>
          </cell>
        </row>
        <row r="554">
          <cell r="D554" t="str">
            <v>½" G.I. Pipe, sch. 40</v>
          </cell>
        </row>
        <row r="555">
          <cell r="D555" t="str">
            <v>3/4" G.I. Pipe, sch. 40</v>
          </cell>
        </row>
        <row r="556">
          <cell r="D556" t="str">
            <v>1" G.I. Pipe, sch. 40</v>
          </cell>
        </row>
        <row r="557">
          <cell r="D557" t="str">
            <v>1¼" G.I. Pipe, sch. 40</v>
          </cell>
        </row>
        <row r="558">
          <cell r="D558" t="str">
            <v>1½" G.I. Pipe, sch. 40</v>
          </cell>
        </row>
        <row r="559">
          <cell r="D559" t="str">
            <v>2" G.I. Pipe, sch. 40</v>
          </cell>
        </row>
        <row r="560">
          <cell r="D560" t="str">
            <v>2¼" G.I. Pipe, sch. 40</v>
          </cell>
        </row>
        <row r="561">
          <cell r="D561" t="str">
            <v>3" G.I. Pipe, sch. 40</v>
          </cell>
        </row>
        <row r="562">
          <cell r="D562" t="str">
            <v>4" G.I. Pipe, sch. 40</v>
          </cell>
        </row>
        <row r="563">
          <cell r="D563" t="str">
            <v>2½" G.I. Pipe, sch. 40</v>
          </cell>
        </row>
        <row r="564">
          <cell r="D564" t="str">
            <v>4" G.I. Pipe ,sch. 20</v>
          </cell>
        </row>
        <row r="565">
          <cell r="D565" t="str">
            <v>1½" G.I. Pipe ,sch. 20</v>
          </cell>
        </row>
        <row r="566">
          <cell r="D566" t="str">
            <v>2" B.I. Pipe, sch. 40</v>
          </cell>
        </row>
        <row r="567">
          <cell r="D567" t="str">
            <v>1" B.I. Pipe, sch. 40</v>
          </cell>
        </row>
        <row r="568">
          <cell r="D568" t="str">
            <v>½" G.I. Coupling, sch. 40</v>
          </cell>
        </row>
        <row r="569">
          <cell r="D569" t="str">
            <v>1" G.I. Coupling, sch. 40</v>
          </cell>
        </row>
        <row r="570">
          <cell r="D570" t="str">
            <v>1¼" G.I. Coupling, sch. 40</v>
          </cell>
        </row>
        <row r="571">
          <cell r="D571" t="str">
            <v>1½" G.I. Coupling, sch. 40</v>
          </cell>
        </row>
        <row r="572">
          <cell r="D572" t="str">
            <v>2"  G.I. Coupling, sch. 40</v>
          </cell>
        </row>
        <row r="573">
          <cell r="D573" t="str">
            <v>2¼" G.I. Coupling, sch. 40</v>
          </cell>
        </row>
        <row r="574">
          <cell r="D574" t="str">
            <v>3" G.I. Coupling, sch. 40</v>
          </cell>
        </row>
        <row r="575">
          <cell r="D575" t="str">
            <v>4"  G.I. Coupling, sch. 40</v>
          </cell>
        </row>
        <row r="576">
          <cell r="D576" t="str">
            <v>2½" G.I. Coupling, sch. 40</v>
          </cell>
        </row>
        <row r="577">
          <cell r="D577" t="str">
            <v>½" G.I. Elbow 45°, sch. 40</v>
          </cell>
        </row>
        <row r="578">
          <cell r="D578" t="str">
            <v>1"G.I. Elbow 45°, sch. 40</v>
          </cell>
        </row>
        <row r="579">
          <cell r="D579" t="str">
            <v>1¼"G.I. Elbow 45°, sch. 40</v>
          </cell>
        </row>
        <row r="580">
          <cell r="D580" t="str">
            <v>1½"G.I. Elbow 45°, sch. 40</v>
          </cell>
        </row>
        <row r="581">
          <cell r="D581" t="str">
            <v>2"G.I. Elbow 45°, sch. 40</v>
          </cell>
        </row>
        <row r="582">
          <cell r="D582" t="str">
            <v>2½" G.I. Elbow 45°, sch. 40</v>
          </cell>
        </row>
        <row r="583">
          <cell r="D583" t="str">
            <v>3" G.I. Elbow 45°, sch. 40</v>
          </cell>
        </row>
        <row r="584">
          <cell r="D584" t="str">
            <v>4" G.I. Elbow 45°, sch. 40</v>
          </cell>
        </row>
        <row r="585">
          <cell r="D585" t="str">
            <v>½" G.I. Elbow 90°, sch 40</v>
          </cell>
        </row>
        <row r="586">
          <cell r="D586" t="str">
            <v>1" G.I. Elbow 90°, sch 40</v>
          </cell>
        </row>
        <row r="587">
          <cell r="D587" t="str">
            <v>1¼" G.I. Elbow 90°, sch 40</v>
          </cell>
        </row>
        <row r="588">
          <cell r="D588" t="str">
            <v>1½"  G.I. Elbow 90°, sch 40</v>
          </cell>
        </row>
        <row r="589">
          <cell r="D589" t="str">
            <v>2" G.I. Elbow 90°, sch 40</v>
          </cell>
        </row>
        <row r="590">
          <cell r="D590" t="str">
            <v>2½" G.I. Elbow 90°, sch 40</v>
          </cell>
        </row>
        <row r="591">
          <cell r="D591" t="str">
            <v>3" G.I. Elbow 90°, sch 40</v>
          </cell>
        </row>
        <row r="592">
          <cell r="D592" t="str">
            <v>4" G.I. Elbow 90°, sch 40</v>
          </cell>
        </row>
        <row r="593">
          <cell r="D593" t="str">
            <v>2" G.I. Street Elbow, sch 40</v>
          </cell>
        </row>
        <row r="594">
          <cell r="D594" t="str">
            <v>3/4"  G.I. Elbow 90°, sch 40</v>
          </cell>
        </row>
        <row r="595">
          <cell r="D595" t="str">
            <v>½" G.I. TEE, sch 40</v>
          </cell>
        </row>
        <row r="596">
          <cell r="D596" t="str">
            <v>1" G.I. TEE, sch 40</v>
          </cell>
        </row>
        <row r="597">
          <cell r="D597" t="str">
            <v>1¼" G.I. TEE, sch 40</v>
          </cell>
        </row>
        <row r="598">
          <cell r="D598" t="str">
            <v>1½" G.I. TEE, sch 40</v>
          </cell>
        </row>
        <row r="599">
          <cell r="D599" t="str">
            <v>2"  G.I. TEE, sch 40</v>
          </cell>
        </row>
        <row r="600">
          <cell r="D600" t="str">
            <v>2½" G.I. TEE, sch 40</v>
          </cell>
        </row>
        <row r="601">
          <cell r="D601" t="str">
            <v>3" G.I. TEE, sch 40</v>
          </cell>
        </row>
        <row r="602">
          <cell r="D602" t="str">
            <v>4" G.I. TEE, sch 40</v>
          </cell>
        </row>
        <row r="603">
          <cell r="D603" t="str">
            <v>½" G.I. Nipples, 12"</v>
          </cell>
        </row>
        <row r="604">
          <cell r="D604" t="str">
            <v>1" G.I. Nipples, 12"</v>
          </cell>
        </row>
        <row r="605">
          <cell r="D605" t="str">
            <v>1" G.I. Nipple, 10"</v>
          </cell>
        </row>
        <row r="606">
          <cell r="D606" t="str">
            <v>1¼" G.I. Nipples, 4"</v>
          </cell>
        </row>
        <row r="607">
          <cell r="D607" t="str">
            <v>1¼" G.I. Nipples, 12"</v>
          </cell>
        </row>
        <row r="608">
          <cell r="D608" t="str">
            <v>½" G.I. Nipples, 4"</v>
          </cell>
        </row>
        <row r="609">
          <cell r="D609" t="str">
            <v>½" G.I. Nipples, 8"</v>
          </cell>
        </row>
        <row r="610">
          <cell r="D610" t="str">
            <v>3/4"  G.I. Nipples, 4"</v>
          </cell>
        </row>
        <row r="611">
          <cell r="D611" t="str">
            <v>63mmØ Gate Valve</v>
          </cell>
        </row>
        <row r="612">
          <cell r="D612" t="str">
            <v>63mmØ x 90° G.I. Elbow</v>
          </cell>
        </row>
        <row r="613">
          <cell r="D613" t="str">
            <v>63mmØ x 63mmØ Female Adaptor</v>
          </cell>
        </row>
        <row r="614">
          <cell r="D614" t="str">
            <v>63mmØ GI Union Patente</v>
          </cell>
        </row>
        <row r="615">
          <cell r="D615" t="str">
            <v>63mmØ GI Pipe</v>
          </cell>
        </row>
        <row r="616">
          <cell r="D616" t="str">
            <v>50mmØ GI Pipe</v>
          </cell>
        </row>
        <row r="617">
          <cell r="D617" t="str">
            <v>50mmØ GI Union Patente</v>
          </cell>
        </row>
        <row r="618">
          <cell r="D618" t="str">
            <v>50mmØ x 90° G.I. Elbow</v>
          </cell>
        </row>
        <row r="619">
          <cell r="D619" t="str">
            <v>50mmØ G.I. Nipples x 600mm</v>
          </cell>
        </row>
        <row r="620">
          <cell r="D620" t="str">
            <v>50mmØ G.I. Nipples x 500mm</v>
          </cell>
        </row>
        <row r="621">
          <cell r="D621" t="str">
            <v>50mmØ G.I. Nipples x 300mm</v>
          </cell>
        </row>
        <row r="622">
          <cell r="D622" t="str">
            <v>50mmØ G.I. Nipples x 200mm</v>
          </cell>
        </row>
        <row r="623">
          <cell r="D623" t="str">
            <v>50mmØ G.I. Gate Valve</v>
          </cell>
        </row>
        <row r="624">
          <cell r="D624" t="str">
            <v>50mmØ G.I. End Cap</v>
          </cell>
        </row>
        <row r="625">
          <cell r="D625" t="str">
            <v>50mmØ G.I. Perforated w/ Strainer</v>
          </cell>
        </row>
        <row r="626">
          <cell r="D626" t="str">
            <v>40mmØ x 50mmØ Female Adaptor</v>
          </cell>
        </row>
        <row r="627">
          <cell r="D627" t="str">
            <v>40mmØ x 90° G.I. Elbow</v>
          </cell>
        </row>
        <row r="628">
          <cell r="D628" t="str">
            <v>40mmØ G.I. Gate Valve</v>
          </cell>
        </row>
        <row r="629">
          <cell r="D629" t="str">
            <v>40mmØ G.I. Tee</v>
          </cell>
        </row>
        <row r="630">
          <cell r="D630" t="str">
            <v>40mmØ G.I. Coupling</v>
          </cell>
        </row>
        <row r="631">
          <cell r="D631" t="str">
            <v>38mmØ G.I. Nipples x 400mm</v>
          </cell>
        </row>
        <row r="632">
          <cell r="D632" t="str">
            <v>38mmØ G.I. Nipples x 100mm</v>
          </cell>
        </row>
        <row r="633">
          <cell r="D633" t="str">
            <v>38mmØ x 90° G.I. Elbow</v>
          </cell>
        </row>
        <row r="634">
          <cell r="D634" t="str">
            <v>12mmØ Brass Faucet</v>
          </cell>
        </row>
        <row r="635">
          <cell r="D635" t="str">
            <v>12mmØ Globe Valve</v>
          </cell>
        </row>
        <row r="636">
          <cell r="D636" t="str">
            <v>12mmØ Gate Valve</v>
          </cell>
        </row>
        <row r="637">
          <cell r="D637" t="str">
            <v>12mmØ Saddle Clamp</v>
          </cell>
        </row>
        <row r="638">
          <cell r="D638" t="str">
            <v>12mmØ PE Pipe</v>
          </cell>
        </row>
        <row r="639">
          <cell r="D639" t="str">
            <v>12mmØ GI Pipe</v>
          </cell>
        </row>
        <row r="640">
          <cell r="D640" t="str">
            <v>12mmØ x 90° GI Elbow</v>
          </cell>
        </row>
        <row r="641">
          <cell r="D641" t="str">
            <v>100mmØ PVC Pipe</v>
          </cell>
        </row>
        <row r="642">
          <cell r="D642" t="str">
            <v>38mmØ G.I. Nipples x 100mm</v>
          </cell>
        </row>
        <row r="643">
          <cell r="D643" t="str">
            <v>½" G.I. Cap</v>
          </cell>
        </row>
        <row r="644">
          <cell r="D644" t="str">
            <v>1¼" G.I. Cap</v>
          </cell>
        </row>
        <row r="645">
          <cell r="D645" t="str">
            <v>2" G.I. Cap</v>
          </cell>
        </row>
        <row r="646">
          <cell r="D646" t="str">
            <v>2"x3/4", Saddle Clamp</v>
          </cell>
        </row>
        <row r="647">
          <cell r="D647" t="str">
            <v>½" Gate Valve</v>
          </cell>
        </row>
        <row r="648">
          <cell r="D648" t="str">
            <v>2" Gate Valve</v>
          </cell>
        </row>
        <row r="649">
          <cell r="D649" t="str">
            <v>3/4"  Gate Valve</v>
          </cell>
        </row>
        <row r="650">
          <cell r="D650" t="str">
            <v>½" Check Valve</v>
          </cell>
        </row>
        <row r="651">
          <cell r="D651" t="str">
            <v xml:space="preserve">½"  G.I. Union Patent </v>
          </cell>
        </row>
        <row r="652">
          <cell r="D652" t="str">
            <v xml:space="preserve">2" G.I. Union Patent </v>
          </cell>
        </row>
        <row r="653">
          <cell r="D653" t="str">
            <v xml:space="preserve">2½" G.I. Union Patent </v>
          </cell>
        </row>
        <row r="654">
          <cell r="D654" t="str">
            <v xml:space="preserve">1¼" x 3/4"  G.I. Bushing </v>
          </cell>
        </row>
        <row r="655">
          <cell r="D655" t="str">
            <v xml:space="preserve">1"x2", G.I. Bushing </v>
          </cell>
        </row>
        <row r="656">
          <cell r="D656" t="str">
            <v>1½" GI Male Adapter</v>
          </cell>
        </row>
        <row r="657">
          <cell r="D657" t="str">
            <v xml:space="preserve">2" x ½"  G.I. Bushing </v>
          </cell>
        </row>
        <row r="658">
          <cell r="D658" t="str">
            <v>2" x 1½" Reducer, Bell Cap</v>
          </cell>
        </row>
        <row r="659">
          <cell r="D659" t="str">
            <v>3/4"  Gate Valve</v>
          </cell>
        </row>
        <row r="660">
          <cell r="D660" t="str">
            <v>½" Check Valve</v>
          </cell>
        </row>
        <row r="661">
          <cell r="D661" t="str">
            <v>PVC AND UPVC PIPES AND FITTINGS - Blue Pipes (WaterPipes)</v>
          </cell>
        </row>
        <row r="662">
          <cell r="D662" t="str">
            <v>1/2" PVC Blue Pipe</v>
          </cell>
        </row>
        <row r="663">
          <cell r="D663" t="str">
            <v xml:space="preserve">2½" G.I. Union Patent </v>
          </cell>
        </row>
        <row r="664">
          <cell r="D664" t="str">
            <v>( PVC AND UPVC PIPES AND FITTINGS )</v>
          </cell>
        </row>
        <row r="665">
          <cell r="D665" t="str">
            <v>2" PVC Pipe</v>
          </cell>
        </row>
        <row r="666">
          <cell r="D666" t="str">
            <v>3" PVC Pipe</v>
          </cell>
        </row>
        <row r="667">
          <cell r="D667" t="str">
            <v>4" PVC Pipe</v>
          </cell>
        </row>
        <row r="668">
          <cell r="D668" t="str">
            <v>4" PVC Pipe (S-40)</v>
          </cell>
        </row>
        <row r="669">
          <cell r="D669" t="str">
            <v>2" PVC TEE</v>
          </cell>
        </row>
        <row r="670">
          <cell r="D670" t="str">
            <v>3" PVC TEE</v>
          </cell>
        </row>
        <row r="671">
          <cell r="D671" t="str">
            <v>4" PVC TEE</v>
          </cell>
        </row>
        <row r="672">
          <cell r="D672" t="str">
            <v>2" PVC Elbow 45°</v>
          </cell>
        </row>
        <row r="673">
          <cell r="D673" t="str">
            <v>3" PVC Elbow 45°</v>
          </cell>
        </row>
        <row r="674">
          <cell r="D674" t="str">
            <v>4" PVC Elbow 45°</v>
          </cell>
        </row>
        <row r="675">
          <cell r="D675" t="str">
            <v>2" PVC Elbow 90°</v>
          </cell>
        </row>
        <row r="676">
          <cell r="D676" t="str">
            <v>3" PVC Elbow 90°</v>
          </cell>
        </row>
        <row r="677">
          <cell r="D677" t="str">
            <v>4" PVC Elbow 90°</v>
          </cell>
        </row>
        <row r="678">
          <cell r="D678" t="str">
            <v>2" PVC WYE</v>
          </cell>
        </row>
        <row r="679">
          <cell r="D679" t="str">
            <v>3" PVC WYE</v>
          </cell>
        </row>
        <row r="680">
          <cell r="D680" t="str">
            <v>4"  PVC WYE</v>
          </cell>
        </row>
        <row r="681">
          <cell r="D681" t="str">
            <v>2" PVC 1/8" bend</v>
          </cell>
        </row>
        <row r="682">
          <cell r="D682" t="str">
            <v>3"  PVC 1/8" bend</v>
          </cell>
        </row>
        <row r="683">
          <cell r="D683" t="str">
            <v>4"  PVC 1/8" bend</v>
          </cell>
        </row>
        <row r="684">
          <cell r="D684" t="str">
            <v>2" PVC clean-out</v>
          </cell>
        </row>
        <row r="685">
          <cell r="D685" t="str">
            <v>3" PVC clean-out</v>
          </cell>
        </row>
        <row r="686">
          <cell r="D686" t="str">
            <v>4" PVC clean-out</v>
          </cell>
        </row>
        <row r="687">
          <cell r="D687" t="str">
            <v>4" PVC end cap</v>
          </cell>
        </row>
        <row r="688">
          <cell r="D688" t="str">
            <v>2" PVC P-Trap</v>
          </cell>
        </row>
        <row r="689">
          <cell r="D689" t="str">
            <v>3"  PVC P-Trap</v>
          </cell>
        </row>
        <row r="690">
          <cell r="D690" t="str">
            <v>4" PVC P-Trap</v>
          </cell>
        </row>
        <row r="691">
          <cell r="D691" t="str">
            <v>2"x3", PVC Reducer</v>
          </cell>
        </row>
        <row r="692">
          <cell r="D692" t="str">
            <v>3"x4", PVC Reducer</v>
          </cell>
        </row>
        <row r="693">
          <cell r="D693" t="str">
            <v>2"x4", PVC Reducer</v>
          </cell>
        </row>
        <row r="694">
          <cell r="D694" t="str">
            <v>4"x2", PVC TEE</v>
          </cell>
        </row>
        <row r="695">
          <cell r="D695" t="str">
            <v>4"x2", PVC  WYE</v>
          </cell>
        </row>
        <row r="696">
          <cell r="D696" t="str">
            <v>3"x4", PVC  WYE</v>
          </cell>
        </row>
        <row r="697">
          <cell r="D697" t="str">
            <v>3"x2", PVC  WYE</v>
          </cell>
        </row>
        <row r="698">
          <cell r="D698" t="str">
            <v>4" PVC Coupling</v>
          </cell>
        </row>
        <row r="699">
          <cell r="D699" t="str">
            <v>3/4" uPVC Elbow</v>
          </cell>
        </row>
        <row r="700">
          <cell r="D700" t="str">
            <v>3/4" uPVC Tee</v>
          </cell>
        </row>
        <row r="701">
          <cell r="D701" t="str">
            <v>3/4" uPVC Coupling</v>
          </cell>
        </row>
        <row r="702">
          <cell r="D702" t="str">
            <v>3" uPVC Coupling</v>
          </cell>
        </row>
        <row r="703">
          <cell r="D703" t="str">
            <v>4" uPVC Coupling</v>
          </cell>
        </row>
        <row r="704">
          <cell r="D704" t="str">
            <v>3/4" uPVC Nipple</v>
          </cell>
        </row>
        <row r="705">
          <cell r="D705" t="str">
            <v>½"x3/4", uPVC Reducer</v>
          </cell>
        </row>
        <row r="706">
          <cell r="D706" t="str">
            <v xml:space="preserve">½" uPVC Water Pipe </v>
          </cell>
        </row>
        <row r="707">
          <cell r="D707" t="str">
            <v xml:space="preserve">3/4" uPVC Water Pipe </v>
          </cell>
        </row>
        <row r="708">
          <cell r="D708" t="str">
            <v xml:space="preserve">4" uPVC Water Pipe </v>
          </cell>
        </row>
        <row r="709">
          <cell r="D709" t="str">
            <v xml:space="preserve">3" uPVC Water Pipe </v>
          </cell>
        </row>
        <row r="710">
          <cell r="D710" t="str">
            <v xml:space="preserve">2" uPVC Water Pipe </v>
          </cell>
        </row>
        <row r="711">
          <cell r="D711" t="str">
            <v xml:space="preserve">1-1/2" uPVC Water Pipe </v>
          </cell>
        </row>
        <row r="712">
          <cell r="D712" t="str">
            <v xml:space="preserve">1" uPVC Water Pipe </v>
          </cell>
        </row>
        <row r="713">
          <cell r="D713" t="str">
            <v xml:space="preserve">2-1/2" uPVC Water Pipe </v>
          </cell>
        </row>
        <row r="714">
          <cell r="D714" t="str">
            <v>3/4" uPVC Nipple</v>
          </cell>
        </row>
        <row r="715">
          <cell r="D715" t="str">
            <v>( PE PIPES AND FITTINGS )</v>
          </cell>
        </row>
        <row r="716">
          <cell r="D716" t="str">
            <v>PE Pipe, SDR 9  3/8"</v>
          </cell>
        </row>
        <row r="717">
          <cell r="D717" t="str">
            <v>PE Pipe, SDR 9  1/2"</v>
          </cell>
        </row>
        <row r="718">
          <cell r="D718" t="str">
            <v>PE Pipe, SDR 9  3/4"</v>
          </cell>
        </row>
        <row r="719">
          <cell r="D719" t="str">
            <v>PE Pipe, SDR 9  1"</v>
          </cell>
        </row>
        <row r="720">
          <cell r="D720" t="str">
            <v>PE Pipe, SDR 9  1-1/4"</v>
          </cell>
        </row>
        <row r="721">
          <cell r="D721" t="str">
            <v>PE Pipe, SDR 9  1-1/2"</v>
          </cell>
        </row>
        <row r="722">
          <cell r="D722" t="str">
            <v>PE Pipe, SDR 9  2"</v>
          </cell>
        </row>
        <row r="723">
          <cell r="D723" t="str">
            <v>PE Pipe, SDR 9  2-1/2"</v>
          </cell>
        </row>
        <row r="724">
          <cell r="D724" t="str">
            <v>PE Pipe, SDR 9  3"</v>
          </cell>
        </row>
        <row r="725">
          <cell r="D725" t="str">
            <v>PE Pipe, SDR 9  4"</v>
          </cell>
        </row>
        <row r="726">
          <cell r="D726" t="str">
            <v>PE Pipe, SDR 9  6"</v>
          </cell>
        </row>
        <row r="727">
          <cell r="D727" t="str">
            <v>PE Pipe, SDR 11  3/8"</v>
          </cell>
        </row>
        <row r="728">
          <cell r="D728" t="str">
            <v>PE Pipe, SDR 11  1/2"</v>
          </cell>
        </row>
        <row r="729">
          <cell r="D729" t="str">
            <v>PE Pipe, SDR 11  3/4"</v>
          </cell>
        </row>
        <row r="730">
          <cell r="D730" t="str">
            <v>PE Pipe, SDR 11  1"</v>
          </cell>
        </row>
        <row r="731">
          <cell r="D731" t="str">
            <v>PE Pipe, SDR 11  1-1/4"</v>
          </cell>
        </row>
        <row r="732">
          <cell r="D732" t="str">
            <v>PE Pipe, SDR 11  1-1/2"</v>
          </cell>
        </row>
        <row r="733">
          <cell r="D733" t="str">
            <v>PE Pipe, SDR 11  2"</v>
          </cell>
        </row>
        <row r="734">
          <cell r="D734" t="str">
            <v>PE Pipe, SDR 11  2-1/2"</v>
          </cell>
        </row>
        <row r="735">
          <cell r="D735" t="str">
            <v>PE Pipe, SDR 11  3"</v>
          </cell>
        </row>
        <row r="736">
          <cell r="D736" t="str">
            <v>PE Pipe, SDR 11  4"</v>
          </cell>
        </row>
        <row r="737">
          <cell r="D737" t="str">
            <v>PE Pipe, SDR 11  6"</v>
          </cell>
        </row>
        <row r="738">
          <cell r="D738" t="str">
            <v>PE Pipe, SDR 13.5   3/8"</v>
          </cell>
        </row>
        <row r="739">
          <cell r="D739" t="str">
            <v>PE Pipe, SDR 13.5   1/2"</v>
          </cell>
        </row>
        <row r="740">
          <cell r="D740" t="str">
            <v>PE Pipe, SDR 13.5   3/4"</v>
          </cell>
        </row>
        <row r="741">
          <cell r="D741" t="str">
            <v>PE Pipe, SDR 13.5   1"</v>
          </cell>
        </row>
        <row r="742">
          <cell r="D742" t="str">
            <v>PE Pipe, SDR 13.5   1-1/4"</v>
          </cell>
        </row>
        <row r="743">
          <cell r="D743" t="str">
            <v>PE Pipe, SDR 13.5   1-1/2"</v>
          </cell>
        </row>
        <row r="744">
          <cell r="D744" t="str">
            <v>PE Pipe, SDR 13.5   2"</v>
          </cell>
        </row>
        <row r="745">
          <cell r="D745" t="str">
            <v>PE Pipe, SDR 13.5   2-1/2"</v>
          </cell>
        </row>
        <row r="746">
          <cell r="D746" t="str">
            <v>PE Pipe, SDR 13.5   3"</v>
          </cell>
        </row>
        <row r="747">
          <cell r="D747" t="str">
            <v>PE Pipe, SDR 13.5   4"</v>
          </cell>
        </row>
        <row r="748">
          <cell r="D748" t="str">
            <v>PE Pipe, SDR 13.5   6"</v>
          </cell>
        </row>
        <row r="749">
          <cell r="D749" t="str">
            <v>PE Pipe, SDR 17   3/8"</v>
          </cell>
        </row>
        <row r="750">
          <cell r="D750" t="str">
            <v>PE Pipe, SDR 17   1/2"</v>
          </cell>
        </row>
        <row r="751">
          <cell r="D751" t="str">
            <v>PE Pipe, SDR 17   3/4"</v>
          </cell>
        </row>
        <row r="752">
          <cell r="D752" t="str">
            <v>PE Pipe, SDR 17   1"</v>
          </cell>
        </row>
        <row r="753">
          <cell r="D753" t="str">
            <v>PE Pipe, SDR 17   1-1/4"</v>
          </cell>
        </row>
        <row r="754">
          <cell r="D754" t="str">
            <v>PE Pipe, SDR 17   1-1/2"</v>
          </cell>
        </row>
        <row r="755">
          <cell r="D755" t="str">
            <v>PE Pipe, SDR 17   2"</v>
          </cell>
        </row>
        <row r="756">
          <cell r="D756" t="str">
            <v>PE Pipe, SDR 17   2-1/2"</v>
          </cell>
        </row>
        <row r="757">
          <cell r="D757" t="str">
            <v>PE Pipe, SDR 17   3"</v>
          </cell>
        </row>
        <row r="758">
          <cell r="D758" t="str">
            <v>PE Pipe, SDR 17   4"</v>
          </cell>
        </row>
        <row r="759">
          <cell r="D759" t="str">
            <v>PE Pipe, SDR 17   6"</v>
          </cell>
        </row>
        <row r="760">
          <cell r="D760" t="str">
            <v>PE Pipe, SDR 17   1/2"</v>
          </cell>
        </row>
        <row r="761">
          <cell r="D761" t="str">
            <v>PE PIPES FITTINGS FACTOR =</v>
          </cell>
        </row>
        <row r="762">
          <cell r="D762" t="str">
            <v>PE Pipe, SDR 17   1"</v>
          </cell>
        </row>
        <row r="763">
          <cell r="D763" t="str">
            <v>PE PIPE MALE ADAPTOR</v>
          </cell>
        </row>
        <row r="764">
          <cell r="D764" t="str">
            <v>PE Pipe Male Thread Adaptor - 20mm x 1/2"</v>
          </cell>
        </row>
        <row r="765">
          <cell r="D765" t="str">
            <v>PE Pipe Male Thread Adaptor - 25mm x 3/4"</v>
          </cell>
        </row>
        <row r="766">
          <cell r="D766" t="str">
            <v>PE Pipe Male Thread Adaptor - 32mm x 1"</v>
          </cell>
        </row>
        <row r="767">
          <cell r="D767" t="str">
            <v>PE Pipe Male Thread Adaptor - 40mm x 1-1/4"</v>
          </cell>
        </row>
        <row r="768">
          <cell r="D768" t="str">
            <v>PE Pipe Male Thread Adaptor - 50mm x 1-1/2"</v>
          </cell>
        </row>
        <row r="769">
          <cell r="D769" t="str">
            <v>PE Pipe Male Thread Adaptor - 63mm x 2"</v>
          </cell>
        </row>
        <row r="770">
          <cell r="D770" t="str">
            <v>PE Pipe Male Thread Adaptor - 90mm x 3"</v>
          </cell>
        </row>
        <row r="771">
          <cell r="D771" t="str">
            <v>PE PIPES FITTINGS FACTOR =</v>
          </cell>
        </row>
        <row r="772">
          <cell r="D772" t="str">
            <v>PE PIPE FEMALE ADAPTOR</v>
          </cell>
        </row>
        <row r="773">
          <cell r="D773" t="str">
            <v>PE Pipe Female Thread Adaptor - 20mm x 1/2"</v>
          </cell>
        </row>
        <row r="774">
          <cell r="D774" t="str">
            <v>PE Pipe Female Thread Adaptor - 25mm x 3/4"</v>
          </cell>
        </row>
        <row r="775">
          <cell r="D775" t="str">
            <v>PE Pipe Female Thread Adaptor - 32mm x 1"</v>
          </cell>
        </row>
        <row r="776">
          <cell r="D776" t="str">
            <v>PE Pipe Female Thread Adaptor - 50mm x 1-1/2"</v>
          </cell>
        </row>
        <row r="777">
          <cell r="D777" t="str">
            <v>PE Pipe Female Thread Adaptor - 63mm x 2"</v>
          </cell>
        </row>
        <row r="778">
          <cell r="D778" t="str">
            <v>PE Pipe Female Thread Adaptor - 90mm x 3"</v>
          </cell>
        </row>
        <row r="779">
          <cell r="D779" t="str">
            <v>PE Pipe Male Thread Adaptor - 63mm x 2"</v>
          </cell>
        </row>
        <row r="780">
          <cell r="D780" t="str">
            <v>STRAIGHT COUPLER</v>
          </cell>
        </row>
        <row r="781">
          <cell r="D781" t="str">
            <v>PE Pipe Straight Coupler - 20mm x 20mm</v>
          </cell>
        </row>
        <row r="782">
          <cell r="D782" t="str">
            <v>PE Pipe Straight Coupler - 25mm x 25mm</v>
          </cell>
        </row>
        <row r="783">
          <cell r="D783" t="str">
            <v>PE Pipe Straight Coupler - 32mm x 32mm</v>
          </cell>
        </row>
        <row r="784">
          <cell r="D784" t="str">
            <v>PE Pipe Straight Coupler - 40mm x 40mm</v>
          </cell>
        </row>
        <row r="785">
          <cell r="D785" t="str">
            <v>PE Pipe Straight Coupler - 50mm x 50mm</v>
          </cell>
        </row>
        <row r="786">
          <cell r="D786" t="str">
            <v>PE Pipe Straight Coupler - 63mm x 63mm</v>
          </cell>
        </row>
        <row r="787">
          <cell r="D787" t="str">
            <v>PE Pipe Straight Coupler - 75mm x 75mm</v>
          </cell>
        </row>
        <row r="788">
          <cell r="D788" t="str">
            <v>PE Pipe Straight Coupler - 90mm x 90mm</v>
          </cell>
        </row>
        <row r="789">
          <cell r="D789" t="str">
            <v>PE Pipe Straight Coupler - 90mm x 90mm</v>
          </cell>
        </row>
        <row r="790">
          <cell r="D790" t="str">
            <v>REDUCING COUPLER</v>
          </cell>
        </row>
        <row r="791">
          <cell r="D791" t="str">
            <v>PE Pipe Reducing Coupler - 25mm x 20mm</v>
          </cell>
        </row>
        <row r="792">
          <cell r="D792" t="str">
            <v>PE Pipe Reducing Coupler - 32mm x 20mm</v>
          </cell>
        </row>
        <row r="793">
          <cell r="D793" t="str">
            <v>PE Pipe Reducing Coupler - 32mm x 25mm</v>
          </cell>
        </row>
        <row r="794">
          <cell r="D794" t="str">
            <v>PE Pipe Reducing Coupler - 40mm x 32mm</v>
          </cell>
        </row>
        <row r="795">
          <cell r="D795" t="str">
            <v>PE Pipe Reducing Coupler - 50mm x 25mm</v>
          </cell>
        </row>
        <row r="796">
          <cell r="D796" t="str">
            <v>PE Pipe Reducing Coupler - 50mm x 32mm</v>
          </cell>
        </row>
        <row r="797">
          <cell r="D797" t="str">
            <v>PE Pipe Reducing Coupler - 50mm x 40mm</v>
          </cell>
        </row>
        <row r="798">
          <cell r="D798" t="str">
            <v>PE Pipe Reducing Coupler - 63mm x 32mm</v>
          </cell>
        </row>
        <row r="799">
          <cell r="D799" t="str">
            <v>PE Pipe Reducing Coupler - 63mm x 40mm</v>
          </cell>
        </row>
        <row r="800">
          <cell r="D800" t="str">
            <v>PE Pipe Reducing Coupler - 63mm x 50mm</v>
          </cell>
        </row>
        <row r="801">
          <cell r="D801" t="str">
            <v>PE Pipe Reducing Coupler - 90mm x 63mm</v>
          </cell>
        </row>
        <row r="802">
          <cell r="D802" t="str">
            <v>PE Pipe Reducing Coupler - 32mm x 20mm</v>
          </cell>
        </row>
        <row r="803">
          <cell r="D803" t="str">
            <v>END CAP</v>
          </cell>
        </row>
        <row r="804">
          <cell r="D804" t="str">
            <v>PE Pipe End Cap - 20mm</v>
          </cell>
        </row>
        <row r="805">
          <cell r="D805" t="str">
            <v>PE Pipe End Cap - 25mm</v>
          </cell>
        </row>
        <row r="806">
          <cell r="D806" t="str">
            <v>PE Pipe End Cap - 32mm</v>
          </cell>
        </row>
        <row r="807">
          <cell r="D807" t="str">
            <v>PE Pipe End Cap - 40mm</v>
          </cell>
        </row>
        <row r="808">
          <cell r="D808" t="str">
            <v>PE Pipe End Cap - 50mm</v>
          </cell>
        </row>
        <row r="809">
          <cell r="D809" t="str">
            <v>PE Pipe End Cap - 63mm</v>
          </cell>
        </row>
        <row r="810">
          <cell r="D810" t="str">
            <v>PE Pipe End Cap - 90mm</v>
          </cell>
        </row>
        <row r="811">
          <cell r="D811" t="str">
            <v>PE Pipe Reducing Coupler - 90mm x 63mm</v>
          </cell>
        </row>
        <row r="812">
          <cell r="D812" t="str">
            <v>MALE TEE</v>
          </cell>
        </row>
        <row r="813">
          <cell r="D813" t="str">
            <v>PE Pipe Male Tee - 20mm x 1/2"</v>
          </cell>
        </row>
        <row r="814">
          <cell r="D814" t="str">
            <v>PE Pipe Male Tee - 20mm x 3/4"</v>
          </cell>
        </row>
        <row r="815">
          <cell r="D815" t="str">
            <v>PE Pipe Male Tee - 25mm x 1/2"</v>
          </cell>
        </row>
        <row r="816">
          <cell r="D816" t="str">
            <v>PE Pipe Male Tee - 25mm x 3/4"</v>
          </cell>
        </row>
        <row r="817">
          <cell r="D817" t="str">
            <v>PE Pipe Male Tee - 32mm x 3/4"</v>
          </cell>
        </row>
        <row r="818">
          <cell r="D818" t="str">
            <v>PE Pipe Male Tee - 32mm x 1"</v>
          </cell>
        </row>
        <row r="819">
          <cell r="D819" t="str">
            <v>PE Pipe Male Tee - 50mm x 1-1/2"</v>
          </cell>
        </row>
        <row r="820">
          <cell r="D820" t="str">
            <v>PE Pipe Male Tee - 63mm x 2"</v>
          </cell>
        </row>
        <row r="821">
          <cell r="D821" t="str">
            <v>PE Pipe Male Tee - 90mm x 3"</v>
          </cell>
        </row>
        <row r="822">
          <cell r="D822" t="str">
            <v>MALE TEE</v>
          </cell>
        </row>
        <row r="823">
          <cell r="D823" t="str">
            <v>FEMALE TEE</v>
          </cell>
        </row>
        <row r="824">
          <cell r="D824" t="str">
            <v>PE Pipe Female Tee - 20mm x 1/2"</v>
          </cell>
        </row>
        <row r="825">
          <cell r="D825" t="str">
            <v>PE Pipe Female Tee - 20mm x 3/4"</v>
          </cell>
        </row>
        <row r="826">
          <cell r="D826" t="str">
            <v>PE Pipe Female Tee - 25mm x 1/2"</v>
          </cell>
        </row>
        <row r="827">
          <cell r="D827" t="str">
            <v>PE Pipe Female Tee - 25mm x 3/4"</v>
          </cell>
        </row>
        <row r="828">
          <cell r="D828" t="str">
            <v>PE Pipe Female Tee - 32mm x 3/4"</v>
          </cell>
        </row>
        <row r="829">
          <cell r="D829" t="str">
            <v>PE Pipe Female Tee - 32mm x 1"</v>
          </cell>
        </row>
        <row r="830">
          <cell r="D830" t="str">
            <v>PE Pipe Female Tee - 50mm x 1-1/2"</v>
          </cell>
        </row>
        <row r="831">
          <cell r="D831" t="str">
            <v>PE Pipe Female Tee - 63mm x 2"</v>
          </cell>
        </row>
        <row r="832">
          <cell r="D832" t="str">
            <v>PE Pipe Female Tee - 90mm x 3"</v>
          </cell>
        </row>
        <row r="833">
          <cell r="D833" t="str">
            <v>FEMALE TEE</v>
          </cell>
        </row>
        <row r="834">
          <cell r="D834" t="str">
            <v>REDUCING TEE</v>
          </cell>
        </row>
        <row r="835">
          <cell r="D835" t="str">
            <v>PE Pipe Reducing Tee - 25mm x 20mm</v>
          </cell>
        </row>
        <row r="836">
          <cell r="D836" t="str">
            <v>PE Pipe Reducing Tee - 32mm x 20mm</v>
          </cell>
        </row>
        <row r="837">
          <cell r="D837" t="str">
            <v>PE Pipe Reducing Tee - 32mm x 25mm</v>
          </cell>
        </row>
        <row r="838">
          <cell r="D838" t="str">
            <v>PE Pipe Reducing Tee - 40mm x 32mm</v>
          </cell>
        </row>
        <row r="839">
          <cell r="D839" t="str">
            <v>PE Pipe Reducing Tee - 50mm x 32mm</v>
          </cell>
        </row>
        <row r="840">
          <cell r="D840" t="str">
            <v>PE Pipe Reducing Tee - 50mm x 40mm</v>
          </cell>
        </row>
        <row r="841">
          <cell r="D841" t="str">
            <v>PE Pipe Reducing Tee - 63mm x 50mm</v>
          </cell>
        </row>
        <row r="842">
          <cell r="D842" t="str">
            <v>PE Pipe Female Tee - 90mm x 3"</v>
          </cell>
        </row>
        <row r="843">
          <cell r="D843" t="str">
            <v>EQUAL TEE</v>
          </cell>
        </row>
        <row r="844">
          <cell r="D844" t="str">
            <v>PE Pipe Equal Tee - 20mm x 20mm</v>
          </cell>
        </row>
        <row r="845">
          <cell r="D845" t="str">
            <v>PE Pipe Equal Tee - 20mm x 25mm</v>
          </cell>
        </row>
        <row r="846">
          <cell r="D846" t="str">
            <v>PE Pipe Equal Tee - 32mm x 32mm</v>
          </cell>
        </row>
        <row r="847">
          <cell r="D847" t="str">
            <v>PE Pipe Equal Tee - 40mm x 40mm</v>
          </cell>
        </row>
        <row r="848">
          <cell r="D848" t="str">
            <v>PE Pipe Equal Tee - 50mm x 50mm</v>
          </cell>
        </row>
        <row r="849">
          <cell r="D849" t="str">
            <v>PE Pipe Equal Tee - 63mm x 63mm</v>
          </cell>
        </row>
        <row r="850">
          <cell r="D850" t="str">
            <v>PE Pipe Equal Tee - 90mm x 90mm</v>
          </cell>
        </row>
        <row r="851">
          <cell r="D851" t="str">
            <v>PE Pipe Reducing Tee - 63mm x 50mm</v>
          </cell>
        </row>
        <row r="852">
          <cell r="D852" t="str">
            <v>EQUAL BEND 90°</v>
          </cell>
        </row>
        <row r="853">
          <cell r="D853" t="str">
            <v>PE Pipe Equal Bend 90° - 20mm x 20mm</v>
          </cell>
        </row>
        <row r="854">
          <cell r="D854" t="str">
            <v>PE Pipe Equal Bend 90° - 20mm x 25mm</v>
          </cell>
        </row>
        <row r="855">
          <cell r="D855" t="str">
            <v>PE Pipe Equal Bend 90° - 32mm x 32mm</v>
          </cell>
        </row>
        <row r="856">
          <cell r="D856" t="str">
            <v>PE Pipe Equal Bend 90° - 40mm x 40mm</v>
          </cell>
        </row>
        <row r="857">
          <cell r="D857" t="str">
            <v>PE Pipe Equal Bend 90° - 50mm x 50mm</v>
          </cell>
        </row>
        <row r="858">
          <cell r="D858" t="str">
            <v>PE Pipe Equal Bend 90° - 63mm x 63mm</v>
          </cell>
        </row>
        <row r="859">
          <cell r="D859" t="str">
            <v>PE Pipe Equal Bend 90° - 90mm x 90mm</v>
          </cell>
        </row>
        <row r="860">
          <cell r="D860" t="str">
            <v>PE Pipe Equal Tee - 90mm x 90mm</v>
          </cell>
        </row>
        <row r="861">
          <cell r="D861" t="str">
            <v>FEMALE BEND 90°</v>
          </cell>
        </row>
        <row r="862">
          <cell r="D862" t="str">
            <v>PE Pipe Female Bend 90° - 20mm x 1/2"</v>
          </cell>
        </row>
        <row r="863">
          <cell r="D863" t="str">
            <v>PE Pipe Female Bend 90° - 20mm x 3/4"</v>
          </cell>
        </row>
        <row r="864">
          <cell r="D864" t="str">
            <v>PE Pipe Female Bend 90° - 25mm x 1/2"</v>
          </cell>
        </row>
        <row r="865">
          <cell r="D865" t="str">
            <v>PE Pipe Female Bend 90° - 25mm x 3/4"</v>
          </cell>
        </row>
        <row r="866">
          <cell r="D866" t="str">
            <v>PE Pipe Female Bend 90° - 25mm x 1"</v>
          </cell>
        </row>
        <row r="867">
          <cell r="D867" t="str">
            <v>PE Pipe Female Bend 90° - 32mm x 3/4"</v>
          </cell>
        </row>
        <row r="868">
          <cell r="D868" t="str">
            <v>PE Pipe Female Bend 90° - 32mm x 1"</v>
          </cell>
        </row>
        <row r="869">
          <cell r="D869" t="str">
            <v>PE Pipe Female Bend 90° - 50mm x 1-1/2"</v>
          </cell>
        </row>
        <row r="870">
          <cell r="D870" t="str">
            <v>PE Pipe Female Bend 90° - 63mm x 2"</v>
          </cell>
        </row>
        <row r="871">
          <cell r="D871" t="str">
            <v>PE Pipe Female Bend 90° - 90mm x 3"</v>
          </cell>
        </row>
        <row r="872">
          <cell r="D872" t="str">
            <v>PE Pipe Female Bend 90° - 20mm x 1/2"</v>
          </cell>
        </row>
        <row r="873">
          <cell r="D873" t="str">
            <v>MALE BEND 90°</v>
          </cell>
        </row>
        <row r="874">
          <cell r="D874" t="str">
            <v>PE Pipe Male Bend 90° - 20mm x 1/2"</v>
          </cell>
        </row>
        <row r="875">
          <cell r="D875" t="str">
            <v>PE Pipe Male Bend 90° - 20mm x 3/4"</v>
          </cell>
        </row>
        <row r="876">
          <cell r="D876" t="str">
            <v>PE Pipe Male Bend 90° - 25mm x 1/2"</v>
          </cell>
        </row>
        <row r="877">
          <cell r="D877" t="str">
            <v>PE Pipe Male Bend 90° - 25mm x 3/4"</v>
          </cell>
        </row>
        <row r="878">
          <cell r="D878" t="str">
            <v>PE Pipe Male Bend 90° - 25mm x 1"</v>
          </cell>
        </row>
        <row r="879">
          <cell r="D879" t="str">
            <v>PE Pipe Male Bend 90° - 32mm x 3/4"</v>
          </cell>
        </row>
        <row r="880">
          <cell r="D880" t="str">
            <v>PE Pipe Male Bend 90° - 32mm x 1"</v>
          </cell>
        </row>
        <row r="881">
          <cell r="D881" t="str">
            <v>PE Pipe Male Bend 90° - 50mm x 1-1/2"</v>
          </cell>
        </row>
        <row r="882">
          <cell r="D882" t="str">
            <v>PE Pipe Male Bend 90° - 63mm x 2"</v>
          </cell>
        </row>
        <row r="883">
          <cell r="D883" t="str">
            <v>PE Pipe Male Bend 90° - 90mm x 3"</v>
          </cell>
        </row>
        <row r="884">
          <cell r="D884" t="str">
            <v>PE Pipe Male Bend 90° - 20mm x 1/2"</v>
          </cell>
        </row>
        <row r="885">
          <cell r="D885" t="str">
            <v>SINGLE OUTLET SADDLE CLAMP</v>
          </cell>
        </row>
        <row r="886">
          <cell r="D886" t="str">
            <v>PE Pipe Single Outlet Saddle Clamp - 32mm x 3/4"</v>
          </cell>
        </row>
        <row r="887">
          <cell r="D887" t="str">
            <v>PE Pipe Single Outlet Saddle Clamp - 32mm x 1"</v>
          </cell>
        </row>
        <row r="888">
          <cell r="D888" t="str">
            <v>PE Pipe Single Outlet Saddle Clamp - 40mm x 1"</v>
          </cell>
        </row>
        <row r="889">
          <cell r="D889" t="str">
            <v>PE Pipe Single Outlet Saddle Clamp - 50mm x 3/4"</v>
          </cell>
        </row>
        <row r="890">
          <cell r="D890" t="str">
            <v>PE Pipe Single Outlet Saddle Clamp - 50mm x 1"</v>
          </cell>
        </row>
        <row r="891">
          <cell r="D891" t="str">
            <v>PE Pipe Single Outlet Saddle Clamp - 63mm x 3/4"</v>
          </cell>
        </row>
        <row r="892">
          <cell r="D892" t="str">
            <v>PE Pipe Single Outlet Saddle Clamp - 63mm x 1"</v>
          </cell>
        </row>
        <row r="893">
          <cell r="D893" t="str">
            <v>PE Pipe Single Outlet Saddle Clamp - 73mm x 1"</v>
          </cell>
        </row>
        <row r="894">
          <cell r="D894" t="str">
            <v>PE Pipe Single Outlet Saddle Clamp - 90mm x 3/4"</v>
          </cell>
        </row>
        <row r="895">
          <cell r="D895" t="str">
            <v>PE Pipe Single Outlet Saddle Clamp - 90mm x 1"</v>
          </cell>
        </row>
        <row r="896">
          <cell r="D896" t="str">
            <v>PE Pipe Single Outlet Saddle Clamp - 90mm x 2"</v>
          </cell>
        </row>
        <row r="897">
          <cell r="D897" t="str">
            <v>PE Pipe Single Outlet Saddle Clamp - 110mm x 3/4"</v>
          </cell>
        </row>
        <row r="898">
          <cell r="D898" t="str">
            <v>PE Pipe Single Outlet Saddle Clamp - 110mm x 1"</v>
          </cell>
        </row>
        <row r="899">
          <cell r="D899" t="str">
            <v>PE Pipe Single Outlet Saddle Clamp - 110mm x 1-1/4"</v>
          </cell>
        </row>
        <row r="900">
          <cell r="D900" t="str">
            <v>PE Pipe Single Outlet Saddle Clamp - 110mm x 2"</v>
          </cell>
        </row>
        <row r="901">
          <cell r="D901" t="str">
            <v>PE Pipe Single Outlet Saddle Clamp - 160mm x 3/4"</v>
          </cell>
        </row>
        <row r="902">
          <cell r="D902" t="str">
            <v>PE Pipe Single Outlet Saddle Clamp - 160mm x 1"</v>
          </cell>
        </row>
        <row r="903">
          <cell r="D903" t="str">
            <v>PE Pipe Single Outlet Saddle Clamp - 160mm x 2"</v>
          </cell>
        </row>
        <row r="904">
          <cell r="D904" t="str">
            <v>PE Pipe Single Outlet Saddle Clamp - 90mm x 3/4"</v>
          </cell>
        </row>
        <row r="905">
          <cell r="D905" t="str">
            <v>DOUBLE OUTLET SADDLE CLAMP</v>
          </cell>
        </row>
        <row r="906">
          <cell r="D906" t="str">
            <v>PE Pipe Double Outlet Saddle Clamp - 32mm x 3/4" x 3/4"</v>
          </cell>
        </row>
        <row r="907">
          <cell r="D907" t="str">
            <v>PE Pipe Double Outlet Saddle Clamp - 32mm x 1" x 1"</v>
          </cell>
        </row>
        <row r="908">
          <cell r="D908" t="str">
            <v>PE Pipe Double Outlet Saddle Clamp - 50mm x 3/4" x 3/4"</v>
          </cell>
        </row>
        <row r="909">
          <cell r="D909" t="str">
            <v>PE Pipe Double Outlet Saddle Clamp - 50mm x 1" x 1"</v>
          </cell>
        </row>
        <row r="910">
          <cell r="D910" t="str">
            <v>PE Pipe Double Outlet Saddle Clamp - 63mm x 3/4" x 3/4"</v>
          </cell>
        </row>
        <row r="911">
          <cell r="D911" t="str">
            <v>PE Pipe Double Outlet Saddle Clamp - 63mm x 1" x 1"</v>
          </cell>
        </row>
        <row r="912">
          <cell r="D912" t="str">
            <v>PE Pipe Double Outlet Saddle Clamp - 90mm x 3/4" x 3/4"</v>
          </cell>
        </row>
        <row r="913">
          <cell r="D913" t="str">
            <v>PE Pipe Double Outlet Saddle Clamp - 90mm x 1" x 1"</v>
          </cell>
        </row>
        <row r="914">
          <cell r="D914" t="str">
            <v>PE Pipe Double Outlet Saddle Clamp - 90mm x 2" x 2"</v>
          </cell>
        </row>
        <row r="915">
          <cell r="D915" t="str">
            <v>PE Pipe Double Outlet Saddle Clamp - 110mm x 3/4" x 3/4"</v>
          </cell>
        </row>
        <row r="916">
          <cell r="D916" t="str">
            <v>PE Pipe Double Outlet Saddle Clamp - 110mm x 1" x 1"</v>
          </cell>
        </row>
        <row r="917">
          <cell r="D917" t="str">
            <v>PE Pipe Double Outlet Saddle Clamp - 110mm x 2" x 2"</v>
          </cell>
        </row>
        <row r="918">
          <cell r="D918" t="str">
            <v>PE Pipe Double Outlet Saddle Clamp - 160mm x 3/4" x 3/4"</v>
          </cell>
        </row>
        <row r="919">
          <cell r="D919" t="str">
            <v>PE Pipe Double Outlet Saddle Clamp - 160mm x 1" x 1"</v>
          </cell>
        </row>
        <row r="920">
          <cell r="D920" t="str">
            <v>PE Pipe Double Outlet Saddle Clamp - 160mm x 2" x 2"</v>
          </cell>
        </row>
        <row r="921">
          <cell r="D921" t="str">
            <v>PE Pipe Double Outlet Saddle Clamp - 63mm x 1" x 1"</v>
          </cell>
        </row>
        <row r="922">
          <cell r="D922" t="str">
            <v>SPIGOT - Stub End</v>
          </cell>
        </row>
        <row r="923">
          <cell r="D923" t="str">
            <v>PE Pipe Stub End Long Collar - 90mm x 63mm</v>
          </cell>
        </row>
        <row r="924">
          <cell r="D924" t="str">
            <v>PE Pipe Stub End Long Collar - 110mm x 63mm</v>
          </cell>
        </row>
        <row r="925">
          <cell r="D925" t="str">
            <v>PE Pipe Stub End Long Collar - 160mm x 63mm</v>
          </cell>
        </row>
        <row r="926">
          <cell r="D926" t="str">
            <v>PE Pipe Stub End Long Collar - 160mm x 110mm</v>
          </cell>
        </row>
        <row r="927">
          <cell r="D927" t="str">
            <v>PE Pipe Double Outlet Saddle Clamp - 110mm x 2" x 2"</v>
          </cell>
        </row>
        <row r="928">
          <cell r="D928" t="str">
            <v>SPIGOT - Reducer</v>
          </cell>
        </row>
        <row r="929">
          <cell r="D929" t="str">
            <v>PE Pipe (Spigot) Reducer - 63mm</v>
          </cell>
        </row>
        <row r="930">
          <cell r="D930" t="str">
            <v>PE Pipe (Spigot) Reducer - 90mm</v>
          </cell>
        </row>
        <row r="931">
          <cell r="D931" t="str">
            <v>PE Pipe (Spigot) Reducer - 110mm</v>
          </cell>
        </row>
        <row r="932">
          <cell r="D932" t="str">
            <v>PE Pipe (Spigot) Reducer - 160mm</v>
          </cell>
        </row>
        <row r="933">
          <cell r="D933" t="str">
            <v>PE Pipe Stub End Long Collar - 90mm x 63mm</v>
          </cell>
        </row>
        <row r="934">
          <cell r="D934" t="str">
            <v>PE Pipe, SDR 17   25mmØ</v>
          </cell>
        </row>
        <row r="935">
          <cell r="D935" t="str">
            <v>PE Pipe, SDR 17   32mmØ</v>
          </cell>
        </row>
        <row r="936">
          <cell r="D936" t="str">
            <v>PE Pipe, SDR 17   40mmØ</v>
          </cell>
        </row>
        <row r="937">
          <cell r="D937" t="str">
            <v>PE Pipe, SDR 17   50mmØ</v>
          </cell>
        </row>
        <row r="938">
          <cell r="D938" t="str">
            <v>PE Pipe, SDR 17   63mmØ</v>
          </cell>
        </row>
        <row r="939">
          <cell r="D939" t="str">
            <v>PE Pipe, SDR 17  75mmØ</v>
          </cell>
        </row>
        <row r="940">
          <cell r="D940" t="str">
            <v>PE Pipe, SDR 17  90mmØ</v>
          </cell>
        </row>
        <row r="941">
          <cell r="D941" t="str">
            <v>PE Pipe (Spigot) Reducer - 110mm</v>
          </cell>
        </row>
        <row r="942">
          <cell r="D942" t="str">
            <v>3/8" PE Pipe Coupling/Connector</v>
          </cell>
        </row>
        <row r="943">
          <cell r="D943" t="str">
            <v>½" PE Pipe Coupling/Connector</v>
          </cell>
        </row>
        <row r="944">
          <cell r="D944" t="str">
            <v>3/4" PE Pipe Coupling/Connector</v>
          </cell>
        </row>
        <row r="945">
          <cell r="D945" t="str">
            <v>1" PE Pipe Coupling/Connector</v>
          </cell>
        </row>
        <row r="946">
          <cell r="D946" t="str">
            <v>1¼" PE Pipe Coupling/Connector</v>
          </cell>
        </row>
        <row r="947">
          <cell r="D947" t="str">
            <v>1½" PE Pipe Coupling/Connector</v>
          </cell>
        </row>
        <row r="948">
          <cell r="D948" t="str">
            <v>2" PE Pipe Coupling/Connector</v>
          </cell>
        </row>
        <row r="949">
          <cell r="D949" t="str">
            <v>2½" PE Pipe Coupling/Connector</v>
          </cell>
        </row>
        <row r="950">
          <cell r="D950" t="str">
            <v>3" PE Pipe Coupling/Connector</v>
          </cell>
        </row>
        <row r="951">
          <cell r="D951" t="str">
            <v>63mm X 2"dia. Male Adaptor, PLASSON</v>
          </cell>
        </row>
        <row r="952">
          <cell r="D952" t="str">
            <v>75mm X 2½"dia. Male Adaptor, PLASSON</v>
          </cell>
        </row>
        <row r="953">
          <cell r="D953" t="str">
            <v>½" PE Pipe Coupling/Connector</v>
          </cell>
        </row>
        <row r="954">
          <cell r="D954" t="str">
            <v>Butt Fusion</v>
          </cell>
        </row>
        <row r="955">
          <cell r="D955" t="str">
            <v>PE Pipe Butt Fussion - 25mmØ</v>
          </cell>
        </row>
        <row r="956">
          <cell r="D956" t="str">
            <v>PE Pipe Butt Fussion - 32mmØ</v>
          </cell>
        </row>
        <row r="957">
          <cell r="D957" t="str">
            <v>PE Pipe Butt Fussion - 40mmØ</v>
          </cell>
        </row>
        <row r="958">
          <cell r="D958" t="str">
            <v>PE Pipe Butt Fussion - 50mmØ</v>
          </cell>
        </row>
        <row r="959">
          <cell r="D959" t="str">
            <v>PE Pipe Butt Fussion - 63mmØ</v>
          </cell>
        </row>
        <row r="960">
          <cell r="D960" t="str">
            <v>PE Pipe Butt Fussion - 75mmØ</v>
          </cell>
        </row>
        <row r="961">
          <cell r="D961" t="str">
            <v>PE Pipe Butt Fussion - 90mmØ</v>
          </cell>
        </row>
        <row r="962">
          <cell r="D962" t="str">
            <v>75mm X 2½"dia. Male Adaptor, PLASSON</v>
          </cell>
        </row>
        <row r="963">
          <cell r="D963" t="str">
            <v>PE Pipe Butt Fussion - 25mm x 20mm</v>
          </cell>
        </row>
        <row r="964">
          <cell r="D964" t="str">
            <v>PE Pipe Butt Fussion - 32mm x 20mm</v>
          </cell>
        </row>
        <row r="965">
          <cell r="D965" t="str">
            <v>PE Pipe Butt Fussion - 32mm x 25mm</v>
          </cell>
        </row>
        <row r="966">
          <cell r="D966" t="str">
            <v>PE Pipe Butt Fussion - 50mm x 25mm</v>
          </cell>
        </row>
        <row r="967">
          <cell r="D967" t="str">
            <v>PE Pipe Butt Fussion - 50mm x 32mm</v>
          </cell>
        </row>
        <row r="968">
          <cell r="D968" t="str">
            <v>PE Pipe Butt Fussion - 50mm x 40mm</v>
          </cell>
        </row>
        <row r="969">
          <cell r="D969" t="str">
            <v>PE Pipe Butt Fussion - 63mm x 32mm</v>
          </cell>
        </row>
        <row r="970">
          <cell r="D970" t="str">
            <v>PE Pipe Butt Fussion - 63mm x 40mm</v>
          </cell>
        </row>
        <row r="971">
          <cell r="D971" t="str">
            <v>PE Pipe Butt Fussion - 63mm x 50mm</v>
          </cell>
        </row>
        <row r="972">
          <cell r="D972" t="str">
            <v>PE Pipe Butt Fussion - 90mm x 63mm</v>
          </cell>
        </row>
        <row r="973">
          <cell r="D973" t="str">
            <v>PE Pipe Butt Fussion - 25mm x 20mm</v>
          </cell>
        </row>
        <row r="974">
          <cell r="D974" t="str">
            <v>PE Pipe Butt Fussion - 32mm x 20mm</v>
          </cell>
        </row>
        <row r="975">
          <cell r="D975" t="str">
            <v>( SANITARY FIXTURES )</v>
          </cell>
        </row>
        <row r="976">
          <cell r="D976" t="str">
            <v>½" Brass Faucet, Plain Bibb</v>
          </cell>
        </row>
        <row r="977">
          <cell r="D977" t="str">
            <v>Water closet (ordinary)</v>
          </cell>
        </row>
        <row r="978">
          <cell r="D978" t="str">
            <v>Water closet</v>
          </cell>
        </row>
        <row r="979">
          <cell r="D979" t="str">
            <v>Water seal bowl (Pail Flush)</v>
          </cell>
        </row>
        <row r="980">
          <cell r="D980" t="str">
            <v>Lavatory, porcelain</v>
          </cell>
        </row>
        <row r="981">
          <cell r="D981" t="str">
            <v>Kitchen sink ( Aluminum)</v>
          </cell>
        </row>
        <row r="982">
          <cell r="D982" t="str">
            <v>Soap Holder (ceramic)</v>
          </cell>
        </row>
        <row r="983">
          <cell r="D983" t="str">
            <v>Paper Holder (ceramic)</v>
          </cell>
        </row>
        <row r="984">
          <cell r="D984" t="str">
            <v>4x4 Floor drain plate</v>
          </cell>
        </row>
        <row r="985">
          <cell r="D985" t="str">
            <v>6x6 Floor drain plate</v>
          </cell>
        </row>
        <row r="986">
          <cell r="D986" t="str">
            <v>1¼" Jetmatic Pump, Heavy Duty</v>
          </cell>
        </row>
        <row r="987">
          <cell r="D987" t="str">
            <v>Magsaysay Pump, Heavy Duty</v>
          </cell>
        </row>
        <row r="988">
          <cell r="D988" t="str">
            <v>Sink Strainer</v>
          </cell>
        </row>
        <row r="989">
          <cell r="D989" t="str">
            <v>Dome Type Roof Drain</v>
          </cell>
        </row>
        <row r="990">
          <cell r="D990" t="str">
            <v>Kitchen sink (Stainless)</v>
          </cell>
        </row>
        <row r="991">
          <cell r="D991" t="str">
            <v>Brass Faucet</v>
          </cell>
        </row>
        <row r="992">
          <cell r="D992" t="str">
            <v>Stainless Lavatory Faucet</v>
          </cell>
        </row>
        <row r="993">
          <cell r="D993" t="str">
            <v>150mm PVC Sanitary/Sewer Pipe x 3000</v>
          </cell>
        </row>
        <row r="994">
          <cell r="D994" t="str">
            <v>150mm PVC Pipe x 6000</v>
          </cell>
        </row>
        <row r="995">
          <cell r="D995" t="str">
            <v>6x6 Floor drain plate</v>
          </cell>
        </row>
        <row r="996">
          <cell r="D996" t="str">
            <v>( ELECTRICAL WIRES &amp; APURTENANCES )</v>
          </cell>
        </row>
        <row r="997">
          <cell r="D997" t="str">
            <v>#8 AWG TW Wire solid</v>
          </cell>
        </row>
        <row r="998">
          <cell r="D998" t="str">
            <v>#10 AWG TW Wire solid</v>
          </cell>
        </row>
        <row r="999">
          <cell r="D999" t="str">
            <v>#12 AWG TW Wire solid</v>
          </cell>
        </row>
        <row r="1000">
          <cell r="D1000" t="str">
            <v>#14 AWG TW Wire solid</v>
          </cell>
        </row>
        <row r="1001">
          <cell r="D1001" t="str">
            <v>#10 AWG TW Wire stranded</v>
          </cell>
        </row>
        <row r="1002">
          <cell r="D1002" t="str">
            <v>#12 AWG TW Wire stranded</v>
          </cell>
        </row>
        <row r="1003">
          <cell r="D1003" t="str">
            <v>#14 AWG TW Wire stranded</v>
          </cell>
        </row>
        <row r="1004">
          <cell r="D1004" t="str">
            <v>#10  PDX Wire</v>
          </cell>
        </row>
        <row r="1005">
          <cell r="D1005" t="str">
            <v>#12 PDX Wire</v>
          </cell>
        </row>
        <row r="1006">
          <cell r="D1006" t="str">
            <v>#14 PDX Wire</v>
          </cell>
        </row>
        <row r="1007">
          <cell r="D1007" t="str">
            <v>3/4" PolyFlex Pipe</v>
          </cell>
        </row>
        <row r="1008">
          <cell r="D1008" t="str">
            <v>½" Flexible conduit</v>
          </cell>
        </row>
        <row r="1009">
          <cell r="D1009" t="str">
            <v>1" Flexible conduit</v>
          </cell>
        </row>
        <row r="1010">
          <cell r="D1010" t="str">
            <v>½" Entrance Cap</v>
          </cell>
        </row>
        <row r="1011">
          <cell r="D1011" t="str">
            <v>20A Circuit Breakers</v>
          </cell>
        </row>
        <row r="1012">
          <cell r="D1012" t="str">
            <v>30A Circuit Breakers</v>
          </cell>
        </row>
        <row r="1013">
          <cell r="D1013" t="str">
            <v>40A Circuit Breakers</v>
          </cell>
        </row>
        <row r="1014">
          <cell r="D1014" t="str">
            <v>60ACircuit Breakers</v>
          </cell>
        </row>
        <row r="1015">
          <cell r="D1015" t="str">
            <v>100A Circuit Breakers</v>
          </cell>
        </row>
        <row r="1016">
          <cell r="D1016" t="str">
            <v>15A Fuse</v>
          </cell>
        </row>
        <row r="1017">
          <cell r="D1017" t="str">
            <v>20A Fuse</v>
          </cell>
        </row>
        <row r="1018">
          <cell r="D1018" t="str">
            <v>30A Fuse</v>
          </cell>
        </row>
        <row r="1019">
          <cell r="D1019" t="str">
            <v>60A Fuse</v>
          </cell>
        </row>
        <row r="1020">
          <cell r="D1020" t="str">
            <v>30A kWh Meter</v>
          </cell>
        </row>
        <row r="1021">
          <cell r="D1021" t="str">
            <v>60A kWh Meter</v>
          </cell>
        </row>
        <row r="1022">
          <cell r="D1022" t="str">
            <v>100A kWh Meter</v>
          </cell>
        </row>
        <row r="1023">
          <cell r="D1023" t="str">
            <v>2X4, Utility Box</v>
          </cell>
        </row>
        <row r="1024">
          <cell r="D1024" t="str">
            <v>4X4, Junction Box with cover (Square)</v>
          </cell>
        </row>
        <row r="1025">
          <cell r="D1025" t="str">
            <v>4X4, Junction Box with cover (Octagonal)</v>
          </cell>
        </row>
        <row r="1026">
          <cell r="D1026" t="str">
            <v>Porcelain Ceiling Outlet</v>
          </cell>
        </row>
        <row r="1027">
          <cell r="D1027" t="str">
            <v>Duplex convenience outlet (surface type)</v>
          </cell>
        </row>
        <row r="1028">
          <cell r="D1028" t="str">
            <v>Rubber female plug</v>
          </cell>
        </row>
        <row r="1029">
          <cell r="D1029" t="str">
            <v>Electrical Tape</v>
          </cell>
        </row>
        <row r="1030">
          <cell r="D1030" t="str">
            <v>Panel Board, 6-Breakers</v>
          </cell>
        </row>
        <row r="1031">
          <cell r="D1031" t="str">
            <v>One Gang Switch (flush type)</v>
          </cell>
        </row>
        <row r="1032">
          <cell r="D1032" t="str">
            <v>Two Gang Swicth (flush type)</v>
          </cell>
        </row>
        <row r="1033">
          <cell r="D1033" t="str">
            <v>Three Gang Swicth (flush type)</v>
          </cell>
        </row>
        <row r="1034">
          <cell r="D1034" t="str">
            <v>One Gang Outlet (flush type)</v>
          </cell>
        </row>
        <row r="1035">
          <cell r="D1035" t="str">
            <v>Two Gang Outlet (flush type)</v>
          </cell>
        </row>
        <row r="1036">
          <cell r="D1036" t="str">
            <v>Three Gang Outlet (flush type)</v>
          </cell>
        </row>
        <row r="1037">
          <cell r="D1037" t="str">
            <v>1/2" Metal Conduit Pipe, 3.0m</v>
          </cell>
        </row>
        <row r="1038">
          <cell r="D1038" t="str">
            <v>20mmØ PVC Conduit Pipes, 3.0m</v>
          </cell>
        </row>
        <row r="1039">
          <cell r="D1039" t="str">
            <v>Main Switch Box, 2P, Double-Throw</v>
          </cell>
        </row>
        <row r="1040">
          <cell r="D1040" t="str">
            <v>Porcelain Wire Holder</v>
          </cell>
        </row>
        <row r="1041">
          <cell r="D1041" t="str">
            <v>Panel Board, 6-Breakers</v>
          </cell>
        </row>
        <row r="1042">
          <cell r="D1042" t="str">
            <v>( LIGHTS AND LAMPS )</v>
          </cell>
        </row>
        <row r="1043">
          <cell r="D1043" t="str">
            <v>20W 220 V Flourescent Lamp</v>
          </cell>
        </row>
        <row r="1044">
          <cell r="D1044" t="str">
            <v>40W 220 V Flourescent Lamp</v>
          </cell>
        </row>
        <row r="1045">
          <cell r="D1045" t="str">
            <v>20W 220 V Reflectorized Flourescent Lamp, Single Housing</v>
          </cell>
        </row>
        <row r="1046">
          <cell r="D1046" t="str">
            <v>10W Incandescent Bulb</v>
          </cell>
        </row>
        <row r="1047">
          <cell r="D1047" t="str">
            <v>20W Incandescent Bulb</v>
          </cell>
        </row>
        <row r="1048">
          <cell r="D1048" t="str">
            <v>50W Incandescent Bulb</v>
          </cell>
        </row>
        <row r="1049">
          <cell r="D1049" t="str">
            <v>100W Incandescent Bulb</v>
          </cell>
        </row>
        <row r="1050">
          <cell r="D1050" t="str">
            <v>18 W SL 2000 Flourescent Bulb</v>
          </cell>
        </row>
        <row r="1051">
          <cell r="D1051" t="str">
            <v>18 W SL 2000 Flourescent Bulb</v>
          </cell>
        </row>
        <row r="1052">
          <cell r="D1052" t="str">
            <v>Porcelain Wire Holder</v>
          </cell>
        </row>
        <row r="1053">
          <cell r="D1053" t="str">
            <v>( PAINTS &amp; ACCESSORIES )</v>
          </cell>
        </row>
        <row r="1054">
          <cell r="D1054" t="str">
            <v>Latex Paint Flat</v>
          </cell>
        </row>
        <row r="1055">
          <cell r="D1055" t="str">
            <v>Acrylic Latex Paint Flat</v>
          </cell>
        </row>
        <row r="1056">
          <cell r="D1056" t="str">
            <v>Acrylic Semi-Gloss Paint Latex</v>
          </cell>
        </row>
        <row r="1057">
          <cell r="D1057" t="str">
            <v>Acrylic Gloss Latex</v>
          </cell>
        </row>
        <row r="1058">
          <cell r="D1058" t="str">
            <v>Acrylic Clear Gloss Emulsion</v>
          </cell>
        </row>
        <row r="1059">
          <cell r="D1059" t="str">
            <v>Latex High Gloss Enamel</v>
          </cell>
        </row>
        <row r="1060">
          <cell r="D1060" t="str">
            <v>Latex Tinting Color (Water-based)</v>
          </cell>
        </row>
        <row r="1061">
          <cell r="D1061" t="str">
            <v>Quick Drying Enamel</v>
          </cell>
        </row>
        <row r="1062">
          <cell r="D1062" t="str">
            <v>Interior Semi-Gloss Enamel</v>
          </cell>
        </row>
        <row r="1063">
          <cell r="D1063" t="str">
            <v>Flat Wall Enamel</v>
          </cell>
        </row>
        <row r="1064">
          <cell r="D1064" t="str">
            <v>Conc. Primer Sealer</v>
          </cell>
        </row>
        <row r="1065">
          <cell r="D1065" t="str">
            <v>Interior Primer Sealer</v>
          </cell>
        </row>
        <row r="1066">
          <cell r="D1066" t="str">
            <v>Exterior Wood Primer</v>
          </cell>
        </row>
        <row r="1067">
          <cell r="D1067" t="str">
            <v>Prepakote Red Oxide Primer</v>
          </cell>
        </row>
        <row r="1068">
          <cell r="D1068" t="str">
            <v>Zinc Chromate Primer.</v>
          </cell>
        </row>
        <row r="1069">
          <cell r="D1069" t="str">
            <v>Red Lead Primer</v>
          </cell>
        </row>
        <row r="1070">
          <cell r="D1070" t="str">
            <v>Blackboard Paint green</v>
          </cell>
        </row>
        <row r="1071">
          <cell r="D1071" t="str">
            <v>Portland Roofing Paint</v>
          </cell>
        </row>
        <row r="1072">
          <cell r="D1072" t="str">
            <v>Galva wash zinc remover</v>
          </cell>
        </row>
        <row r="1073">
          <cell r="D1073" t="str">
            <v>Sanding Sealer</v>
          </cell>
        </row>
        <row r="1074">
          <cell r="D1074" t="str">
            <v>Clear Gloss Lacquer</v>
          </cell>
        </row>
        <row r="1075">
          <cell r="D1075" t="str">
            <v>Paint Thinner</v>
          </cell>
        </row>
        <row r="1076">
          <cell r="D1076" t="str">
            <v>Concrete Neutralizer</v>
          </cell>
        </row>
        <row r="1077">
          <cell r="D1077" t="str">
            <v>Coal Tar</v>
          </cell>
        </row>
        <row r="1078">
          <cell r="D1078" t="str">
            <v>Wood Stain</v>
          </cell>
        </row>
        <row r="1079">
          <cell r="D1079" t="str">
            <v>Kalsomine powder</v>
          </cell>
        </row>
        <row r="1080">
          <cell r="D1080" t="str">
            <v>Sanding Paper</v>
          </cell>
        </row>
        <row r="1081">
          <cell r="D1081" t="str">
            <v>Epoxy Primer, Boysen</v>
          </cell>
        </row>
        <row r="1082">
          <cell r="D1082" t="str">
            <v>Roller Brush w/ Tray</v>
          </cell>
        </row>
        <row r="1083">
          <cell r="D1083" t="str">
            <v>Paint Brush</v>
          </cell>
        </row>
        <row r="1084">
          <cell r="D1084" t="str">
            <v>Reflectorized Paint</v>
          </cell>
        </row>
        <row r="1085">
          <cell r="D1085" t="str">
            <v>Reflectorized Paint (Black/Yellow)</v>
          </cell>
        </row>
        <row r="1086">
          <cell r="D1086" t="str">
            <v>Marine Paint</v>
          </cell>
        </row>
        <row r="1087">
          <cell r="D1087" t="str">
            <v>Epoxy Enamel, Boysen</v>
          </cell>
        </row>
        <row r="1088">
          <cell r="D1088" t="str">
            <v>Concrete Neutralizer</v>
          </cell>
        </row>
        <row r="1089">
          <cell r="D1089" t="str">
            <v>( PRESERVATIVES )</v>
          </cell>
        </row>
        <row r="1090">
          <cell r="D1090" t="str">
            <v>Wood preservative (Solignum)</v>
          </cell>
        </row>
        <row r="1091">
          <cell r="D1091" t="str">
            <v>Kalsomine powder</v>
          </cell>
        </row>
        <row r="1092">
          <cell r="D1092" t="str">
            <v>( TILES )</v>
          </cell>
        </row>
        <row r="1093">
          <cell r="D1093" t="str">
            <v>Unglazed Tiles  4-1/4" x 4-1/4"</v>
          </cell>
        </row>
        <row r="1094">
          <cell r="D1094" t="str">
            <v>Glazed Tile (Plain Color)  4-1/4" x 4-1/4"</v>
          </cell>
        </row>
        <row r="1095">
          <cell r="D1095" t="str">
            <v>Mosaic Floor Tiles  12 x 12</v>
          </cell>
        </row>
        <row r="1096">
          <cell r="D1096" t="str">
            <v>Glazed Tiles  4" x 4"</v>
          </cell>
        </row>
        <row r="1097">
          <cell r="D1097" t="str">
            <v>Vitirified Tiles  4" x 8"</v>
          </cell>
        </row>
        <row r="1098">
          <cell r="D1098" t="str">
            <v>Floor Tiles (Plain Color)  8" x 8"</v>
          </cell>
        </row>
        <row r="1099">
          <cell r="D1099" t="str">
            <v>Glazed Tiles (Plain Color)  8" x 8"</v>
          </cell>
        </row>
        <row r="1100">
          <cell r="D1100" t="str">
            <v>Vinyl Tiles  8" x 8"</v>
          </cell>
        </row>
        <row r="1101">
          <cell r="D1101" t="str">
            <v>Capping</v>
          </cell>
        </row>
        <row r="1102">
          <cell r="D1102" t="str">
            <v>Internal Bead  4"</v>
          </cell>
        </row>
        <row r="1103">
          <cell r="D1103" t="str">
            <v xml:space="preserve">External Bead  4" </v>
          </cell>
        </row>
        <row r="1104">
          <cell r="D1104" t="str">
            <v>Internal Corner bead</v>
          </cell>
        </row>
        <row r="1105">
          <cell r="D1105" t="str">
            <v>External Corner bead</v>
          </cell>
        </row>
        <row r="1106">
          <cell r="D1106" t="str">
            <v>Unglazed Tiles  4" x 4"</v>
          </cell>
        </row>
        <row r="1107">
          <cell r="D1107" t="str">
            <v>Mosaic Floor Tiles  12 x 12</v>
          </cell>
        </row>
        <row r="1108">
          <cell r="D1108" t="str">
            <v>( INSTRUMENTS )</v>
          </cell>
        </row>
        <row r="1109">
          <cell r="D1109" t="str">
            <v>Weighing Scale w Ht Measurement (Adult)</v>
          </cell>
        </row>
        <row r="1110">
          <cell r="D1110" t="str">
            <v>Weighing Scale (Newborn)</v>
          </cell>
        </row>
        <row r="1111">
          <cell r="D1111" t="str">
            <v>Stethoscope</v>
          </cell>
        </row>
        <row r="1112">
          <cell r="D1112" t="str">
            <v>Medical Trolley w/glass container</v>
          </cell>
        </row>
        <row r="1113">
          <cell r="D1113" t="str">
            <v>Sphygmomanometer (Mercury)</v>
          </cell>
        </row>
        <row r="1114">
          <cell r="D1114" t="str">
            <v>Thermometer</v>
          </cell>
        </row>
        <row r="1115">
          <cell r="D1115" t="str">
            <v>Scissors (Surgical)</v>
          </cell>
        </row>
        <row r="1116">
          <cell r="D1116" t="str">
            <v>Scissors (Bandage)</v>
          </cell>
        </row>
        <row r="1117">
          <cell r="D1117" t="str">
            <v>Forceps (Curve)</v>
          </cell>
        </row>
        <row r="1118">
          <cell r="D1118" t="str">
            <v>Forceps (Straight)</v>
          </cell>
        </row>
        <row r="1119">
          <cell r="D1119" t="str">
            <v>Kidney Basin (Stainless)</v>
          </cell>
        </row>
        <row r="1120">
          <cell r="D1120" t="str">
            <v>Bed Pan (Metal)</v>
          </cell>
        </row>
        <row r="1121">
          <cell r="D1121" t="str">
            <v>Male Urinal</v>
          </cell>
        </row>
        <row r="1122">
          <cell r="D1122" t="str">
            <v>O.B. Bed with Stirrups</v>
          </cell>
        </row>
        <row r="1123">
          <cell r="D1123" t="str">
            <v>Hot Water Bag</v>
          </cell>
        </row>
        <row r="1124">
          <cell r="D1124" t="str">
            <v>Medical Trolley w/glass container</v>
          </cell>
        </row>
        <row r="1125">
          <cell r="D1125" t="str">
            <v>( FURNITURES )</v>
          </cell>
        </row>
        <row r="1126">
          <cell r="D1126" t="str">
            <v>Monoblock Student Chair</v>
          </cell>
        </row>
        <row r="1127">
          <cell r="D1127" t="str">
            <v>Monoblock Chair</v>
          </cell>
        </row>
        <row r="1128">
          <cell r="D1128" t="str">
            <v>Standard Office Table, Wood (SZOPAD Standard)</v>
          </cell>
        </row>
        <row r="1129">
          <cell r="D1129" t="str">
            <v>Blackboard</v>
          </cell>
        </row>
        <row r="1130">
          <cell r="D1130" t="str">
            <v>Kitchen Table, Wood (SZOPAD Standard)</v>
          </cell>
        </row>
        <row r="1131">
          <cell r="D1131" t="str">
            <v>Monoblock Bench (2-seater)</v>
          </cell>
        </row>
        <row r="1132">
          <cell r="D1132" t="str">
            <v>Bed Pan (Metal)</v>
          </cell>
        </row>
        <row r="1133">
          <cell r="D1133" t="str">
            <v>( MOORING &amp; FENDERS )</v>
          </cell>
        </row>
        <row r="1134">
          <cell r="D1134" t="str">
            <v>Mooring Bollard 25T</v>
          </cell>
        </row>
        <row r="1135">
          <cell r="D1135" t="str">
            <v>Mooring Bollard 15T</v>
          </cell>
        </row>
        <row r="1136">
          <cell r="D1136" t="str">
            <v>Mooring Bitt 10T</v>
          </cell>
        </row>
        <row r="1137">
          <cell r="D1137" t="str">
            <v>Mooring Bitt 15T</v>
          </cell>
        </row>
        <row r="1138">
          <cell r="D1138" t="str">
            <v>Mooring Cleat 5T</v>
          </cell>
        </row>
        <row r="1139">
          <cell r="D1139" t="str">
            <v>V-Type Rubber Fender (200x1500) incl. its appurtenances</v>
          </cell>
        </row>
        <row r="1140">
          <cell r="D1140" t="str">
            <v>V-Type Rubber Fender (300x1500) incl. its appurtenances</v>
          </cell>
        </row>
        <row r="1141">
          <cell r="D1141" t="str">
            <v>V-Type Rubber Fender (400x1000) incl. its appurtenances</v>
          </cell>
        </row>
        <row r="1142">
          <cell r="D1142" t="str">
            <v>V-Type Rubber Fender (400x2000) incl. its appurtenances</v>
          </cell>
        </row>
        <row r="1143">
          <cell r="D1143" t="str">
            <v>L Corner Type Rubber Fender (250Hx1000Lx1000L) incl. its appurtenances</v>
          </cell>
        </row>
        <row r="1144">
          <cell r="D1144" t="str">
            <v>Used Tires (800mmØ)</v>
          </cell>
        </row>
        <row r="1145">
          <cell r="D1145" t="str">
            <v>Used Tires (600mmØ)</v>
          </cell>
        </row>
        <row r="1146">
          <cell r="D1146" t="str">
            <v>Used Tires (1000mmØ) and its appurtenances</v>
          </cell>
        </row>
        <row r="1147">
          <cell r="D1147" t="str">
            <v>Mooring Bollard 15T</v>
          </cell>
        </row>
        <row r="1148">
          <cell r="D1148" t="str">
            <v>Mooring Bitt 10T</v>
          </cell>
        </row>
        <row r="1149">
          <cell r="D1149" t="str">
            <v>( LUBRICANT AND OIL )</v>
          </cell>
        </row>
        <row r="1150">
          <cell r="D1150" t="str">
            <v>Used Oil</v>
          </cell>
        </row>
        <row r="1151">
          <cell r="D1151" t="str">
            <v>Oil, No. 110</v>
          </cell>
        </row>
        <row r="1152">
          <cell r="D1152" t="str">
            <v>Gasoline, Regular</v>
          </cell>
        </row>
        <row r="1153">
          <cell r="D1153" t="str">
            <v>V-Type Rubber Fender (400x1000) incl. its appurtenances</v>
          </cell>
        </row>
        <row r="1154">
          <cell r="D1154" t="str">
            <v>( JUNKS &amp; JOB ORDER )</v>
          </cell>
        </row>
        <row r="1155">
          <cell r="D1155" t="str">
            <v>Tension Rod</v>
          </cell>
        </row>
        <row r="1156">
          <cell r="D1156" t="str">
            <v>Steel Plate Cover 0.65 X 0.65 m</v>
          </cell>
        </row>
        <row r="1157">
          <cell r="D1157" t="str">
            <v>Window Grill, Steel</v>
          </cell>
        </row>
        <row r="1158">
          <cell r="D1158" t="str">
            <v xml:space="preserve">Shop-made Door Lock, 5/8" Plain Bar </v>
          </cell>
        </row>
        <row r="1159">
          <cell r="D1159" t="str">
            <v>Fabricated Clamp, 5mm thk x 3"</v>
          </cell>
        </row>
        <row r="1160">
          <cell r="D1160" t="str">
            <v>Used Tires</v>
          </cell>
        </row>
        <row r="1161">
          <cell r="D1161" t="str">
            <v>2.0m X 2.40m  GI Vertical Roll-Up Door</v>
          </cell>
        </row>
        <row r="1162">
          <cell r="D1162" t="str">
            <v>30"  Spherical Roof Vent, Turbine Type</v>
          </cell>
        </row>
        <row r="1163">
          <cell r="D1163" t="str">
            <v>Ga#24 GI Sht Caps</v>
          </cell>
        </row>
        <row r="1164">
          <cell r="D1164" t="str">
            <v>Hard Asphalt Filler</v>
          </cell>
        </row>
        <row r="1165">
          <cell r="D1165" t="str">
            <v>250 x 250 x 3000 Rubbing Timber (Yakal)</v>
          </cell>
        </row>
        <row r="1166">
          <cell r="D1166" t="str">
            <v>Creosoted Wooden Pole 300mmØ x 15m.</v>
          </cell>
        </row>
        <row r="1167">
          <cell r="D1167" t="str">
            <v>Creosoted Wooden Pole 300mmØ x 18m.</v>
          </cell>
        </row>
        <row r="1168">
          <cell r="D1168" t="str">
            <v>Steel Stapples 10mmØ</v>
          </cell>
        </row>
        <row r="1169">
          <cell r="D1169" t="str">
            <v>Fire Extinguishers</v>
          </cell>
        </row>
        <row r="1170">
          <cell r="D1170" t="str">
            <v>Water Proofing Compound &amp; Accessories</v>
          </cell>
        </row>
        <row r="1171">
          <cell r="D1171" t="str">
            <v>Gate Accessories</v>
          </cell>
        </row>
        <row r="1172">
          <cell r="D1172" t="str">
            <v>Electrical &amp; Fixtures</v>
          </cell>
        </row>
        <row r="1173">
          <cell r="D1173" t="str">
            <v>Regulatory Sign</v>
          </cell>
        </row>
        <row r="1174">
          <cell r="D1174" t="str">
            <v>Warning Sign</v>
          </cell>
        </row>
        <row r="1175">
          <cell r="D1175" t="str">
            <v>Elastomeric Bearing Pad Duro 60 (Complete Set)</v>
          </cell>
        </row>
        <row r="1176">
          <cell r="D1176" t="str">
            <v>Restrainer Bolt (25mmØx800</v>
          </cell>
        </row>
        <row r="1177">
          <cell r="D1177" t="str">
            <v>Ga#10 GI Pre-Fab Steel Flex Beam</v>
          </cell>
        </row>
        <row r="1178">
          <cell r="D1178" t="str">
            <v>Ga#10 GI Pre-Fab Steel Flex Beam end</v>
          </cell>
        </row>
        <row r="1179">
          <cell r="D1179" t="str">
            <v>Restrainer Bolt (25mmØx800)</v>
          </cell>
        </row>
        <row r="1180">
          <cell r="D1180" t="str">
            <v>Water Meter</v>
          </cell>
        </row>
        <row r="1181">
          <cell r="D1181" t="str">
            <v>Filter Fabric</v>
          </cell>
        </row>
        <row r="1182">
          <cell r="D1182" t="str">
            <v>Ga# 18 Stainless Steel Tank and Accessories</v>
          </cell>
        </row>
        <row r="1183">
          <cell r="D1183" t="str">
            <v>Engr's Transit</v>
          </cell>
        </row>
        <row r="1184">
          <cell r="D1184" t="str">
            <v>Polyurethane Plastic</v>
          </cell>
        </row>
        <row r="1185">
          <cell r="D1185" t="str">
            <v>Regulatory Sign</v>
          </cell>
        </row>
        <row r="1186">
          <cell r="D1186" t="str">
            <v>Warning Sign</v>
          </cell>
        </row>
        <row r="1187">
          <cell r="D1187" t="str">
            <v>FENESTRATION</v>
          </cell>
        </row>
        <row r="1188">
          <cell r="D1188" t="str">
            <v>Door 1 - Community Center 1</v>
          </cell>
        </row>
        <row r="1189">
          <cell r="D1189" t="str">
            <v>Door 2 - Community Center 1</v>
          </cell>
        </row>
        <row r="1190">
          <cell r="D1190" t="str">
            <v>Window 1 - Community Center 1</v>
          </cell>
        </row>
        <row r="1191">
          <cell r="D1191" t="str">
            <v>Window 2 - Community Center 1</v>
          </cell>
        </row>
        <row r="1192">
          <cell r="D1192" t="str">
            <v>Window 3 - Community Center 1</v>
          </cell>
        </row>
        <row r="1193">
          <cell r="D1193" t="str">
            <v>Filter Fabric</v>
          </cell>
        </row>
        <row r="1194">
          <cell r="D1194" t="str">
            <v>Door 1 - Community Center 2</v>
          </cell>
        </row>
        <row r="1195">
          <cell r="D1195" t="str">
            <v>Door 2 - Community Center 2</v>
          </cell>
        </row>
        <row r="1196">
          <cell r="D1196" t="str">
            <v>Window 1 - Community Center 2</v>
          </cell>
        </row>
        <row r="1197">
          <cell r="D1197" t="str">
            <v>Window 2 - Community Center 2</v>
          </cell>
        </row>
        <row r="1198">
          <cell r="D1198" t="str">
            <v>Window 3 - Community Center 2</v>
          </cell>
        </row>
        <row r="1199">
          <cell r="D1199" t="str">
            <v>FENESTRATION</v>
          </cell>
        </row>
        <row r="1200">
          <cell r="D1200" t="str">
            <v>Door 1 - Community Center 1</v>
          </cell>
        </row>
        <row r="1201">
          <cell r="D1201" t="str">
            <v>FACILITIES FOR ENGINEER</v>
          </cell>
        </row>
        <row r="1202">
          <cell r="D1202" t="str">
            <v>Temporary Field Office/Quarter (2 Container Van w/ Shed)</v>
          </cell>
        </row>
        <row r="1203">
          <cell r="D1203" t="str">
            <v>Temporary Field Office/Quarter</v>
          </cell>
        </row>
        <row r="1204">
          <cell r="D1204" t="str">
            <v>Airconditioning Unit</v>
          </cell>
        </row>
        <row r="1205">
          <cell r="D1205" t="str">
            <v>Computer Pentium 4 w/ HP Deskject Printer (Latest Model)</v>
          </cell>
        </row>
        <row r="1206">
          <cell r="D1206" t="str">
            <v>Office Furnitures/Equipment (Items 81.70, 81.80 and 81.90)</v>
          </cell>
        </row>
        <row r="1207">
          <cell r="D1207" t="str">
            <v>Office Supplies/Water/Electricity</v>
          </cell>
        </row>
        <row r="1208">
          <cell r="D1208" t="str">
            <v>Furnishing on Rental Basis (Mat'ls Laboratory, Operations &amp; Maintenance)</v>
          </cell>
        </row>
        <row r="1209">
          <cell r="D1209" t="str">
            <v>Progress Photographed</v>
          </cell>
        </row>
        <row r="1210">
          <cell r="D1210" t="str">
            <v>Window 3 - Community Center 2</v>
          </cell>
        </row>
        <row r="1211">
          <cell r="D1211" t="str">
            <v>OFFICE FURNITURES</v>
          </cell>
        </row>
        <row r="1212">
          <cell r="D1212" t="str">
            <v>Office Table</v>
          </cell>
        </row>
        <row r="1213">
          <cell r="D1213" t="str">
            <v>Office Chairs</v>
          </cell>
        </row>
        <row r="1214">
          <cell r="D1214" t="str">
            <v>Bench</v>
          </cell>
        </row>
        <row r="1215">
          <cell r="D1215" t="str">
            <v>Plywood Board</v>
          </cell>
        </row>
        <row r="1216">
          <cell r="D1216" t="str">
            <v>Airconditioning Unit</v>
          </cell>
        </row>
        <row r="1217">
          <cell r="D1217" t="str">
            <v>SIGNAGES</v>
          </cell>
        </row>
        <row r="1218">
          <cell r="D1218" t="str">
            <v>Plate Marker</v>
          </cell>
        </row>
        <row r="1219">
          <cell r="D1219" t="str">
            <v>Marker Pedestal</v>
          </cell>
        </row>
        <row r="1220">
          <cell r="D1220" t="str">
            <v>Stainless Steel Plaque</v>
          </cell>
        </row>
        <row r="1221">
          <cell r="D1221" t="str">
            <v>Stainless Steel Plaque w/ Concrete Pedestal</v>
          </cell>
        </row>
        <row r="1222">
          <cell r="D1222" t="str">
            <v>Wooden Type Project Information Signboard</v>
          </cell>
        </row>
        <row r="1223">
          <cell r="D1223" t="str">
            <v>Steel Type Project Information Signboard</v>
          </cell>
        </row>
        <row r="1224">
          <cell r="D1224" t="str">
            <v>Steel Type Project Information Signboard (Tarpaulin w/ Plywood Backing)</v>
          </cell>
        </row>
        <row r="1225">
          <cell r="D1225" t="str">
            <v>Signage</v>
          </cell>
        </row>
        <row r="1226">
          <cell r="D1226" t="str">
            <v>Plate Marker w/ Pedestal</v>
          </cell>
        </row>
        <row r="1227">
          <cell r="D1227" t="str">
            <v>Plywood Board</v>
          </cell>
        </row>
        <row r="1228">
          <cell r="D1228" t="str">
            <v>Solar Dryer</v>
          </cell>
        </row>
        <row r="1229">
          <cell r="D1229" t="str">
            <v>PERMITS &amp; LICENSES</v>
          </cell>
        </row>
        <row r="1230">
          <cell r="D1230" t="str">
            <v>Warehouse</v>
          </cell>
        </row>
        <row r="1231">
          <cell r="D1231" t="str">
            <v>Solar Dryer</v>
          </cell>
        </row>
        <row r="1232">
          <cell r="D1232" t="str">
            <v>Community Center 1</v>
          </cell>
        </row>
        <row r="1233">
          <cell r="D1233" t="str">
            <v>Stainless Steel Plaque w/ Concrete Pedestal</v>
          </cell>
        </row>
        <row r="1234">
          <cell r="D1234" t="str">
            <v>SAFETY</v>
          </cell>
        </row>
        <row r="1235">
          <cell r="D1235" t="str">
            <v>Hard Hats</v>
          </cell>
        </row>
        <row r="1236">
          <cell r="D1236" t="str">
            <v>First Aid Kit</v>
          </cell>
        </row>
        <row r="1237">
          <cell r="D1237" t="str">
            <v>Traffic Barricade Type "D"</v>
          </cell>
        </row>
        <row r="1238">
          <cell r="D1238" t="str">
            <v>4 feet width Plastic Canvas</v>
          </cell>
        </row>
        <row r="1239">
          <cell r="D1239" t="str">
            <v>No.8 diameter Nylon Rope</v>
          </cell>
        </row>
        <row r="1240">
          <cell r="D1240" t="str">
            <v>( LIQUIFIED AND PRESSURE GASES )</v>
          </cell>
        </row>
        <row r="1241">
          <cell r="D1241" t="str">
            <v>Oxygen Gas</v>
          </cell>
        </row>
        <row r="1242">
          <cell r="D1242" t="str">
            <v>Acetylene Gas</v>
          </cell>
        </row>
        <row r="1243">
          <cell r="D1243" t="str">
            <v>Warehouse</v>
          </cell>
        </row>
        <row r="1244">
          <cell r="D1244" t="str">
            <v>Solar Dryer</v>
          </cell>
        </row>
        <row r="1245">
          <cell r="D1245" t="str">
            <v>Community Center 1</v>
          </cell>
        </row>
        <row r="1246">
          <cell r="D1246" t="str">
            <v>Traffic Barricade Type "D"</v>
          </cell>
        </row>
        <row r="1247">
          <cell r="D1247" t="str">
            <v>SAFETY</v>
          </cell>
        </row>
        <row r="1248">
          <cell r="D1248" t="str">
            <v>Hard Hats</v>
          </cell>
        </row>
        <row r="1249">
          <cell r="D1249" t="str">
            <v>First Aid Kit</v>
          </cell>
        </row>
        <row r="1250">
          <cell r="D1250" t="str">
            <v>Traffic Barricade Type "D"</v>
          </cell>
        </row>
        <row r="1251">
          <cell r="D1251" t="str">
            <v>Plastic Canvas (1.2m width)</v>
          </cell>
        </row>
        <row r="1252">
          <cell r="D1252" t="str">
            <v>Nylon Rope</v>
          </cell>
        </row>
        <row r="1253">
          <cell r="D1253" t="str">
            <v>( LIQUIFIED AND PRESSURE GASES )</v>
          </cell>
        </row>
        <row r="1254">
          <cell r="D1254" t="str">
            <v>Oxygen Gas</v>
          </cell>
        </row>
        <row r="1255">
          <cell r="D1255" t="str">
            <v>( LIQUIFIED AND PRESSURE GASES )</v>
          </cell>
        </row>
        <row r="1256">
          <cell r="D1256" t="str">
            <v>Oxygen Gas</v>
          </cell>
        </row>
        <row r="1257">
          <cell r="D1257" t="str">
            <v>Acetylene Gas</v>
          </cell>
        </row>
        <row r="1258">
          <cell r="D1258" t="str">
            <v>Bench</v>
          </cell>
        </row>
        <row r="1259">
          <cell r="D1259" t="str">
            <v>Plywood Board</v>
          </cell>
        </row>
        <row r="1260">
          <cell r="D1260" t="str">
            <v>Plywood Board</v>
          </cell>
        </row>
        <row r="1261">
          <cell r="D1261" t="str">
            <v>SIGNAGES</v>
          </cell>
        </row>
        <row r="1262">
          <cell r="D1262" t="str">
            <v>Plate Marker</v>
          </cell>
        </row>
        <row r="1263">
          <cell r="D1263" t="str">
            <v>Marker Pedestal</v>
          </cell>
        </row>
        <row r="1264">
          <cell r="D1264" t="str">
            <v>Stainless Steel Plaque</v>
          </cell>
        </row>
        <row r="1265">
          <cell r="D1265" t="str">
            <v>Stainless Steel Plaque w/ Concrete Pedestal</v>
          </cell>
        </row>
        <row r="1266">
          <cell r="D1266" t="str">
            <v>Wooden Type Project Information Signboard</v>
          </cell>
        </row>
        <row r="1267">
          <cell r="D1267" t="str">
            <v>Steel Type Project Information Signboard</v>
          </cell>
        </row>
        <row r="1268">
          <cell r="D1268" t="str">
            <v>Steel Type Project Information Signboard (Tarpaulin w/ Plywood Backing)</v>
          </cell>
        </row>
        <row r="1269">
          <cell r="D1269" t="str">
            <v>Signage</v>
          </cell>
        </row>
        <row r="1270">
          <cell r="D1270" t="str">
            <v>Plate Marker w/ Pedestal</v>
          </cell>
        </row>
        <row r="1271">
          <cell r="D1271" t="str">
            <v>Plate Marker w/ Pedestal</v>
          </cell>
        </row>
        <row r="1273">
          <cell r="D1273" t="str">
            <v>PERMITS &amp; LICENSES</v>
          </cell>
        </row>
        <row r="1274">
          <cell r="D1274" t="str">
            <v>Warehouse</v>
          </cell>
        </row>
        <row r="1275">
          <cell r="D1275" t="str">
            <v>Solar Dryer</v>
          </cell>
        </row>
        <row r="1276">
          <cell r="D1276" t="str">
            <v>Community Center 1</v>
          </cell>
        </row>
        <row r="1277">
          <cell r="D1277" t="str">
            <v>Community Center 1</v>
          </cell>
        </row>
        <row r="1278">
          <cell r="D1278" t="str">
            <v>SAFETY</v>
          </cell>
        </row>
        <row r="1279">
          <cell r="D1279" t="str">
            <v>Hard Hats</v>
          </cell>
        </row>
        <row r="1280">
          <cell r="D1280" t="str">
            <v>First Aid Kit</v>
          </cell>
        </row>
        <row r="1281">
          <cell r="D1281" t="str">
            <v>Traffic Barricade Type "D"</v>
          </cell>
        </row>
        <row r="1282">
          <cell r="D1282" t="str">
            <v>Traffic Barricade Type "D"</v>
          </cell>
        </row>
        <row r="1283">
          <cell r="D1283" t="str">
            <v>( LIQUIFIED AND PRESSURE GASES )</v>
          </cell>
        </row>
        <row r="1284">
          <cell r="D1284" t="str">
            <v>Oxygen Gas</v>
          </cell>
        </row>
        <row r="1285">
          <cell r="D1285" t="str">
            <v>Acetylene Gas</v>
          </cell>
        </row>
        <row r="1286">
          <cell r="D1286" t="str">
            <v>Acetylene Gas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o Bill"/>
      <sheetName val="Scope of Works"/>
      <sheetName val="Detailed"/>
      <sheetName val="Project List"/>
      <sheetName val="Extracted Information"/>
      <sheetName val="Materials"/>
      <sheetName val="Manpower"/>
      <sheetName val="Equipment"/>
      <sheetName val="Menu"/>
      <sheetName val="Numbers"/>
      <sheetName val="Transport"/>
      <sheetName val="CCenter"/>
      <sheetName val="Data"/>
      <sheetName val="Oth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Center"/>
      <sheetName val="Project List"/>
      <sheetName val="Extracted Information"/>
      <sheetName val="Data"/>
      <sheetName val="Numbers"/>
      <sheetName val="Materials"/>
      <sheetName val="Manpower"/>
      <sheetName val="Transport"/>
      <sheetName val="Equipment"/>
      <sheetName val="Scope of Works"/>
      <sheetName val="Others"/>
      <sheetName val="Compo Bill "/>
      <sheetName val="Detailed "/>
      <sheetName val="Intake Box Type (Expansion) (2)"/>
      <sheetName val="Compo Bi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0">
          <cell r="D10" t="str">
            <v>Backhoe</v>
          </cell>
        </row>
        <row r="11">
          <cell r="D11" t="str">
            <v>Backhoe w/ breaker</v>
          </cell>
        </row>
        <row r="12">
          <cell r="D12" t="str">
            <v>Road Grader</v>
          </cell>
        </row>
        <row r="13">
          <cell r="D13" t="str">
            <v>Road Roller</v>
          </cell>
        </row>
        <row r="14">
          <cell r="D14" t="str">
            <v>Pay Loader</v>
          </cell>
        </row>
        <row r="15">
          <cell r="D15" t="str">
            <v>Dump Truck</v>
          </cell>
        </row>
        <row r="16">
          <cell r="D16" t="str">
            <v>Transit Mixer</v>
          </cell>
        </row>
        <row r="17">
          <cell r="D17" t="str">
            <v>Water Truck</v>
          </cell>
        </row>
        <row r="18">
          <cell r="D18" t="str">
            <v>Bulldozer - D8</v>
          </cell>
        </row>
        <row r="19">
          <cell r="D19" t="str">
            <v>Dredger Vessel</v>
          </cell>
        </row>
        <row r="20">
          <cell r="D20" t="str">
            <v>Truck Mounted Crane (20T)</v>
          </cell>
        </row>
        <row r="21">
          <cell r="D21" t="str">
            <v>Truck Mounted Crane w/ Bucket</v>
          </cell>
        </row>
        <row r="22">
          <cell r="D22" t="str">
            <v>Truck Mounted Crane (35T)</v>
          </cell>
        </row>
        <row r="23">
          <cell r="D23" t="str">
            <v>Truck Mounted Crane (40T)</v>
          </cell>
        </row>
        <row r="24">
          <cell r="D24" t="str">
            <v>Truck Mounted Crane (50T)</v>
          </cell>
        </row>
        <row r="25">
          <cell r="D25" t="str">
            <v>Truck Mounted Crane (60T)</v>
          </cell>
        </row>
        <row r="26">
          <cell r="D26" t="str">
            <v>Truck Mounted Crane w/ Bucket (60T)</v>
          </cell>
        </row>
        <row r="27">
          <cell r="D27" t="str">
            <v>Barge</v>
          </cell>
        </row>
        <row r="28">
          <cell r="D28" t="str">
            <v>Barge Mounted Crane (40T)</v>
          </cell>
        </row>
        <row r="29">
          <cell r="D29" t="str">
            <v>Barge Mounted Crane (50T)</v>
          </cell>
        </row>
        <row r="30">
          <cell r="D30" t="str">
            <v>Barge Mounted Crane (60T)</v>
          </cell>
        </row>
        <row r="31">
          <cell r="D31" t="str">
            <v>D-22 Diesel Hammer</v>
          </cell>
        </row>
        <row r="32">
          <cell r="D32" t="str">
            <v>D-35 Diesel Hammer</v>
          </cell>
        </row>
        <row r="33">
          <cell r="D33" t="str">
            <v>Tractor-Drawn Roller (1-d)</v>
          </cell>
        </row>
        <row r="34">
          <cell r="D34" t="str">
            <v>Tandem Roller</v>
          </cell>
        </row>
        <row r="35">
          <cell r="D35" t="str">
            <v>Mini-Excavator</v>
          </cell>
        </row>
        <row r="36">
          <cell r="D36" t="str">
            <v>Skid-Steer Loader</v>
          </cell>
        </row>
        <row r="37">
          <cell r="D37" t="str">
            <v>Road Maintener</v>
          </cell>
        </row>
        <row r="38">
          <cell r="D38" t="str">
            <v>Diesel Hammer</v>
          </cell>
        </row>
        <row r="39">
          <cell r="D39" t="str">
            <v>Drop Hammer</v>
          </cell>
        </row>
        <row r="40">
          <cell r="D40" t="str">
            <v>Percussion</v>
          </cell>
        </row>
        <row r="41">
          <cell r="D41" t="str">
            <v>Rammers</v>
          </cell>
        </row>
        <row r="42">
          <cell r="D42" t="str">
            <v>Vibratory Hammer</v>
          </cell>
        </row>
        <row r="43">
          <cell r="D43" t="str">
            <v>Barge Mounted Vibratory Hammer</v>
          </cell>
        </row>
        <row r="44">
          <cell r="D44" t="str">
            <v>Jack Hammer w/ Compressor</v>
          </cell>
        </row>
        <row r="45">
          <cell r="D45" t="str">
            <v>( LIGHT EQUIPMENT )</v>
          </cell>
        </row>
        <row r="46">
          <cell r="D46" t="str">
            <v>Buggy</v>
          </cell>
        </row>
        <row r="47">
          <cell r="D47" t="str">
            <v>Wheel borrow</v>
          </cell>
        </row>
        <row r="48">
          <cell r="D48" t="str">
            <v>2" Heavy Duty Pulley</v>
          </cell>
        </row>
        <row r="49">
          <cell r="D49" t="str">
            <v>Concrete Mixer (1-bagger)</v>
          </cell>
        </row>
        <row r="50">
          <cell r="D50" t="str">
            <v>Concrete Vibrator</v>
          </cell>
        </row>
        <row r="51">
          <cell r="D51" t="str">
            <v>Plate Compactor</v>
          </cell>
        </row>
        <row r="52">
          <cell r="D52" t="str">
            <v>Concrete Cutter Saw</v>
          </cell>
        </row>
        <row r="53">
          <cell r="D53" t="str">
            <v>Air Compressor</v>
          </cell>
        </row>
        <row r="54">
          <cell r="D54" t="str">
            <v>Bar Cutter</v>
          </cell>
        </row>
        <row r="55">
          <cell r="D55" t="str">
            <v>Bar Bender</v>
          </cell>
        </row>
        <row r="56">
          <cell r="D56" t="str">
            <v>Motorized Water Pump</v>
          </cell>
        </row>
        <row r="57">
          <cell r="D57" t="str">
            <v>Portable Drilling Rig</v>
          </cell>
        </row>
        <row r="58">
          <cell r="D58" t="str">
            <v>Electric Welding Machine</v>
          </cell>
        </row>
        <row r="59">
          <cell r="D59" t="str">
            <v>A/O Gas Welding Machine &amp; Outfits</v>
          </cell>
        </row>
        <row r="60">
          <cell r="D60" t="str">
            <v>Diesel Engine Generator</v>
          </cell>
        </row>
        <row r="61">
          <cell r="D61" t="str">
            <v>Electric Grinder</v>
          </cell>
        </row>
        <row r="62">
          <cell r="D62" t="str">
            <v>Electric Drill</v>
          </cell>
        </row>
        <row r="63">
          <cell r="D63" t="str">
            <v>Steel Tri-Boom</v>
          </cell>
        </row>
        <row r="64">
          <cell r="D64" t="str">
            <v>Pulley</v>
          </cell>
        </row>
        <row r="65">
          <cell r="D65" t="str">
            <v>Plumber's Tools</v>
          </cell>
        </row>
        <row r="66">
          <cell r="D66" t="str">
            <v>Truck-mounted Drilling Rig, Rotary</v>
          </cell>
        </row>
        <row r="67">
          <cell r="D67" t="str">
            <v>( HAULERS )</v>
          </cell>
        </row>
        <row r="68">
          <cell r="D68" t="str">
            <v>Dump Truck (6-wheeler)</v>
          </cell>
        </row>
        <row r="69">
          <cell r="D69" t="str">
            <v>2-1/2 T Dump Truck (Baby DT)</v>
          </cell>
        </row>
        <row r="70">
          <cell r="D70" t="str">
            <v>Concrete Batching Plant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A"/>
      <sheetName val="list B"/>
      <sheetName val="Source"/>
      <sheetName val="Sheet2"/>
      <sheetName val="FRONT PAGE"/>
      <sheetName val="2ND PAGE"/>
      <sheetName val="ABC"/>
      <sheetName val="101(3)"/>
      <sheetName val="104(1)"/>
      <sheetName val="104(2)"/>
      <sheetName val="105(1)"/>
      <sheetName val="105(2)"/>
      <sheetName val="200"/>
      <sheetName val="311(1)A"/>
      <sheetName val="311(1)"/>
      <sheetName val="600(3)"/>
      <sheetName val="601"/>
      <sheetName val="605(2)"/>
      <sheetName val="612(1)"/>
      <sheetName val="612(2)"/>
      <sheetName val="101(4)"/>
      <sheetName val="101(2c)"/>
      <sheetName val="101(2)b"/>
      <sheetName val="103(1)"/>
      <sheetName val="103(3)"/>
      <sheetName val="103(6)"/>
      <sheetName val="404"/>
      <sheetName val="405"/>
      <sheetName val="500(1)a"/>
      <sheetName val="500(1)b1"/>
      <sheetName val="502(2)"/>
      <sheetName val="504(1)"/>
      <sheetName val="505(5)"/>
      <sheetName val="506"/>
      <sheetName val="traffic control"/>
      <sheetName val="safety 2"/>
      <sheetName val="safety"/>
      <sheetName val="tma rd"/>
      <sheetName val="bollard"/>
      <sheetName val="tma FC"/>
      <sheetName val="temfacil 6 x 8"/>
      <sheetName val="temfacil 6 x 6"/>
      <sheetName val="temfacil"/>
      <sheetName val="BILLBOARD2"/>
      <sheetName val="BB"/>
      <sheetName val="vehicle b"/>
      <sheetName val="veh comp"/>
      <sheetName val="VEHICLE A"/>
      <sheetName val="TMA DAV-COT"/>
      <sheetName val="TMA 1"/>
      <sheetName val="TMA"/>
      <sheetName val="bare month equip"/>
      <sheetName val="Sheet1"/>
    </sheetNames>
    <sheetDataSet>
      <sheetData sheetId="0" refreshError="1"/>
      <sheetData sheetId="1" refreshError="1"/>
      <sheetData sheetId="2">
        <row r="44">
          <cell r="G44">
            <v>1065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A"/>
      <sheetName val="list B"/>
      <sheetName val="Source"/>
      <sheetName val="FRONT PAGE"/>
      <sheetName val="2ND PAGE"/>
      <sheetName val="BRIDGE"/>
      <sheetName val="103(2)"/>
      <sheetName val="401"/>
      <sheetName val="404(a)"/>
      <sheetName val="404(b)"/>
      <sheetName val="405(1)"/>
      <sheetName val="405(2)"/>
      <sheetName val="406"/>
      <sheetName val="412"/>
      <sheetName val="101(3)"/>
      <sheetName val="101(4)"/>
      <sheetName val="102(2)"/>
      <sheetName val="103"/>
      <sheetName val="104(1)"/>
      <sheetName val="105(1)"/>
      <sheetName val="200"/>
      <sheetName val="311(1)"/>
      <sheetName val="311(2)"/>
      <sheetName val="612(1)"/>
      <sheetName val="Sheet1"/>
      <sheetName val="505"/>
      <sheetName val="RW 103"/>
      <sheetName val="RW 404a"/>
      <sheetName val="RW 404b"/>
      <sheetName val="RW 405(1)"/>
      <sheetName val="RW 405 (2)"/>
      <sheetName val="103(1)FC"/>
      <sheetName val="505FC"/>
      <sheetName val="FC 507"/>
      <sheetName val="safety 2"/>
      <sheetName val="safety"/>
      <sheetName val="tma rd"/>
      <sheetName val="TRAFFIC"/>
      <sheetName val="tma FC"/>
      <sheetName val="temfacil 6 x 8"/>
      <sheetName val="temfacil"/>
      <sheetName val="BILLBOARD2"/>
      <sheetName val="BB"/>
      <sheetName val="vehicle b"/>
      <sheetName val="veh comp"/>
      <sheetName val="VEHICLE A"/>
      <sheetName val="TMA 1"/>
      <sheetName val="TMA"/>
      <sheetName val="bare month equip"/>
      <sheetName val="SUMMARY 2"/>
      <sheetName val="Materials"/>
    </sheetNames>
    <sheetDataSet>
      <sheetData sheetId="0"/>
      <sheetData sheetId="1"/>
      <sheetData sheetId="2">
        <row r="24">
          <cell r="B24">
            <v>100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A"/>
      <sheetName val="list B"/>
      <sheetName val="Source"/>
      <sheetName val="FRONT PAGE"/>
      <sheetName val="2ND PAGE"/>
      <sheetName val="BRIDGE"/>
      <sheetName val="103(2)"/>
      <sheetName val="401"/>
      <sheetName val="404(a)"/>
      <sheetName val="404(b)"/>
      <sheetName val="405(1)"/>
      <sheetName val="405(2)"/>
      <sheetName val="406"/>
      <sheetName val="412"/>
      <sheetName val="101(3)"/>
      <sheetName val="101(4)"/>
      <sheetName val="102(2)"/>
      <sheetName val="103"/>
      <sheetName val="104(1)"/>
      <sheetName val="105(1)"/>
      <sheetName val="200"/>
      <sheetName val="311(1)"/>
      <sheetName val="311(2)"/>
      <sheetName val="612(1)"/>
      <sheetName val="Sheet1"/>
      <sheetName val="505"/>
      <sheetName val="RW 103"/>
      <sheetName val="RW 404a"/>
      <sheetName val="RW 404b"/>
      <sheetName val="RW 405(1)"/>
      <sheetName val="RW 405 (2)"/>
      <sheetName val="103(1)FC"/>
      <sheetName val="505FC"/>
      <sheetName val="FC 507"/>
      <sheetName val="safety 2"/>
      <sheetName val="safety"/>
      <sheetName val="tma rd"/>
      <sheetName val="TRAFFIC"/>
      <sheetName val="tma FC"/>
      <sheetName val="temfacil 6 x 8"/>
      <sheetName val="temfacil"/>
      <sheetName val="BILLBOARD2"/>
      <sheetName val="BB"/>
      <sheetName val="vehicle b"/>
      <sheetName val="veh comp"/>
      <sheetName val="VEHICLE A"/>
      <sheetName val="TMA 1"/>
      <sheetName val="TMA"/>
      <sheetName val="bare month equip"/>
      <sheetName val="SUMMARY 2"/>
    </sheetNames>
    <sheetDataSet>
      <sheetData sheetId="0"/>
      <sheetData sheetId="1"/>
      <sheetData sheetId="2">
        <row r="24">
          <cell r="B24">
            <v>100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"/>
      <sheetName val="1"/>
      <sheetName val="2"/>
      <sheetName val="abc"/>
      <sheetName val="Sheet2"/>
      <sheetName val="summary"/>
      <sheetName val="roads"/>
      <sheetName val="drainage"/>
      <sheetName val="310 tma"/>
      <sheetName val="mob.&amp; dem"/>
      <sheetName val="camphouse"/>
      <sheetName val="Temfacil"/>
      <sheetName val="sv A"/>
      <sheetName val="SV B"/>
      <sheetName val="traffic control"/>
      <sheetName val="605(3)"/>
      <sheetName val="spl-5"/>
      <sheetName val="spl-4"/>
      <sheetName val="SUMMARY OF MATERIALS"/>
      <sheetName val="WORKING DAYS"/>
      <sheetName val="Sheet1"/>
    </sheetNames>
    <sheetDataSet>
      <sheetData sheetId="0">
        <row r="47">
          <cell r="G47">
            <v>145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"/>
      <sheetName val="1"/>
      <sheetName val="2"/>
      <sheetName val="abc"/>
      <sheetName val="Sheet2"/>
      <sheetName val="summary"/>
      <sheetName val="roads"/>
      <sheetName val="drainage"/>
      <sheetName val="310 tma"/>
      <sheetName val="mob.&amp; dem"/>
      <sheetName val="camphouse"/>
      <sheetName val="Temfacil"/>
      <sheetName val="sv A"/>
      <sheetName val="SV B"/>
      <sheetName val="traffic control"/>
      <sheetName val="605(3)"/>
      <sheetName val="spl-5"/>
      <sheetName val="spl-4"/>
      <sheetName val="SUMMARY OF MATERIALS"/>
      <sheetName val="WORKING DAYS"/>
      <sheetName val="Sheet1"/>
    </sheetNames>
    <sheetDataSet>
      <sheetData sheetId="0">
        <row r="47">
          <cell r="G47">
            <v>145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BA_UsageExample"/>
      <sheetName val="VBA_Wrapper"/>
      <sheetName val="VBA_32bit"/>
      <sheetName val="VBA_16bit"/>
      <sheetName val="Menu"/>
      <sheetName val="CCenter"/>
      <sheetName val="Update"/>
      <sheetName val="Materials"/>
      <sheetName val="Manpower"/>
      <sheetName val="Transport"/>
      <sheetName val="Equipment"/>
      <sheetName val="Transport Result"/>
      <sheetName val="Aggregates"/>
      <sheetName val="Scope of Works"/>
      <sheetName val="Project List"/>
      <sheetName val="Rod"/>
      <sheetName val="Andrew"/>
      <sheetName val="Bebot"/>
      <sheetName val="Anna"/>
      <sheetName val="Elmer"/>
      <sheetName val="Ruben"/>
      <sheetName val="Rod (7)"/>
      <sheetName val="Rod (8)"/>
      <sheetName val="Sheet1"/>
      <sheetName val="Compo Bill"/>
      <sheetName val="Source"/>
      <sheetName val="Labor"/>
      <sheetName val="FRONT"/>
      <sheetName val="Sheet2"/>
      <sheetName val="AS STAKED QUANTITY SHEET"/>
      <sheetName val="EQUIPMENT (2)"/>
      <sheetName val="Materials (2)"/>
      <sheetName val="cover sample"/>
      <sheetName val="FRONT Orig."/>
      <sheetName val="Cover Page"/>
      <sheetName val="Front Admin"/>
      <sheetName val="SPL-1"/>
      <sheetName val="101(1)"/>
      <sheetName val="103(1)"/>
      <sheetName val="103(1) Comp"/>
      <sheetName val="103(3)"/>
      <sheetName val="103(3) Comp "/>
      <sheetName val="103(6) Comp "/>
      <sheetName val="103(6)"/>
      <sheetName val="102(2)"/>
      <sheetName val="B-102(2)"/>
      <sheetName val="104(1)"/>
      <sheetName val="B-104(1)"/>
      <sheetName val="105(1)"/>
      <sheetName val="B-105(1)"/>
      <sheetName val="200"/>
      <sheetName val="B-200"/>
      <sheetName val="311(1) orig."/>
      <sheetName val="311(1)"/>
      <sheetName val="B-311(1)"/>
      <sheetName val="404"/>
      <sheetName val="B-404"/>
      <sheetName val="405(1)"/>
      <sheetName val="B-405(1)"/>
      <sheetName val="405(2)"/>
      <sheetName val="B-405(2)"/>
      <sheetName val="500(1)a"/>
      <sheetName val="B-500(1)a"/>
      <sheetName val="500(1)b"/>
      <sheetName val="B-500(1)b"/>
      <sheetName val="505(5)"/>
      <sheetName val="B-505(5)"/>
      <sheetName val="603(3)a"/>
      <sheetName val="603(3)b"/>
      <sheetName val="B-603(3)a - 603(3)b"/>
      <sheetName val="901(1)"/>
      <sheetName val="901(1)Comp"/>
      <sheetName val="QS"/>
      <sheetName val="frontpage contract"/>
      <sheetName val="ABC"/>
      <sheetName val="101(3)"/>
      <sheetName val="104(2)"/>
      <sheetName val="603(3a)"/>
      <sheetName val="603(3b)"/>
      <sheetName val="SPL1"/>
      <sheetName val="SPL2"/>
      <sheetName val="SPL3"/>
      <sheetName val="Back up RCPC"/>
      <sheetName val="Time Motion"/>
      <sheetName val="Time motion - Boulders"/>
      <sheetName val="B-103(1)"/>
      <sheetName val="B-103(3)"/>
      <sheetName val="B-103(6)"/>
      <sheetName val="B-104(2)"/>
      <sheetName val="B-311"/>
      <sheetName val="B-404 (HW)"/>
      <sheetName val="QS (2)"/>
      <sheetName val="Bar Cutting 1200"/>
      <sheetName val="B-404(CHB Canal)"/>
      <sheetName val="B-404 (Slab)"/>
      <sheetName val="Bar Cutting 1800"/>
      <sheetName val="B-405(HW)"/>
      <sheetName val="B-405(CHB Canal)"/>
      <sheetName val="B-603(3)"/>
      <sheetName val="SPL(Headwall)"/>
      <sheetName val="SPL (CHB Canal)"/>
      <sheetName val="BARCHART"/>
      <sheetName val="QUARRY D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6">
          <cell r="D6">
            <v>1</v>
          </cell>
        </row>
        <row r="8">
          <cell r="D8" t="str">
            <v>Pagadian City - January 06, 2006</v>
          </cell>
        </row>
        <row r="9">
          <cell r="D9" t="str">
            <v>Pagadian City</v>
          </cell>
        </row>
        <row r="10">
          <cell r="D10">
            <v>100</v>
          </cell>
        </row>
        <row r="11">
          <cell r="D11">
            <v>80</v>
          </cell>
        </row>
        <row r="12">
          <cell r="D12" t="str">
            <v>Walled City, Jolo, Sulu</v>
          </cell>
        </row>
        <row r="13">
          <cell r="D13">
            <v>100</v>
          </cell>
        </row>
        <row r="14">
          <cell r="D14">
            <v>15</v>
          </cell>
        </row>
        <row r="15">
          <cell r="D15" t="str">
            <v>Backhoe</v>
          </cell>
        </row>
        <row r="16">
          <cell r="D16" t="str">
            <v>Backhoe w/ breaker</v>
          </cell>
        </row>
        <row r="17">
          <cell r="D17" t="str">
            <v>Road Grader</v>
          </cell>
        </row>
        <row r="18">
          <cell r="D18" t="str">
            <v>Road Roller</v>
          </cell>
        </row>
        <row r="19">
          <cell r="D19" t="str">
            <v>Pay Loader</v>
          </cell>
        </row>
        <row r="20">
          <cell r="D20" t="str">
            <v>Dump Truck</v>
          </cell>
        </row>
        <row r="21">
          <cell r="D21" t="str">
            <v>Transit Mixer</v>
          </cell>
        </row>
        <row r="22">
          <cell r="D22" t="str">
            <v>Water Truck</v>
          </cell>
        </row>
        <row r="23">
          <cell r="D23" t="str">
            <v>Bulldozer - D8</v>
          </cell>
        </row>
        <row r="24">
          <cell r="D24" t="str">
            <v>Dredger Vessel</v>
          </cell>
        </row>
        <row r="25">
          <cell r="D25" t="str">
            <v>Truck Mounted Crane (20T)</v>
          </cell>
        </row>
        <row r="26">
          <cell r="D26" t="str">
            <v>Truck Mounted Crane w/ Bucket</v>
          </cell>
        </row>
        <row r="27">
          <cell r="D27" t="str">
            <v>Truck Mounted Crane (35T)</v>
          </cell>
        </row>
        <row r="28">
          <cell r="D28" t="str">
            <v>Truck Mounted Crane (40T)</v>
          </cell>
        </row>
        <row r="29">
          <cell r="D29" t="str">
            <v>Truck Mounted Crane (50T)</v>
          </cell>
        </row>
        <row r="30">
          <cell r="D30" t="str">
            <v>Truck Mounted Crane (60T)</v>
          </cell>
        </row>
        <row r="31">
          <cell r="D31" t="str">
            <v>Truck Mounted Crane w/ Bucket (60T)</v>
          </cell>
        </row>
        <row r="32">
          <cell r="D32" t="str">
            <v>Barge</v>
          </cell>
        </row>
        <row r="33">
          <cell r="D33" t="str">
            <v>Barge Mounted Crane (40T)</v>
          </cell>
        </row>
        <row r="34">
          <cell r="D34" t="str">
            <v>Barge Mounted Crane (50T)</v>
          </cell>
        </row>
        <row r="35">
          <cell r="D35" t="str">
            <v>Barge Mounted Crane (60T)</v>
          </cell>
        </row>
        <row r="36">
          <cell r="D36" t="str">
            <v>D-22 Diesel Hammer</v>
          </cell>
        </row>
        <row r="37">
          <cell r="D37" t="str">
            <v>D-35 Diesel Hammer</v>
          </cell>
        </row>
        <row r="38">
          <cell r="D38" t="str">
            <v>Tractor-Drawn Roller (1-d)</v>
          </cell>
        </row>
        <row r="39">
          <cell r="D39" t="str">
            <v>Tandem Roller</v>
          </cell>
        </row>
        <row r="40">
          <cell r="D40" t="str">
            <v>Mini-Excavator</v>
          </cell>
        </row>
        <row r="41">
          <cell r="D41" t="str">
            <v>Mini-Dumptruck</v>
          </cell>
        </row>
        <row r="42">
          <cell r="D42" t="str">
            <v>Skid-Steer Loader</v>
          </cell>
        </row>
        <row r="43">
          <cell r="D43" t="str">
            <v>Road Maintener</v>
          </cell>
        </row>
        <row r="44">
          <cell r="D44" t="str">
            <v>Diesel Hammer</v>
          </cell>
        </row>
        <row r="45">
          <cell r="D45" t="str">
            <v>Drop Hammer</v>
          </cell>
        </row>
        <row r="46">
          <cell r="D46" t="str">
            <v>Percussion</v>
          </cell>
        </row>
        <row r="47">
          <cell r="D47" t="str">
            <v>Rammers</v>
          </cell>
        </row>
        <row r="48">
          <cell r="D48" t="str">
            <v>Vibratory Hammer</v>
          </cell>
        </row>
        <row r="49">
          <cell r="D49" t="str">
            <v>Truck Mounted Vibratory Hammer</v>
          </cell>
        </row>
        <row r="50">
          <cell r="D50" t="str">
            <v>Barge Mounted Vibratory Hammer</v>
          </cell>
        </row>
        <row r="51">
          <cell r="D51" t="str">
            <v>Jack Hammer w/ Compressor</v>
          </cell>
        </row>
        <row r="52">
          <cell r="D52" t="str">
            <v>Asphalt Batching Plant</v>
          </cell>
        </row>
        <row r="53">
          <cell r="D53" t="str">
            <v>Asphalt Paver</v>
          </cell>
        </row>
        <row r="54">
          <cell r="D54" t="str">
            <v>Asphalt Distributor</v>
          </cell>
        </row>
        <row r="55">
          <cell r="D55" t="str">
            <v>Power Broom</v>
          </cell>
        </row>
        <row r="56">
          <cell r="D56" t="str">
            <v>Rubber Tired Roller</v>
          </cell>
        </row>
        <row r="58">
          <cell r="D58" t="str">
            <v>( LIGHT EQUIPMENT )</v>
          </cell>
        </row>
        <row r="59">
          <cell r="D59" t="str">
            <v>Buggy</v>
          </cell>
        </row>
        <row r="60">
          <cell r="D60" t="str">
            <v>Wheel borrow</v>
          </cell>
        </row>
        <row r="61">
          <cell r="D61" t="str">
            <v>2" Heavy Duty Pulley</v>
          </cell>
        </row>
        <row r="62">
          <cell r="D62" t="str">
            <v>Concrete Mixer (1-bagger)</v>
          </cell>
        </row>
        <row r="63">
          <cell r="D63" t="str">
            <v>Concrete Vibrator</v>
          </cell>
        </row>
        <row r="64">
          <cell r="D64" t="str">
            <v>Plate Compactor</v>
          </cell>
        </row>
        <row r="65">
          <cell r="D65" t="str">
            <v>Concrete Cutter Saw</v>
          </cell>
        </row>
        <row r="66">
          <cell r="D66" t="str">
            <v>Air Compressor</v>
          </cell>
        </row>
        <row r="67">
          <cell r="D67" t="str">
            <v>Bar Cutter</v>
          </cell>
        </row>
        <row r="68">
          <cell r="D68" t="str">
            <v>Bar Bender</v>
          </cell>
        </row>
        <row r="69">
          <cell r="D69" t="str">
            <v>Screed</v>
          </cell>
        </row>
        <row r="70">
          <cell r="D70" t="str">
            <v>ServiceVehicle</v>
          </cell>
        </row>
        <row r="71">
          <cell r="D71" t="str">
            <v>Concrete Saws</v>
          </cell>
        </row>
        <row r="72">
          <cell r="D72" t="str">
            <v>Concrete Trowels</v>
          </cell>
        </row>
        <row r="73">
          <cell r="D73" t="str">
            <v>Motorized Water Pump</v>
          </cell>
        </row>
        <row r="74">
          <cell r="D74" t="str">
            <v>Motorized Water Pump (High Pressure)</v>
          </cell>
        </row>
        <row r="75">
          <cell r="D75" t="str">
            <v>Portable Drilling Rig</v>
          </cell>
        </row>
        <row r="76">
          <cell r="D76" t="str">
            <v>Electric Welding Machine</v>
          </cell>
        </row>
        <row r="77">
          <cell r="D77" t="str">
            <v>Electric Welding Machine w/ Genset</v>
          </cell>
        </row>
        <row r="78">
          <cell r="D78" t="str">
            <v>A/O Gas Cutting Outfits</v>
          </cell>
        </row>
        <row r="79">
          <cell r="D79" t="str">
            <v>Diesel Engine Generator</v>
          </cell>
        </row>
        <row r="80">
          <cell r="D80" t="str">
            <v>Electric Grinder</v>
          </cell>
        </row>
        <row r="81">
          <cell r="D81" t="str">
            <v>Electric Drill</v>
          </cell>
        </row>
        <row r="82">
          <cell r="D82" t="str">
            <v>Engr's Transit</v>
          </cell>
        </row>
        <row r="83">
          <cell r="D83" t="str">
            <v>Steel Tri-Boom</v>
          </cell>
        </row>
        <row r="84">
          <cell r="D84" t="str">
            <v>Pulley</v>
          </cell>
        </row>
        <row r="85">
          <cell r="D85" t="str">
            <v>Plumber's Tools</v>
          </cell>
        </row>
        <row r="86">
          <cell r="D86" t="str">
            <v>Truck-mounted Drilling Rig, Rotary</v>
          </cell>
        </row>
        <row r="87">
          <cell r="D87" t="str">
            <v>( HAULERS )</v>
          </cell>
        </row>
        <row r="88">
          <cell r="D88" t="str">
            <v>( HAULERS )</v>
          </cell>
        </row>
        <row r="89">
          <cell r="D89" t="str">
            <v>Dump Truck (6-wheeler)</v>
          </cell>
        </row>
        <row r="90">
          <cell r="D90" t="str">
            <v>Lowbed Trailer</v>
          </cell>
        </row>
        <row r="91">
          <cell r="D91" t="str">
            <v>2-1/2 T Dump Truck (Baby DT)</v>
          </cell>
        </row>
        <row r="92">
          <cell r="D92" t="str">
            <v>Concrete Batching Plant</v>
          </cell>
        </row>
        <row r="95">
          <cell r="D95" t="str">
            <v>- - - - NEW - - - - - NEW - - - - NEW - - - - -</v>
          </cell>
        </row>
        <row r="96">
          <cell r="D96" t="str">
            <v>- - - - NEW - - - - - NEW - - - - NEW - - - - -</v>
          </cell>
        </row>
        <row r="97">
          <cell r="D97" t="str">
            <v>- - - - PLANTS - - - -</v>
          </cell>
        </row>
        <row r="98">
          <cell r="D98" t="str">
            <v>- - - - PLANTS - - - -</v>
          </cell>
        </row>
        <row r="99">
          <cell r="D99" t="str">
            <v>Aggregate Crusher, 100 T/hr</v>
          </cell>
        </row>
        <row r="100">
          <cell r="D100" t="str">
            <v>Aggregate Crusher, 100 T/hr</v>
          </cell>
        </row>
        <row r="101">
          <cell r="D101" t="str">
            <v>Mobile Washing &amp; Screening Plant,    60 TPH</v>
          </cell>
        </row>
        <row r="102">
          <cell r="D102" t="str">
            <v>Concrete Batch Plant, 30 cm/hr</v>
          </cell>
        </row>
        <row r="103">
          <cell r="D103" t="str">
            <v>Concrete Batch Plant, 40 cm/hr</v>
          </cell>
        </row>
        <row r="104">
          <cell r="D104" t="str">
            <v>Concrete Batch Plant, 60 cm/hr</v>
          </cell>
        </row>
        <row r="105">
          <cell r="D105" t="str">
            <v>Concrete Batch Plant, 90 cm/hr</v>
          </cell>
        </row>
        <row r="106">
          <cell r="D106" t="str">
            <v>Concrete Batch Plant, 120 cm/hr</v>
          </cell>
        </row>
        <row r="108">
          <cell r="D108" t="str">
            <v xml:space="preserve">- - - - - AIR EQUPMENT - - - - - </v>
          </cell>
        </row>
        <row r="109">
          <cell r="D109" t="str">
            <v xml:space="preserve">- - - - - AIR EQUPMENT - - - - - </v>
          </cell>
        </row>
        <row r="110">
          <cell r="D110" t="str">
            <v>Air Compressor, 15 - 35  CFM</v>
          </cell>
        </row>
        <row r="111">
          <cell r="D111" t="str">
            <v>Air Compressor, 15 - 35  CFM</v>
          </cell>
        </row>
        <row r="112">
          <cell r="D112" t="str">
            <v>Air Compressor, 126 - 160  CFM</v>
          </cell>
        </row>
        <row r="113">
          <cell r="D113" t="str">
            <v>Air Compressor,  331 - 350  CFM</v>
          </cell>
        </row>
        <row r="114">
          <cell r="D114" t="str">
            <v>Air Compressor, 456 - 500  CFM</v>
          </cell>
        </row>
        <row r="115">
          <cell r="D115" t="str">
            <v>Air Compressor, 501 - 600  CFM</v>
          </cell>
        </row>
        <row r="116">
          <cell r="D116" t="str">
            <v>Pneumatic Breaker - hand held</v>
          </cell>
        </row>
        <row r="117">
          <cell r="D117" t="str">
            <v xml:space="preserve">Drill, Crawler Type , 2.5"-4.5"dia. (115mm dia.) </v>
          </cell>
        </row>
        <row r="118">
          <cell r="D118" t="str">
            <v>Applicator Machine</v>
          </cell>
        </row>
        <row r="120">
          <cell r="D120" t="str">
            <v>- - - - - - EXCAVATING EQUIPMENT - - - - - - -</v>
          </cell>
        </row>
        <row r="121">
          <cell r="D121" t="str">
            <v>- - - - - - EXCAVATING EQUIPMENT - - - - - - -</v>
          </cell>
        </row>
        <row r="122">
          <cell r="D122" t="str">
            <v>Backhoe Loader Hydraulic,  Wheel Mtd 0.76 cm</v>
          </cell>
        </row>
        <row r="123">
          <cell r="D123" t="str">
            <v>Backhoe Loader Hydraulic,  Wheel Mtd 0.76 cm</v>
          </cell>
        </row>
        <row r="124">
          <cell r="D124" t="str">
            <v>Backhoe, Hydraulic , Crawler Mtd  0.63 cm, 89 hp</v>
          </cell>
        </row>
        <row r="125">
          <cell r="D125" t="str">
            <v>Backhoe, Hydraulic , Crawler Mtd  0.76 cm, 90 hp</v>
          </cell>
        </row>
        <row r="126">
          <cell r="D126" t="str">
            <v>Backhoe, Hydraulic , Crawler Mtd  1.00 cm, 128 hp</v>
          </cell>
        </row>
        <row r="127">
          <cell r="D127" t="str">
            <v>Backhoe, Hydraulic , Crawler Mtd  1.15 cm, 148 hp</v>
          </cell>
        </row>
        <row r="128">
          <cell r="D128" t="str">
            <v>Backhoe, Hydraulic , Crawler Mtd  1.98 cm, 215 hp</v>
          </cell>
        </row>
        <row r="129">
          <cell r="D129" t="str">
            <v>Backhoe, Hydraulic , Crawler Mtd  with Breaker  0.63 cm</v>
          </cell>
        </row>
        <row r="130">
          <cell r="D130" t="str">
            <v>Backhoe, Hydraulic , Crawler Mtd  with Breaker  0.76 cm</v>
          </cell>
        </row>
        <row r="131">
          <cell r="D131" t="str">
            <v>Backhoe, Hydraulic , Crawler Mtd  with Breaker  1.00 cm</v>
          </cell>
        </row>
        <row r="132">
          <cell r="D132" t="str">
            <v>Power Shovel,  2.3 cm, 250hp</v>
          </cell>
        </row>
        <row r="134">
          <cell r="D134" t="str">
            <v xml:space="preserve">- - - - - - - COMPACTION EQUIPMENT - - - - - - - </v>
          </cell>
        </row>
        <row r="135">
          <cell r="D135" t="str">
            <v xml:space="preserve">- - - - - - - COMPACTION EQUIPMENT - - - - - - - 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 DILG"/>
      <sheetName val="POW DPWH"/>
      <sheetName val="ITEMIZED-ECE"/>
      <sheetName val="Manpower"/>
      <sheetName val="Supply Code-PGSO"/>
      <sheetName val="Permits"/>
      <sheetName val="pow1 (for completion)"/>
      <sheetName val="backup 1003"/>
      <sheetName val="backup 1018"/>
      <sheetName val="backup 1014"/>
      <sheetName val="Steel Angle bar"/>
      <sheetName val="Bar Chart (FINAL_2) (2)"/>
      <sheetName val="Sheet2"/>
      <sheetName val="pertcpm"/>
      <sheetName val="Sheet1"/>
      <sheetName val="for RFQ"/>
      <sheetName val="Material"/>
      <sheetName val="Material(as of march 2026)"/>
      <sheetName val="Sheet3"/>
      <sheetName val="Percentage"/>
      <sheetName val="Equipment"/>
      <sheetName val="Critical Path"/>
      <sheetName val="pertcpm (3)"/>
      <sheetName val="Bar Chart (FINAL_2) (3)"/>
      <sheetName val="ABC."/>
      <sheetName val="pow1"/>
      <sheetName val="TMA"/>
      <sheetName val="A.1.1(3)"/>
      <sheetName val="B.3"/>
      <sheetName val="B.5"/>
      <sheetName val="B.7 (1)"/>
      <sheetName val="B.9"/>
      <sheetName val="801 (1)"/>
      <sheetName val="803 (1)a"/>
      <sheetName val="804(1)b"/>
      <sheetName val="804(4)"/>
      <sheetName val="900(7)"/>
      <sheetName val="backup 803,804,900,902,903,1001"/>
      <sheetName val="902 (1)a"/>
      <sheetName val="903(1)"/>
      <sheetName val="1001 (6)"/>
      <sheetName val="1001 (8)"/>
      <sheetName val="1001 (9)"/>
      <sheetName val="1001 (11)"/>
      <sheetName val="1002 (4)"/>
      <sheetName val="1002 (24)"/>
      <sheetName val="1003 (1)h"/>
      <sheetName val="1003 (2)a1"/>
      <sheetName val="1003 (2)d1"/>
      <sheetName val="1003 (17)"/>
      <sheetName val="1006 (6)"/>
      <sheetName val="1005 (1)"/>
      <sheetName val="1007 (1)b"/>
      <sheetName val="1008 (1)a"/>
      <sheetName val="1008 (1)c"/>
      <sheetName val="1008 (1)d"/>
      <sheetName val="1009 (1)a"/>
      <sheetName val="1010 (4)"/>
      <sheetName val="1011 (2)"/>
      <sheetName val="1014 (1)b2"/>
      <sheetName val="1013 (1)"/>
      <sheetName val="1016 (1)b"/>
      <sheetName val="1018 (2)"/>
      <sheetName val="1018 (5)"/>
      <sheetName val="backup 1027 &amp; 1046"/>
      <sheetName val="1027 (1)"/>
      <sheetName val="1027 (3)"/>
      <sheetName val="1032 (1)a"/>
      <sheetName val="1032 (1)b"/>
      <sheetName val="backup 1032"/>
      <sheetName val="1032 (1)c"/>
      <sheetName val="1039"/>
      <sheetName val="1033 (1)"/>
      <sheetName val="1043 (2)"/>
      <sheetName val="1046 (2)a1"/>
      <sheetName val="1046 (2)a2"/>
      <sheetName val="1046 (3)"/>
      <sheetName val="1047 (1)"/>
      <sheetName val="backup 1047 &amp; 1051"/>
      <sheetName val="1047 (10)"/>
      <sheetName val="1051 (6)"/>
      <sheetName val="1100 (10)"/>
      <sheetName val="1101 (33)"/>
      <sheetName val="1102 (1) "/>
      <sheetName val="1102 (10)"/>
      <sheetName val="1103 (1)"/>
      <sheetName val="1105"/>
      <sheetName val="1105 (1)b"/>
      <sheetName val="1107"/>
      <sheetName val="1208"/>
      <sheetName val="1200 (2)c"/>
      <sheetName val="1200 (5)c"/>
      <sheetName val="1200 (13)a"/>
      <sheetName val="1711 (1)"/>
      <sheetName val="1202 (6)a3"/>
      <sheetName val="1208 (1)"/>
      <sheetName val="SPL-1"/>
      <sheetName val="Bar Chart (not final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5">
          <cell r="MD25">
            <v>200</v>
          </cell>
        </row>
      </sheetData>
      <sheetData sheetId="24"/>
      <sheetData sheetId="25">
        <row r="16">
          <cell r="A16" t="str">
            <v>CONSTRUCTION OF 1 UNIT, 1-STOREY, 3-CLASSROOM SCHOOL BUILDING AT MAGSAYSAY NATIONAL HIGH SCHOOL, BRGY. MAGSAYSAY</v>
          </cell>
          <cell r="E16" t="str">
            <v>National Highway, Magsaysay, Nabunturan, Davao de Oro</v>
          </cell>
        </row>
        <row r="33">
          <cell r="A33" t="str">
            <v>PART I. FACILITIES FOR ENGINEER</v>
          </cell>
        </row>
        <row r="34">
          <cell r="A34" t="str">
            <v>A.1.1(3)</v>
          </cell>
          <cell r="B34" t="str">
            <v>CONSTRUCTION OF FIELD OFFICE FOR THE ENGINEERS</v>
          </cell>
          <cell r="F34">
            <v>1</v>
          </cell>
          <cell r="G34" t="str">
            <v>l.s.</v>
          </cell>
        </row>
        <row r="35">
          <cell r="A35" t="str">
            <v>PART II. OTHER GENERAL REQUIREMENTS</v>
          </cell>
        </row>
        <row r="36">
          <cell r="A36" t="str">
            <v>B.3</v>
          </cell>
          <cell r="B36" t="str">
            <v>PERMITS &amp; CLEARANCES</v>
          </cell>
          <cell r="F36">
            <v>1</v>
          </cell>
          <cell r="G36" t="str">
            <v>l.s.</v>
          </cell>
        </row>
        <row r="37">
          <cell r="A37" t="str">
            <v>B.5</v>
          </cell>
          <cell r="B37" t="str">
            <v>PROJECT BILLBOARD/ SIGNBOARD</v>
          </cell>
          <cell r="F37">
            <v>1</v>
          </cell>
          <cell r="G37" t="str">
            <v>each</v>
          </cell>
        </row>
        <row r="38">
          <cell r="A38" t="str">
            <v>B.7 (1)</v>
          </cell>
          <cell r="B38" t="str">
            <v>OCCUPATIONAL SAFETY &amp; HEALTH PROGRAM</v>
          </cell>
          <cell r="F38">
            <v>5</v>
          </cell>
          <cell r="G38" t="str">
            <v>mo.</v>
          </cell>
        </row>
        <row r="39">
          <cell r="A39" t="str">
            <v>B.9</v>
          </cell>
          <cell r="B39" t="str">
            <v>MOBILIZATION / DEMOBILIZATION</v>
          </cell>
          <cell r="F39">
            <v>1</v>
          </cell>
          <cell r="G39" t="str">
            <v>l.s.</v>
          </cell>
        </row>
        <row r="40">
          <cell r="A40" t="str">
            <v>PART III. CIVIL, MECHANICAL, ELECTRICAL AND SANITARY/PLUMBING WORKS</v>
          </cell>
        </row>
        <row r="41">
          <cell r="A41" t="str">
            <v>PART A</v>
          </cell>
          <cell r="B41" t="str">
            <v xml:space="preserve"> - EARTHWORKS</v>
          </cell>
        </row>
        <row r="43">
          <cell r="A43" t="str">
            <v>803 (1)a</v>
          </cell>
          <cell r="B43" t="str">
            <v>STRUCTURE EXCAVATION</v>
          </cell>
          <cell r="F43">
            <v>86.28</v>
          </cell>
          <cell r="G43" t="str">
            <v>cu.m.</v>
          </cell>
        </row>
        <row r="44">
          <cell r="A44" t="str">
            <v>804 (1)b</v>
          </cell>
          <cell r="B44" t="str">
            <v>EMBANKMENT (FROM BORROW)</v>
          </cell>
          <cell r="F44">
            <v>302.31</v>
          </cell>
          <cell r="G44" t="str">
            <v>cu.m.</v>
          </cell>
        </row>
        <row r="45">
          <cell r="A45" t="str">
            <v>804 (4)</v>
          </cell>
          <cell r="B45" t="str">
            <v>GRAVEL FILL</v>
          </cell>
          <cell r="F45">
            <v>37.47</v>
          </cell>
          <cell r="G45" t="str">
            <v>cu.m.</v>
          </cell>
        </row>
        <row r="46">
          <cell r="A46" t="str">
            <v>PART B</v>
          </cell>
          <cell r="B46" t="str">
            <v xml:space="preserve"> - PLAIN AND REINFORCED CONCRETE WORKS</v>
          </cell>
        </row>
        <row r="47">
          <cell r="A47" t="str">
            <v>900 (7)</v>
          </cell>
          <cell r="B47" t="str">
            <v>REINFORCED CONCRETE</v>
          </cell>
          <cell r="F47">
            <v>115.8</v>
          </cell>
          <cell r="G47" t="str">
            <v>cu.m.</v>
          </cell>
        </row>
        <row r="48">
          <cell r="A48" t="str">
            <v>902 (1)a</v>
          </cell>
          <cell r="B48" t="str">
            <v>REINFORCING STEEL (Deformed Grade 40)</v>
          </cell>
          <cell r="F48">
            <v>19138.13</v>
          </cell>
          <cell r="G48" t="str">
            <v>kgs.</v>
          </cell>
        </row>
        <row r="49">
          <cell r="A49" t="str">
            <v>903 (1)</v>
          </cell>
          <cell r="B49" t="str">
            <v>FORMWORKS AND FALSEWORKS</v>
          </cell>
          <cell r="F49">
            <v>1</v>
          </cell>
          <cell r="G49" t="str">
            <v>l.s.</v>
          </cell>
        </row>
        <row r="50">
          <cell r="A50" t="str">
            <v>PART C</v>
          </cell>
          <cell r="B50" t="str">
            <v xml:space="preserve"> - FINISHINGS AND OTHER CIVIL WORKS</v>
          </cell>
        </row>
        <row r="51">
          <cell r="A51" t="str">
            <v>1001 (6)</v>
          </cell>
          <cell r="B51" t="str">
            <v>CATCH BASIN</v>
          </cell>
          <cell r="F51">
            <v>1</v>
          </cell>
          <cell r="G51" t="str">
            <v>l.s.</v>
          </cell>
        </row>
        <row r="52">
          <cell r="A52" t="str">
            <v>1001 (8)</v>
          </cell>
          <cell r="B52" t="str">
            <v>SEWER LINE WORKS</v>
          </cell>
          <cell r="F52">
            <v>1</v>
          </cell>
          <cell r="G52" t="str">
            <v>l.s.</v>
          </cell>
        </row>
        <row r="53">
          <cell r="A53" t="str">
            <v>1001 (9)</v>
          </cell>
          <cell r="B53" t="str">
            <v>STORM DRAINAGE AND DOWNSPOUT</v>
          </cell>
          <cell r="F53">
            <v>1</v>
          </cell>
          <cell r="G53" t="str">
            <v>l.s.</v>
          </cell>
        </row>
        <row r="54">
          <cell r="A54" t="str">
            <v>1001 (11)</v>
          </cell>
          <cell r="B54" t="str">
            <v>SEPTIC VAULT (CONCRETE/CHB)</v>
          </cell>
          <cell r="F54">
            <v>1</v>
          </cell>
          <cell r="G54" t="str">
            <v>l.s.</v>
          </cell>
        </row>
        <row r="55">
          <cell r="A55" t="str">
            <v>1002 (4)</v>
          </cell>
          <cell r="B55" t="str">
            <v>PLUMBING FIXTURES</v>
          </cell>
          <cell r="F55">
            <v>1</v>
          </cell>
          <cell r="G55" t="str">
            <v>l.s.</v>
          </cell>
        </row>
        <row r="56">
          <cell r="A56" t="str">
            <v>1002 (24)</v>
          </cell>
          <cell r="B56" t="str">
            <v>COLD WATER LINES</v>
          </cell>
          <cell r="F56">
            <v>1</v>
          </cell>
          <cell r="G56" t="str">
            <v>l.s.</v>
          </cell>
        </row>
        <row r="57">
          <cell r="A57" t="str">
            <v>1003 (1)h</v>
          </cell>
          <cell r="B57" t="str">
            <v>CEILING</v>
          </cell>
          <cell r="F57">
            <v>1</v>
          </cell>
          <cell r="G57" t="str">
            <v>l.s.</v>
          </cell>
        </row>
        <row r="59">
          <cell r="A59" t="str">
            <v>1003 (17)</v>
          </cell>
          <cell r="B59" t="str">
            <v>CARPENTRY AND JOINERY WORKS</v>
          </cell>
          <cell r="F59">
            <v>1</v>
          </cell>
          <cell r="G59" t="str">
            <v>l.s.</v>
          </cell>
        </row>
        <row r="63">
          <cell r="A63" t="str">
            <v>1008 (1)c</v>
          </cell>
          <cell r="B63" t="str">
            <v>ALUMINUM GLASS WINDOWS (AWNING TYPE)</v>
          </cell>
          <cell r="F63">
            <v>1.08</v>
          </cell>
          <cell r="G63" t="str">
            <v>sq.m.</v>
          </cell>
        </row>
        <row r="64">
          <cell r="A64" t="str">
            <v>1008 (1)d</v>
          </cell>
          <cell r="B64" t="str">
            <v>ALUMINUM GLASS WINDOWS (FIXED TYPE)</v>
          </cell>
          <cell r="F64">
            <v>9.33</v>
          </cell>
          <cell r="G64" t="str">
            <v>sq.m.</v>
          </cell>
        </row>
        <row r="65">
          <cell r="A65" t="str">
            <v>1009 (1)a</v>
          </cell>
          <cell r="B65" t="str">
            <v>JALOUSIE WINDOWS</v>
          </cell>
          <cell r="F65">
            <v>29.13</v>
          </cell>
          <cell r="G65" t="str">
            <v>sq.m.</v>
          </cell>
        </row>
        <row r="66">
          <cell r="A66" t="str">
            <v>1010 (4)</v>
          </cell>
          <cell r="B66" t="str">
            <v>WOODEN DOORS AND WINDOWS</v>
          </cell>
          <cell r="F66">
            <v>1</v>
          </cell>
          <cell r="G66" t="str">
            <v>l.s.</v>
          </cell>
        </row>
        <row r="68">
          <cell r="A68" t="str">
            <v>1013 (1)</v>
          </cell>
          <cell r="B68" t="str">
            <v>CORRUGATED METAL ROOFING</v>
          </cell>
          <cell r="F68">
            <v>283.5</v>
          </cell>
          <cell r="G68" t="str">
            <v>sq.m.</v>
          </cell>
        </row>
        <row r="70">
          <cell r="A70" t="str">
            <v>1016 (1)b</v>
          </cell>
          <cell r="B70" t="str">
            <v>WATERPROOFING (LIQUID)</v>
          </cell>
          <cell r="F70">
            <v>149.05000000000001</v>
          </cell>
          <cell r="G70" t="str">
            <v>sq.m.</v>
          </cell>
        </row>
        <row r="71">
          <cell r="A71" t="str">
            <v>1018 (2)</v>
          </cell>
          <cell r="B71" t="str">
            <v>UNGLAZED TILES</v>
          </cell>
          <cell r="F71">
            <v>9.18</v>
          </cell>
          <cell r="G71" t="str">
            <v>sq.m.</v>
          </cell>
        </row>
        <row r="72">
          <cell r="A72" t="str">
            <v>1018 (5)</v>
          </cell>
          <cell r="B72" t="str">
            <v>GLAZED TILES</v>
          </cell>
          <cell r="F72">
            <v>26.33</v>
          </cell>
          <cell r="G72" t="str">
            <v>sq.m.</v>
          </cell>
        </row>
        <row r="73">
          <cell r="A73" t="str">
            <v>1027 (1)</v>
          </cell>
          <cell r="B73" t="str">
            <v>CEMENT PLASTER FINISH</v>
          </cell>
          <cell r="F73">
            <v>616.9799999999999</v>
          </cell>
          <cell r="G73" t="str">
            <v>sq.m.</v>
          </cell>
        </row>
        <row r="74">
          <cell r="A74" t="str">
            <v>1032 (1)a</v>
          </cell>
          <cell r="B74" t="str">
            <v>PAINTING WORKS (MASONRY/CONCRETE)</v>
          </cell>
          <cell r="F74">
            <v>863.37</v>
          </cell>
          <cell r="G74" t="str">
            <v>sq.m.</v>
          </cell>
        </row>
        <row r="75">
          <cell r="A75" t="str">
            <v>1032 (1)b</v>
          </cell>
          <cell r="B75" t="str">
            <v>PAINTING WORKS (WOOD)</v>
          </cell>
          <cell r="F75">
            <v>58.12</v>
          </cell>
          <cell r="G75" t="str">
            <v>sq.m.</v>
          </cell>
        </row>
        <row r="76">
          <cell r="A76" t="str">
            <v>1032 (1)c</v>
          </cell>
          <cell r="B76" t="str">
            <v>PAINTING WORKS (STEEL)</v>
          </cell>
          <cell r="F76">
            <v>538.21999999999991</v>
          </cell>
          <cell r="G76" t="str">
            <v>sq.m.</v>
          </cell>
        </row>
        <row r="80">
          <cell r="A80" t="str">
            <v>1046 (2)a1</v>
          </cell>
          <cell r="B80" t="str">
            <v>CHB NON LOAD BEARING (including Reinforcing Steel) 100mm thk.</v>
          </cell>
          <cell r="F80">
            <v>70.290000000000006</v>
          </cell>
          <cell r="G80" t="str">
            <v>sq.m.</v>
          </cell>
        </row>
        <row r="81">
          <cell r="A81" t="str">
            <v>1046 (2)a2</v>
          </cell>
          <cell r="B81" t="str">
            <v>CHB NON LOAD BEARING (including Reinforcing Steel) 150mm thk.</v>
          </cell>
          <cell r="F81">
            <v>404.91</v>
          </cell>
          <cell r="G81" t="str">
            <v>sq.m.</v>
          </cell>
        </row>
        <row r="82">
          <cell r="A82" t="str">
            <v>1047 (1)</v>
          </cell>
          <cell r="B82" t="str">
            <v>STRUCTURAL STEEL</v>
          </cell>
          <cell r="F82">
            <v>1</v>
          </cell>
          <cell r="G82" t="str">
            <v>l.s.</v>
          </cell>
        </row>
        <row r="83">
          <cell r="A83" t="str">
            <v>1047 (10)</v>
          </cell>
          <cell r="B83" t="str">
            <v>METAL STRUCTURE ACCESSORIES</v>
          </cell>
          <cell r="F83">
            <v>1</v>
          </cell>
          <cell r="G83" t="str">
            <v>l.s.</v>
          </cell>
        </row>
        <row r="84">
          <cell r="A84" t="str">
            <v>1051 (6)</v>
          </cell>
          <cell r="B84" t="str">
            <v>RAILINGS</v>
          </cell>
          <cell r="F84">
            <v>1</v>
          </cell>
          <cell r="G84" t="str">
            <v>l.s.</v>
          </cell>
        </row>
        <row r="85">
          <cell r="A85" t="str">
            <v>PART D</v>
          </cell>
          <cell r="B85" t="str">
            <v xml:space="preserve"> - ELECTRICAL</v>
          </cell>
        </row>
        <row r="86">
          <cell r="A86" t="str">
            <v>1100 (10)</v>
          </cell>
          <cell r="B86" t="str">
            <v>CONDUITS, BOXES &amp; FITTINGS (Conduit Works/Conduit Rough-in)</v>
          </cell>
          <cell r="F86">
            <v>1</v>
          </cell>
          <cell r="G86" t="str">
            <v>l.s.</v>
          </cell>
        </row>
        <row r="87">
          <cell r="A87" t="str">
            <v>1101 (33)</v>
          </cell>
          <cell r="B87" t="str">
            <v>WIRES AND WIRING DEVICES</v>
          </cell>
          <cell r="F87">
            <v>1</v>
          </cell>
          <cell r="G87" t="str">
            <v>l.s.</v>
          </cell>
        </row>
        <row r="88">
          <cell r="A88" t="str">
            <v>1102 (1)</v>
          </cell>
          <cell r="F88">
            <v>1</v>
          </cell>
          <cell r="G88" t="str">
            <v>l.s.</v>
          </cell>
        </row>
        <row r="91">
          <cell r="A91" t="str">
            <v>1103 (1)</v>
          </cell>
          <cell r="B91" t="str">
            <v>LIGHTING FIXTURES AND LAMPS</v>
          </cell>
          <cell r="F91">
            <v>1</v>
          </cell>
          <cell r="G91" t="str">
            <v>l.s.</v>
          </cell>
        </row>
        <row r="92">
          <cell r="A92" t="str">
            <v>PART E</v>
          </cell>
          <cell r="B92" t="str">
            <v xml:space="preserve"> - MECHANICAL</v>
          </cell>
        </row>
        <row r="93">
          <cell r="A93" t="str">
            <v>1200 (2)c</v>
          </cell>
          <cell r="B93" t="str">
            <v>VENTILATION</v>
          </cell>
          <cell r="F93">
            <v>1</v>
          </cell>
          <cell r="G93" t="str">
            <v>set</v>
          </cell>
        </row>
        <row r="96">
          <cell r="A96" t="str">
            <v>1202 (6)a3</v>
          </cell>
          <cell r="B96" t="str">
            <v>FIRE EXTINGUISHER</v>
          </cell>
          <cell r="F96">
            <v>1</v>
          </cell>
          <cell r="G96" t="str">
            <v>set</v>
          </cell>
        </row>
        <row r="101">
          <cell r="A101" t="str">
            <v>SPL-1</v>
          </cell>
          <cell r="B101" t="str">
            <v>TABLES AND CHAIRS</v>
          </cell>
          <cell r="F101">
            <v>1</v>
          </cell>
          <cell r="G101" t="str">
            <v>l.s.</v>
          </cell>
        </row>
        <row r="118">
          <cell r="A118" t="str">
            <v>ARVIE P. CUAMAG</v>
          </cell>
        </row>
        <row r="124">
          <cell r="A124" t="str">
            <v>Engineer IV - PDD Head</v>
          </cell>
        </row>
      </sheetData>
      <sheetData sheetId="26"/>
      <sheetData sheetId="27">
        <row r="70">
          <cell r="L70">
            <v>108976.61</v>
          </cell>
        </row>
      </sheetData>
      <sheetData sheetId="28">
        <row r="31">
          <cell r="L31">
            <v>92750</v>
          </cell>
        </row>
      </sheetData>
      <sheetData sheetId="29">
        <row r="42">
          <cell r="L42">
            <v>7105</v>
          </cell>
        </row>
      </sheetData>
      <sheetData sheetId="30">
        <row r="34">
          <cell r="L34">
            <v>106350.07999999999</v>
          </cell>
        </row>
      </sheetData>
      <sheetData sheetId="31">
        <row r="31">
          <cell r="L31">
            <v>30496</v>
          </cell>
        </row>
      </sheetData>
      <sheetData sheetId="32"/>
      <sheetData sheetId="33">
        <row r="31">
          <cell r="L31">
            <v>32524</v>
          </cell>
        </row>
      </sheetData>
      <sheetData sheetId="34">
        <row r="34">
          <cell r="L34">
            <v>237153.8</v>
          </cell>
        </row>
      </sheetData>
      <sheetData sheetId="35">
        <row r="37">
          <cell r="L37">
            <v>51055.799999999996</v>
          </cell>
        </row>
      </sheetData>
      <sheetData sheetId="36">
        <row r="62">
          <cell r="L62">
            <v>731393.74</v>
          </cell>
        </row>
      </sheetData>
      <sheetData sheetId="37"/>
      <sheetData sheetId="38">
        <row r="64">
          <cell r="L64">
            <v>1629207</v>
          </cell>
        </row>
      </sheetData>
      <sheetData sheetId="39">
        <row r="40">
          <cell r="L40">
            <v>300537</v>
          </cell>
        </row>
      </sheetData>
      <sheetData sheetId="40">
        <row r="44">
          <cell r="L44">
            <v>96878</v>
          </cell>
        </row>
      </sheetData>
      <sheetData sheetId="41">
        <row r="50">
          <cell r="L50">
            <v>68306</v>
          </cell>
        </row>
      </sheetData>
      <sheetData sheetId="42">
        <row r="47">
          <cell r="L47">
            <v>104272.5</v>
          </cell>
        </row>
      </sheetData>
      <sheetData sheetId="43">
        <row r="41">
          <cell r="L41">
            <v>248337</v>
          </cell>
        </row>
      </sheetData>
      <sheetData sheetId="44">
        <row r="40">
          <cell r="L40">
            <v>76556</v>
          </cell>
        </row>
      </sheetData>
      <sheetData sheetId="45">
        <row r="51">
          <cell r="L51">
            <v>26616.9</v>
          </cell>
        </row>
      </sheetData>
      <sheetData sheetId="46">
        <row r="57">
          <cell r="L57">
            <v>339611.4</v>
          </cell>
        </row>
      </sheetData>
      <sheetData sheetId="47"/>
      <sheetData sheetId="48"/>
      <sheetData sheetId="49">
        <row r="62">
          <cell r="L62">
            <v>50358.2</v>
          </cell>
        </row>
      </sheetData>
      <sheetData sheetId="50"/>
      <sheetData sheetId="51"/>
      <sheetData sheetId="52"/>
      <sheetData sheetId="53"/>
      <sheetData sheetId="54">
        <row r="30">
          <cell r="L30">
            <v>5478.7137999999995</v>
          </cell>
        </row>
      </sheetData>
      <sheetData sheetId="55">
        <row r="39">
          <cell r="L39">
            <v>34812.330799999996</v>
          </cell>
        </row>
      </sheetData>
      <sheetData sheetId="56">
        <row r="38">
          <cell r="L38">
            <v>70560</v>
          </cell>
        </row>
      </sheetData>
      <sheetData sheetId="57">
        <row r="52">
          <cell r="L52">
            <v>188426</v>
          </cell>
        </row>
      </sheetData>
      <sheetData sheetId="58"/>
      <sheetData sheetId="59"/>
      <sheetData sheetId="60">
        <row r="46">
          <cell r="L46">
            <v>208911.9</v>
          </cell>
        </row>
      </sheetData>
      <sheetData sheetId="61">
        <row r="52">
          <cell r="L52">
            <v>153994</v>
          </cell>
        </row>
      </sheetData>
      <sheetData sheetId="62">
        <row r="39">
          <cell r="L39">
            <v>20941</v>
          </cell>
        </row>
      </sheetData>
      <sheetData sheetId="63">
        <row r="40">
          <cell r="L40">
            <v>34558.400000000001</v>
          </cell>
        </row>
      </sheetData>
      <sheetData sheetId="64"/>
      <sheetData sheetId="65">
        <row r="40">
          <cell r="L40">
            <v>105708</v>
          </cell>
        </row>
      </sheetData>
      <sheetData sheetId="66"/>
      <sheetData sheetId="67">
        <row r="62">
          <cell r="L62">
            <v>248907.33</v>
          </cell>
        </row>
      </sheetData>
      <sheetData sheetId="68">
        <row r="48">
          <cell r="L48">
            <v>27480.11</v>
          </cell>
        </row>
      </sheetData>
      <sheetData sheetId="69"/>
      <sheetData sheetId="70">
        <row r="45">
          <cell r="L45">
            <v>41498</v>
          </cell>
        </row>
      </sheetData>
      <sheetData sheetId="71"/>
      <sheetData sheetId="72"/>
      <sheetData sheetId="73"/>
      <sheetData sheetId="74">
        <row r="38">
          <cell r="L38">
            <v>58527</v>
          </cell>
        </row>
      </sheetData>
      <sheetData sheetId="75">
        <row r="38">
          <cell r="L38">
            <v>455761</v>
          </cell>
        </row>
      </sheetData>
      <sheetData sheetId="76"/>
      <sheetData sheetId="77">
        <row r="49">
          <cell r="L49">
            <v>601734</v>
          </cell>
        </row>
      </sheetData>
      <sheetData sheetId="78"/>
      <sheetData sheetId="79">
        <row r="67">
          <cell r="L67">
            <v>208693.42</v>
          </cell>
        </row>
      </sheetData>
      <sheetData sheetId="80">
        <row r="37">
          <cell r="L37">
            <v>76395.66</v>
          </cell>
        </row>
      </sheetData>
      <sheetData sheetId="81">
        <row r="61">
          <cell r="L61">
            <v>21442.799999999999</v>
          </cell>
        </row>
      </sheetData>
      <sheetData sheetId="82">
        <row r="54">
          <cell r="L54">
            <v>101945</v>
          </cell>
        </row>
      </sheetData>
      <sheetData sheetId="83">
        <row r="47">
          <cell r="L47">
            <v>13849</v>
          </cell>
        </row>
      </sheetData>
      <sheetData sheetId="84"/>
      <sheetData sheetId="85">
        <row r="42">
          <cell r="L42">
            <v>61008</v>
          </cell>
        </row>
      </sheetData>
      <sheetData sheetId="86"/>
      <sheetData sheetId="87"/>
      <sheetData sheetId="88"/>
      <sheetData sheetId="89"/>
      <sheetData sheetId="90">
        <row r="35">
          <cell r="L35">
            <v>102728</v>
          </cell>
        </row>
      </sheetData>
      <sheetData sheetId="91"/>
      <sheetData sheetId="92"/>
      <sheetData sheetId="93"/>
      <sheetData sheetId="94">
        <row r="34">
          <cell r="L34">
            <v>11657</v>
          </cell>
        </row>
      </sheetData>
      <sheetData sheetId="95"/>
      <sheetData sheetId="96">
        <row r="38">
          <cell r="L38">
            <v>487888</v>
          </cell>
        </row>
      </sheetData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FF0000"/>
    <pageSetUpPr fitToPage="1"/>
  </sheetPr>
  <dimension ref="A1:R82"/>
  <sheetViews>
    <sheetView tabSelected="1" view="pageBreakPreview" zoomScale="98" zoomScaleSheetLayoutView="98" workbookViewId="0">
      <selection activeCell="J1" sqref="J1"/>
    </sheetView>
  </sheetViews>
  <sheetFormatPr defaultColWidth="9.140625" defaultRowHeight="12.75" x14ac:dyDescent="0.2"/>
  <cols>
    <col min="1" max="1" width="9.7109375" style="1" customWidth="1"/>
    <col min="2" max="2" width="52.28515625" style="1" customWidth="1"/>
    <col min="3" max="3" width="9.28515625" style="1" customWidth="1"/>
    <col min="4" max="4" width="11" style="79" customWidth="1"/>
    <col min="5" max="5" width="14.85546875" style="79" customWidth="1"/>
    <col min="6" max="6" width="10.28515625" style="79" customWidth="1"/>
    <col min="7" max="7" width="10.5703125" style="79" customWidth="1"/>
    <col min="8" max="8" width="10.28515625" style="79" customWidth="1"/>
    <col min="9" max="9" width="13.42578125" style="79" customWidth="1"/>
    <col min="10" max="10" width="14.28515625" style="79" customWidth="1"/>
    <col min="11" max="11" width="17.5703125" style="79" customWidth="1"/>
    <col min="12" max="12" width="17.28515625" style="79" customWidth="1"/>
    <col min="13" max="13" width="16.7109375" style="79" customWidth="1"/>
    <col min="14" max="14" width="12.7109375" style="1" customWidth="1"/>
    <col min="15" max="15" width="14.5703125" style="1" customWidth="1"/>
    <col min="16" max="16" width="14.85546875" style="1" customWidth="1"/>
    <col min="17" max="17" width="17" style="1" customWidth="1"/>
    <col min="18" max="18" width="10.7109375" style="1" bestFit="1" customWidth="1"/>
    <col min="19" max="16384" width="9.140625" style="1"/>
  </cols>
  <sheetData>
    <row r="1" spans="1:18" ht="12.75" customHeight="1" x14ac:dyDescent="0.25">
      <c r="A1" s="2" t="s">
        <v>0</v>
      </c>
      <c r="B1" s="3" t="str">
        <f>[77]pow1!A16</f>
        <v>CONSTRUCTION OF 1 UNIT, 1-STOREY, 3-CLASSROOM SCHOOL BUILDING AT MAGSAYSAY NATIONAL HIGH SCHOOL, BRGY. MAGSAYSAY</v>
      </c>
      <c r="C1" s="4"/>
      <c r="D1" s="4"/>
      <c r="E1" s="5"/>
      <c r="F1" s="5"/>
      <c r="G1" s="5"/>
      <c r="H1" s="5"/>
      <c r="I1" s="5"/>
      <c r="J1" s="5"/>
      <c r="K1" s="6" t="s">
        <v>46</v>
      </c>
      <c r="L1" s="7" t="s">
        <v>47</v>
      </c>
      <c r="M1" s="8"/>
    </row>
    <row r="2" spans="1:18" ht="12.75" customHeight="1" x14ac:dyDescent="0.2">
      <c r="A2" s="2" t="s">
        <v>48</v>
      </c>
      <c r="B2" s="3" t="s">
        <v>49</v>
      </c>
      <c r="C2" s="4"/>
      <c r="D2" s="4"/>
      <c r="E2" s="5"/>
      <c r="F2" s="5"/>
      <c r="G2" s="5"/>
      <c r="H2" s="5"/>
      <c r="I2" s="5"/>
      <c r="J2" s="5"/>
      <c r="K2" s="12" t="s">
        <v>2</v>
      </c>
      <c r="L2" s="13">
        <f>'[77]Bar Chart (FINAL_2) (3)'!MD25</f>
        <v>200</v>
      </c>
      <c r="M2" s="14" t="s">
        <v>3</v>
      </c>
    </row>
    <row r="3" spans="1:18" ht="14.25" customHeight="1" x14ac:dyDescent="0.2">
      <c r="A3" s="2" t="s">
        <v>1</v>
      </c>
      <c r="B3" s="9" t="str">
        <f>[77]pow1!E16</f>
        <v>National Highway, Magsaysay, Nabunturan, Davao de Oro</v>
      </c>
      <c r="C3" s="10"/>
      <c r="D3" s="10"/>
      <c r="E3" s="11"/>
      <c r="F3" s="5"/>
      <c r="G3" s="5"/>
      <c r="H3" s="5"/>
      <c r="I3" s="5"/>
      <c r="J3" s="5"/>
      <c r="K3" s="12" t="inlineStr">
        <is>
          <t>Source of Funds:</t>
        </is>
      </c>
      <c r="L3" s="13"/>
    </row>
    <row r="4" spans="1:18" ht="15.75" customHeight="1" thickBot="1" x14ac:dyDescent="0.25">
      <c r="A4" s="15"/>
      <c r="B4" s="16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8" ht="12.75" customHeight="1" thickBot="1" x14ac:dyDescent="0.25">
      <c r="A5" s="86" t="s">
        <v>4</v>
      </c>
      <c r="B5" s="86" t="s">
        <v>5</v>
      </c>
      <c r="C5" s="86" t="s">
        <v>6</v>
      </c>
      <c r="D5" s="89" t="s">
        <v>7</v>
      </c>
      <c r="E5" s="89" t="s">
        <v>8</v>
      </c>
      <c r="F5" s="80" t="s">
        <v>9</v>
      </c>
      <c r="G5" s="81"/>
      <c r="H5" s="80" t="s">
        <v>10</v>
      </c>
      <c r="I5" s="84"/>
      <c r="J5" s="89" t="s">
        <v>11</v>
      </c>
      <c r="K5" s="89" t="s">
        <v>12</v>
      </c>
      <c r="L5" s="89" t="s">
        <v>13</v>
      </c>
      <c r="M5" s="89" t="s">
        <v>14</v>
      </c>
      <c r="O5" s="18"/>
      <c r="P5" s="19"/>
      <c r="Q5" s="19"/>
      <c r="R5" s="19"/>
    </row>
    <row r="6" spans="1:18" ht="12.75" customHeight="1" thickBot="1" x14ac:dyDescent="0.25">
      <c r="A6" s="87"/>
      <c r="B6" s="87"/>
      <c r="C6" s="87"/>
      <c r="D6" s="90"/>
      <c r="E6" s="90"/>
      <c r="F6" s="82"/>
      <c r="G6" s="83"/>
      <c r="H6" s="82"/>
      <c r="I6" s="85"/>
      <c r="J6" s="90"/>
      <c r="K6" s="90"/>
      <c r="L6" s="90"/>
      <c r="M6" s="90"/>
      <c r="O6" s="18"/>
      <c r="P6" s="20"/>
      <c r="Q6" s="20"/>
      <c r="R6" s="18"/>
    </row>
    <row r="7" spans="1:18" ht="13.5" thickBot="1" x14ac:dyDescent="0.25">
      <c r="A7" s="87"/>
      <c r="B7" s="87"/>
      <c r="C7" s="87"/>
      <c r="D7" s="90"/>
      <c r="E7" s="90"/>
      <c r="F7" s="21" t="s">
        <v>15</v>
      </c>
      <c r="G7" s="21" t="s">
        <v>16</v>
      </c>
      <c r="H7" s="92" t="s">
        <v>17</v>
      </c>
      <c r="I7" s="89" t="s">
        <v>18</v>
      </c>
      <c r="J7" s="90"/>
      <c r="K7" s="90"/>
      <c r="L7" s="90"/>
      <c r="M7" s="90"/>
      <c r="O7" s="18"/>
      <c r="P7" s="20"/>
      <c r="Q7" s="20"/>
      <c r="R7" s="18"/>
    </row>
    <row r="8" spans="1:18" ht="11.25" customHeight="1" thickBot="1" x14ac:dyDescent="0.25">
      <c r="A8" s="88"/>
      <c r="B8" s="88"/>
      <c r="C8" s="88"/>
      <c r="D8" s="91"/>
      <c r="E8" s="91"/>
      <c r="F8" s="22"/>
      <c r="G8" s="22"/>
      <c r="H8" s="93"/>
      <c r="I8" s="91"/>
      <c r="J8" s="91"/>
      <c r="K8" s="91"/>
      <c r="L8" s="91"/>
      <c r="M8" s="91"/>
      <c r="O8" s="23"/>
      <c r="P8" s="24"/>
      <c r="Q8" s="24"/>
      <c r="R8" s="24"/>
    </row>
    <row r="9" spans="1:18" ht="13.5" thickBot="1" x14ac:dyDescent="0.25">
      <c r="A9" s="94" t="s">
        <v>19</v>
      </c>
      <c r="B9" s="94" t="s">
        <v>20</v>
      </c>
      <c r="C9" s="94" t="s">
        <v>21</v>
      </c>
      <c r="D9" s="94" t="s">
        <v>22</v>
      </c>
      <c r="E9" s="94" t="s">
        <v>23</v>
      </c>
      <c r="F9" s="94" t="s">
        <v>24</v>
      </c>
      <c r="G9" s="94" t="s">
        <v>25</v>
      </c>
      <c r="H9" s="94" t="s">
        <v>26</v>
      </c>
      <c r="I9" s="94" t="s">
        <v>27</v>
      </c>
      <c r="J9" s="94" t="s">
        <v>28</v>
      </c>
      <c r="K9" s="94" t="s">
        <v>29</v>
      </c>
      <c r="L9" s="94" t="s">
        <v>30</v>
      </c>
      <c r="M9" s="94" t="s">
        <v>31</v>
      </c>
      <c r="O9" s="18"/>
      <c r="P9" s="20"/>
      <c r="Q9" s="20"/>
      <c r="R9" s="18"/>
    </row>
    <row r="10" spans="1:18" ht="15.75" customHeight="1" x14ac:dyDescent="0.2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</row>
    <row r="11" spans="1:18" s="29" customFormat="1" ht="13.5" customHeight="1" x14ac:dyDescent="0.25">
      <c r="A11" s="25" t="str">
        <f>[77]pow1!A33</f>
        <v>PART I. FACILITIES FOR ENGINEER</v>
      </c>
      <c r="B11" s="26"/>
      <c r="C11" s="27"/>
      <c r="D11" s="28"/>
      <c r="E11" s="28"/>
      <c r="F11" s="28"/>
      <c r="G11" s="28"/>
      <c r="H11" s="28"/>
      <c r="I11" s="28"/>
      <c r="J11" s="28"/>
      <c r="K11" s="28"/>
      <c r="L11" s="28"/>
      <c r="M11" s="28"/>
      <c r="Q11" s="30"/>
    </row>
    <row r="12" spans="1:18" s="29" customFormat="1" ht="15" customHeight="1" x14ac:dyDescent="0.25">
      <c r="A12" s="31" t="str">
        <f>[77]pow1!A34</f>
        <v>A.1.1(3)</v>
      </c>
      <c r="B12" s="32" t="str">
        <f>[77]pow1!B34</f>
        <v>CONSTRUCTION OF FIELD OFFICE FOR THE ENGINEERS</v>
      </c>
      <c r="C12" s="33" t="str">
        <f>[77]pow1!G34</f>
        <v>l.s.</v>
      </c>
      <c r="D12" s="34">
        <f>[77]pow1!F34</f>
        <v>1</v>
      </c>
      <c r="E12" s="34">
        <f>'[77]A.1.1(3)'!L70</f>
        <v>108976.61</v>
      </c>
      <c r="F12" s="35"/>
      <c r="G12" s="35">
        <v>0.08</v>
      </c>
      <c r="H12" s="36">
        <f>G12+F12</f>
        <v>0.08</v>
      </c>
      <c r="I12" s="37">
        <f>ROUND((E12*H12),2)</f>
        <v>8718.1299999999992</v>
      </c>
      <c r="J12" s="38">
        <f>ROUND((I12+E12)*5%,2)</f>
        <v>5884.74</v>
      </c>
      <c r="K12" s="37">
        <f>J12+I12</f>
        <v>14602.869999999999</v>
      </c>
      <c r="L12" s="37">
        <f>K12+E12</f>
        <v>123579.48</v>
      </c>
      <c r="M12" s="37">
        <f>ROUND(L12/D12,2)</f>
        <v>123579.48</v>
      </c>
      <c r="N12" s="39"/>
      <c r="O12" s="40"/>
      <c r="P12" s="40"/>
      <c r="Q12" s="30"/>
    </row>
    <row r="13" spans="1:18" s="29" customFormat="1" ht="15" customHeight="1" x14ac:dyDescent="0.25">
      <c r="A13" s="25" t="str">
        <f>[77]pow1!A35</f>
        <v>PART II. OTHER GENERAL REQUIREMENTS</v>
      </c>
      <c r="B13" s="32"/>
      <c r="C13" s="33"/>
      <c r="D13" s="34"/>
      <c r="E13" s="34"/>
      <c r="F13" s="35"/>
      <c r="G13" s="35"/>
      <c r="H13" s="36"/>
      <c r="I13" s="37"/>
      <c r="J13" s="38"/>
      <c r="K13" s="37"/>
      <c r="L13" s="37"/>
      <c r="M13" s="37"/>
      <c r="N13" s="39"/>
      <c r="O13" s="40"/>
      <c r="P13" s="41"/>
      <c r="Q13" s="42"/>
    </row>
    <row r="14" spans="1:18" s="43" customFormat="1" ht="15" customHeight="1" x14ac:dyDescent="0.25">
      <c r="A14" s="31" t="str">
        <f>[77]pow1!A36</f>
        <v>B.3</v>
      </c>
      <c r="B14" s="32" t="str">
        <f>[77]pow1!B36</f>
        <v>PERMITS &amp; CLEARANCES</v>
      </c>
      <c r="C14" s="33" t="str">
        <f>[77]pow1!G36</f>
        <v>l.s.</v>
      </c>
      <c r="D14" s="34">
        <f>[77]pow1!F36</f>
        <v>1</v>
      </c>
      <c r="E14" s="34">
        <f>[77]B.3!L31</f>
        <v>92750</v>
      </c>
      <c r="F14" s="35"/>
      <c r="G14" s="35"/>
      <c r="H14" s="36">
        <f>G14+F14</f>
        <v>0</v>
      </c>
      <c r="I14" s="37">
        <f>ROUND((E14*H14),2)</f>
        <v>0</v>
      </c>
      <c r="J14" s="38">
        <f>ROUND((I14+E14)*5%,2)</f>
        <v>4637.5</v>
      </c>
      <c r="K14" s="37">
        <f>J14+I14</f>
        <v>4637.5</v>
      </c>
      <c r="L14" s="37">
        <f>K14+E14</f>
        <v>97387.5</v>
      </c>
      <c r="M14" s="37">
        <f>ROUND(L14/D14,2)</f>
        <v>97387.5</v>
      </c>
      <c r="N14" s="39"/>
      <c r="O14" s="40"/>
      <c r="P14" s="40"/>
      <c r="Q14" s="30"/>
    </row>
    <row r="15" spans="1:18" s="43" customFormat="1" ht="15" customHeight="1" x14ac:dyDescent="0.25">
      <c r="A15" s="31" t="str">
        <f>[77]pow1!A37</f>
        <v>B.5</v>
      </c>
      <c r="B15" s="32" t="str">
        <f>[77]pow1!B37</f>
        <v>PROJECT BILLBOARD/ SIGNBOARD</v>
      </c>
      <c r="C15" s="33" t="str">
        <f>[77]pow1!G37</f>
        <v>each</v>
      </c>
      <c r="D15" s="34">
        <f>[77]pow1!F37</f>
        <v>1</v>
      </c>
      <c r="E15" s="34">
        <f>[77]B.5!L42</f>
        <v>7105</v>
      </c>
      <c r="F15" s="35">
        <v>0.12</v>
      </c>
      <c r="G15" s="35">
        <v>0.08</v>
      </c>
      <c r="H15" s="36">
        <f>G15+F15</f>
        <v>0.2</v>
      </c>
      <c r="I15" s="37">
        <f>ROUND((E15*H15),2)</f>
        <v>1421</v>
      </c>
      <c r="J15" s="38">
        <f>ROUND((I15+E15)*5%,2)</f>
        <v>426.3</v>
      </c>
      <c r="K15" s="37">
        <f>J15+I15</f>
        <v>1847.3</v>
      </c>
      <c r="L15" s="37">
        <f>K15+E15</f>
        <v>8952.2999999999993</v>
      </c>
      <c r="M15" s="37">
        <f>ROUND(L15/D15,2)</f>
        <v>8952.2999999999993</v>
      </c>
      <c r="N15" s="39"/>
      <c r="O15" s="40"/>
      <c r="P15" s="40"/>
      <c r="Q15" s="30"/>
    </row>
    <row r="16" spans="1:18" s="43" customFormat="1" ht="15" customHeight="1" x14ac:dyDescent="0.25">
      <c r="A16" s="31" t="str">
        <f>[77]pow1!A38</f>
        <v>B.7 (1)</v>
      </c>
      <c r="B16" s="32" t="str">
        <f>[77]pow1!B38</f>
        <v>OCCUPATIONAL SAFETY &amp; HEALTH PROGRAM</v>
      </c>
      <c r="C16" s="33" t="str">
        <f>[77]pow1!G38</f>
        <v>mo.</v>
      </c>
      <c r="D16" s="34">
        <f>[77]pow1!F38</f>
        <v>5</v>
      </c>
      <c r="E16" s="34">
        <f>'[77]B.7 (1)'!L34</f>
        <v>106350.07999999999</v>
      </c>
      <c r="F16" s="35"/>
      <c r="G16" s="35">
        <v>0.08</v>
      </c>
      <c r="H16" s="36">
        <f>G16+F16</f>
        <v>0.08</v>
      </c>
      <c r="I16" s="37">
        <f>ROUND((E16*H16),2)</f>
        <v>8508.01</v>
      </c>
      <c r="J16" s="38">
        <f>ROUND((I16+E16)*5%,2)</f>
        <v>5742.9</v>
      </c>
      <c r="K16" s="37">
        <f>J16+I16</f>
        <v>14250.91</v>
      </c>
      <c r="L16" s="37">
        <f>K16+E16</f>
        <v>120600.98999999999</v>
      </c>
      <c r="M16" s="37">
        <f>ROUND(L16/D16,2)</f>
        <v>24120.2</v>
      </c>
      <c r="N16" s="39"/>
      <c r="O16" s="40"/>
      <c r="P16" s="40"/>
      <c r="Q16" s="30"/>
    </row>
    <row r="17" spans="1:17" s="43" customFormat="1" ht="15" customHeight="1" x14ac:dyDescent="0.25">
      <c r="A17" s="31" t="str">
        <f>[77]pow1!A39</f>
        <v>B.9</v>
      </c>
      <c r="B17" s="32" t="str">
        <f>[77]pow1!B39</f>
        <v>MOBILIZATION / DEMOBILIZATION</v>
      </c>
      <c r="C17" s="33" t="str">
        <f>[77]pow1!G39</f>
        <v>l.s.</v>
      </c>
      <c r="D17" s="34">
        <f>[77]pow1!F39</f>
        <v>1</v>
      </c>
      <c r="E17" s="34">
        <f>[77]B.9!L31</f>
        <v>30496</v>
      </c>
      <c r="F17" s="35"/>
      <c r="G17" s="35"/>
      <c r="H17" s="36">
        <f>G17+F17</f>
        <v>0</v>
      </c>
      <c r="I17" s="37">
        <f>ROUND((E17*H17),2)</f>
        <v>0</v>
      </c>
      <c r="J17" s="38">
        <f>ROUND((I17+E17)*5%,2)</f>
        <v>1524.8</v>
      </c>
      <c r="K17" s="37">
        <f>J17+I17</f>
        <v>1524.8</v>
      </c>
      <c r="L17" s="37">
        <f>K17+E17</f>
        <v>32020.799999999999</v>
      </c>
      <c r="M17" s="37">
        <f>ROUND(L17/D17,2)</f>
        <v>32020.799999999999</v>
      </c>
      <c r="N17" s="39"/>
      <c r="O17" s="40"/>
      <c r="P17" s="40"/>
      <c r="Q17" s="30"/>
    </row>
    <row r="18" spans="1:17" s="43" customFormat="1" ht="15" customHeight="1" x14ac:dyDescent="0.25">
      <c r="A18" s="25" t="str">
        <f>[77]pow1!A40</f>
        <v>PART III. CIVIL, MECHANICAL, ELECTRICAL AND SANITARY/PLUMBING WORKS</v>
      </c>
      <c r="B18" s="32"/>
      <c r="C18" s="33"/>
      <c r="D18" s="34"/>
      <c r="E18" s="34"/>
      <c r="F18" s="35"/>
      <c r="G18" s="35"/>
      <c r="H18" s="36"/>
      <c r="I18" s="37"/>
      <c r="J18" s="38"/>
      <c r="K18" s="37"/>
      <c r="L18" s="37"/>
      <c r="M18" s="37"/>
      <c r="N18" s="39"/>
      <c r="O18" s="40"/>
      <c r="P18" s="40"/>
      <c r="Q18" s="30"/>
    </row>
    <row r="19" spans="1:17" s="43" customFormat="1" ht="15" customHeight="1" x14ac:dyDescent="0.25">
      <c r="A19" s="44" t="str">
        <f>[77]pow1!A41</f>
        <v>PART A</v>
      </c>
      <c r="B19" s="45" t="str">
        <f>[77]pow1!B41</f>
        <v xml:space="preserve"> - EARTHWORKS</v>
      </c>
      <c r="C19" s="33"/>
      <c r="D19" s="34"/>
      <c r="E19" s="34"/>
      <c r="F19" s="35"/>
      <c r="G19" s="35"/>
      <c r="H19" s="36"/>
      <c r="I19" s="37"/>
      <c r="J19" s="38"/>
      <c r="K19" s="37"/>
      <c r="L19" s="37"/>
      <c r="M19" s="37"/>
      <c r="N19" s="39"/>
      <c r="O19" s="40"/>
      <c r="P19" s="40"/>
      <c r="Q19" s="30"/>
    </row>
    <row r="20" spans="1:17" s="43" customFormat="1" ht="15" customHeight="1" x14ac:dyDescent="0.25">
      <c r="A20" s="31" t="str">
        <f>[77]pow1!A43</f>
        <v>803 (1)a</v>
      </c>
      <c r="B20" s="32" t="str">
        <f>[77]pow1!B43</f>
        <v>STRUCTURE EXCAVATION</v>
      </c>
      <c r="C20" s="33" t="str">
        <f>[77]pow1!G43</f>
        <v>cu.m.</v>
      </c>
      <c r="D20" s="34">
        <f>[77]pow1!F43</f>
        <v>86.28</v>
      </c>
      <c r="E20" s="34">
        <f>'[77]803 (1)a'!L31</f>
        <v>32524</v>
      </c>
      <c r="F20" s="35">
        <v>0.12</v>
      </c>
      <c r="G20" s="35">
        <v>0.08</v>
      </c>
      <c r="H20" s="36">
        <f>G20+F20</f>
        <v>0.2</v>
      </c>
      <c r="I20" s="37">
        <f>ROUND((E20*H20),2)</f>
        <v>6504.8</v>
      </c>
      <c r="J20" s="38">
        <f>ROUND((I20+E20)*5%,2)</f>
        <v>1951.44</v>
      </c>
      <c r="K20" s="37">
        <f>J20+I20</f>
        <v>8456.24</v>
      </c>
      <c r="L20" s="37">
        <f>K20+E20</f>
        <v>40980.239999999998</v>
      </c>
      <c r="M20" s="37">
        <f>ROUND(L20/D20,2)</f>
        <v>474.97</v>
      </c>
      <c r="N20" s="39"/>
      <c r="O20" s="40"/>
      <c r="P20" s="40"/>
      <c r="Q20" s="30"/>
    </row>
    <row r="21" spans="1:17" s="43" customFormat="1" ht="15" customHeight="1" x14ac:dyDescent="0.25">
      <c r="A21" s="31" t="str">
        <f>[77]pow1!A44</f>
        <v>804 (1)b</v>
      </c>
      <c r="B21" s="32" t="str">
        <f>[77]pow1!B44</f>
        <v>EMBANKMENT (FROM BORROW)</v>
      </c>
      <c r="C21" s="33" t="str">
        <f>[77]pow1!G44</f>
        <v>cu.m.</v>
      </c>
      <c r="D21" s="34">
        <f>[77]pow1!F44</f>
        <v>302.31</v>
      </c>
      <c r="E21" s="34">
        <f>'[77]804(1)b'!L34</f>
        <v>237153.8</v>
      </c>
      <c r="F21" s="35">
        <f>F20</f>
        <v>0.12</v>
      </c>
      <c r="G21" s="35">
        <f>G20</f>
        <v>0.08</v>
      </c>
      <c r="H21" s="36">
        <f>G21+F21</f>
        <v>0.2</v>
      </c>
      <c r="I21" s="37">
        <f>ROUND((E21*H21),2)</f>
        <v>47430.76</v>
      </c>
      <c r="J21" s="38">
        <f>ROUND((I21+E21)*5%,2)</f>
        <v>14229.23</v>
      </c>
      <c r="K21" s="37">
        <f>J21+I21</f>
        <v>61659.990000000005</v>
      </c>
      <c r="L21" s="37">
        <f>K21+E21</f>
        <v>298813.78999999998</v>
      </c>
      <c r="M21" s="37">
        <f>ROUND(L21/D21,2)</f>
        <v>988.44</v>
      </c>
      <c r="N21" s="39"/>
      <c r="O21" s="40"/>
      <c r="P21" s="40"/>
      <c r="Q21" s="30"/>
    </row>
    <row r="22" spans="1:17" s="29" customFormat="1" ht="15" customHeight="1" x14ac:dyDescent="0.25">
      <c r="A22" s="31" t="str">
        <f>[77]pow1!A45</f>
        <v>804 (4)</v>
      </c>
      <c r="B22" s="32" t="str">
        <f>[77]pow1!B45</f>
        <v>GRAVEL FILL</v>
      </c>
      <c r="C22" s="33" t="str">
        <f>[77]pow1!G45</f>
        <v>cu.m.</v>
      </c>
      <c r="D22" s="34">
        <f>[77]pow1!F45</f>
        <v>37.47</v>
      </c>
      <c r="E22" s="37">
        <f>'[77]804(4)'!L37</f>
        <v>51055.799999999996</v>
      </c>
      <c r="F22" s="35">
        <f>F21</f>
        <v>0.12</v>
      </c>
      <c r="G22" s="35">
        <f>G21</f>
        <v>0.08</v>
      </c>
      <c r="H22" s="36">
        <f>G22+F22</f>
        <v>0.2</v>
      </c>
      <c r="I22" s="37">
        <f>ROUND((E22*H22),2)</f>
        <v>10211.16</v>
      </c>
      <c r="J22" s="38">
        <f>ROUND((I22+E22)*5%,2)</f>
        <v>3063.35</v>
      </c>
      <c r="K22" s="37">
        <f>J22+I22</f>
        <v>13274.51</v>
      </c>
      <c r="L22" s="37">
        <f>K22+E22</f>
        <v>64330.31</v>
      </c>
      <c r="M22" s="37">
        <f>ROUND(L22/D22,2)</f>
        <v>1716.85</v>
      </c>
      <c r="N22" s="39"/>
      <c r="O22" s="39"/>
      <c r="P22" s="39"/>
      <c r="Q22" s="30"/>
    </row>
    <row r="23" spans="1:17" s="29" customFormat="1" ht="15" customHeight="1" x14ac:dyDescent="0.25">
      <c r="A23" s="44" t="str">
        <f>[77]pow1!A46</f>
        <v>PART B</v>
      </c>
      <c r="B23" s="45" t="str">
        <f>[77]pow1!B46</f>
        <v xml:space="preserve"> - PLAIN AND REINFORCED CONCRETE WORKS</v>
      </c>
      <c r="C23" s="33"/>
      <c r="D23" s="34"/>
      <c r="E23" s="37"/>
      <c r="F23" s="35"/>
      <c r="G23" s="35"/>
      <c r="H23" s="36"/>
      <c r="I23" s="37"/>
      <c r="J23" s="38"/>
      <c r="K23" s="37"/>
      <c r="L23" s="37"/>
      <c r="M23" s="37"/>
      <c r="N23" s="39"/>
      <c r="O23" s="39"/>
      <c r="P23" s="39"/>
      <c r="Q23" s="30"/>
    </row>
    <row r="24" spans="1:17" s="29" customFormat="1" ht="15" customHeight="1" x14ac:dyDescent="0.25">
      <c r="A24" s="31" t="str">
        <f>[77]pow1!A47</f>
        <v>900 (7)</v>
      </c>
      <c r="B24" s="32" t="str">
        <f>[77]pow1!B47</f>
        <v>REINFORCED CONCRETE</v>
      </c>
      <c r="C24" s="33" t="str">
        <f>[77]pow1!G47</f>
        <v>cu.m.</v>
      </c>
      <c r="D24" s="34">
        <f>[77]pow1!F47</f>
        <v>115.8</v>
      </c>
      <c r="E24" s="37">
        <f>'[77]900(7)'!L62</f>
        <v>731393.74</v>
      </c>
      <c r="F24" s="35">
        <f>F22</f>
        <v>0.12</v>
      </c>
      <c r="G24" s="35">
        <f>G22</f>
        <v>0.08</v>
      </c>
      <c r="H24" s="36">
        <f>G24+F24</f>
        <v>0.2</v>
      </c>
      <c r="I24" s="37">
        <f>ROUND((E24*H24),2)</f>
        <v>146278.75</v>
      </c>
      <c r="J24" s="38">
        <f>ROUND((I24+E24)*5%,2)</f>
        <v>43883.62</v>
      </c>
      <c r="K24" s="37">
        <f>J24+I24</f>
        <v>190162.37</v>
      </c>
      <c r="L24" s="37">
        <f>K24+E24</f>
        <v>921556.11</v>
      </c>
      <c r="M24" s="37">
        <f>ROUND(L24/D24,2)</f>
        <v>7958.17</v>
      </c>
      <c r="N24" s="39"/>
      <c r="O24" s="39"/>
      <c r="P24" s="39"/>
      <c r="Q24" s="30"/>
    </row>
    <row r="25" spans="1:17" s="29" customFormat="1" ht="15" customHeight="1" x14ac:dyDescent="0.25">
      <c r="A25" s="31" t="str">
        <f>[77]pow1!A48</f>
        <v>902 (1)a</v>
      </c>
      <c r="B25" s="32" t="str">
        <f>[77]pow1!B48</f>
        <v>REINFORCING STEEL (Deformed Grade 40)</v>
      </c>
      <c r="C25" s="33" t="str">
        <f>[77]pow1!G48</f>
        <v>kgs.</v>
      </c>
      <c r="D25" s="34">
        <f>[77]pow1!F48</f>
        <v>19138.13</v>
      </c>
      <c r="E25" s="37">
        <f>'[77]902 (1)a'!L64</f>
        <v>1629207</v>
      </c>
      <c r="F25" s="35">
        <f>F24</f>
        <v>0.12</v>
      </c>
      <c r="G25" s="35">
        <f>G24</f>
        <v>0.08</v>
      </c>
      <c r="H25" s="36">
        <f>G25+F25</f>
        <v>0.2</v>
      </c>
      <c r="I25" s="37">
        <f>ROUND((E25*H25),2)</f>
        <v>325841.40000000002</v>
      </c>
      <c r="J25" s="38">
        <f>ROUND((I25+E25)*5%,2)</f>
        <v>97752.42</v>
      </c>
      <c r="K25" s="37">
        <f>J25+I25</f>
        <v>423593.82</v>
      </c>
      <c r="L25" s="37">
        <f>K25+E25</f>
        <v>2052800.82</v>
      </c>
      <c r="M25" s="37">
        <f>ROUND(L25/D25,2)</f>
        <v>107.26</v>
      </c>
      <c r="N25" s="39"/>
      <c r="O25" s="39"/>
      <c r="P25" s="39"/>
      <c r="Q25" s="30"/>
    </row>
    <row r="26" spans="1:17" s="29" customFormat="1" ht="15" customHeight="1" x14ac:dyDescent="0.25">
      <c r="A26" s="31" t="str">
        <f>[77]pow1!A49</f>
        <v>903 (1)</v>
      </c>
      <c r="B26" s="32" t="str">
        <f>[77]pow1!B49</f>
        <v>FORMWORKS AND FALSEWORKS</v>
      </c>
      <c r="C26" s="33" t="str">
        <f>[77]pow1!G49</f>
        <v>l.s.</v>
      </c>
      <c r="D26" s="34">
        <f>[77]pow1!F49</f>
        <v>1</v>
      </c>
      <c r="E26" s="37">
        <f>'[77]903(1)'!L40</f>
        <v>300537</v>
      </c>
      <c r="F26" s="35">
        <f>F25</f>
        <v>0.12</v>
      </c>
      <c r="G26" s="35">
        <f>G25</f>
        <v>0.08</v>
      </c>
      <c r="H26" s="36">
        <f>G26+F26</f>
        <v>0.2</v>
      </c>
      <c r="I26" s="37">
        <f>ROUND((E26*H26),2)</f>
        <v>60107.4</v>
      </c>
      <c r="J26" s="38">
        <f>ROUND((I26+E26)*5%,2)</f>
        <v>18032.22</v>
      </c>
      <c r="K26" s="37">
        <f>J26+I26</f>
        <v>78139.62</v>
      </c>
      <c r="L26" s="37">
        <f>K26+E26</f>
        <v>378676.62</v>
      </c>
      <c r="M26" s="37">
        <f>ROUND(L26/D26,2)</f>
        <v>378676.62</v>
      </c>
      <c r="N26" s="39"/>
      <c r="O26" s="39"/>
      <c r="P26" s="39"/>
      <c r="Q26" s="30"/>
    </row>
    <row r="27" spans="1:17" s="29" customFormat="1" ht="15" customHeight="1" x14ac:dyDescent="0.25">
      <c r="A27" s="44" t="str">
        <f>[77]pow1!A50</f>
        <v>PART C</v>
      </c>
      <c r="B27" s="45" t="str">
        <f>[77]pow1!B50</f>
        <v xml:space="preserve"> - FINISHINGS AND OTHER CIVIL WORKS</v>
      </c>
      <c r="C27" s="33"/>
      <c r="D27" s="34"/>
      <c r="E27" s="37"/>
      <c r="F27" s="35"/>
      <c r="G27" s="35"/>
      <c r="H27" s="36"/>
      <c r="I27" s="37"/>
      <c r="J27" s="38"/>
      <c r="K27" s="37"/>
      <c r="L27" s="37"/>
      <c r="M27" s="37"/>
      <c r="N27" s="39"/>
      <c r="O27" s="39"/>
      <c r="P27" s="39"/>
      <c r="Q27" s="30"/>
    </row>
    <row r="28" spans="1:17" s="29" customFormat="1" ht="15" customHeight="1" x14ac:dyDescent="0.25">
      <c r="A28" s="31" t="str">
        <f>[77]pow1!A51</f>
        <v>1001 (6)</v>
      </c>
      <c r="B28" s="32" t="str">
        <f>[77]pow1!B51</f>
        <v>CATCH BASIN</v>
      </c>
      <c r="C28" s="33" t="str">
        <f>[77]pow1!G51</f>
        <v>l.s.</v>
      </c>
      <c r="D28" s="34">
        <f>[77]pow1!F51</f>
        <v>1</v>
      </c>
      <c r="E28" s="37">
        <f>'[77]1001 (6)'!L44</f>
        <v>96878</v>
      </c>
      <c r="F28" s="35">
        <f>F26</f>
        <v>0.12</v>
      </c>
      <c r="G28" s="35">
        <f>G26</f>
        <v>0.08</v>
      </c>
      <c r="H28" s="36">
        <f t="shared" ref="H28:H52" si="0">G28+F28</f>
        <v>0.2</v>
      </c>
      <c r="I28" s="37">
        <f t="shared" ref="I28:I50" si="1">ROUND((E28*H28),2)</f>
        <v>19375.599999999999</v>
      </c>
      <c r="J28" s="38">
        <f t="shared" ref="J28:J52" si="2">ROUND((I28+E28)*5%,2)</f>
        <v>5812.68</v>
      </c>
      <c r="K28" s="37">
        <f t="shared" ref="K28:K52" si="3">J28+I28</f>
        <v>25188.28</v>
      </c>
      <c r="L28" s="37">
        <f t="shared" ref="L28:L52" si="4">K28+E28</f>
        <v>122066.28</v>
      </c>
      <c r="M28" s="37">
        <f t="shared" ref="M28:M52" si="5">ROUND(L28/D28,2)</f>
        <v>122066.28</v>
      </c>
      <c r="N28" s="39"/>
      <c r="O28" s="39"/>
      <c r="P28" s="39"/>
      <c r="Q28" s="30"/>
    </row>
    <row r="29" spans="1:17" s="29" customFormat="1" ht="15" customHeight="1" x14ac:dyDescent="0.25">
      <c r="A29" s="31" t="str">
        <f>[77]pow1!A52</f>
        <v>1001 (8)</v>
      </c>
      <c r="B29" s="32" t="str">
        <f>[77]pow1!B52</f>
        <v>SEWER LINE WORKS</v>
      </c>
      <c r="C29" s="33" t="str">
        <f>[77]pow1!G52</f>
        <v>l.s.</v>
      </c>
      <c r="D29" s="34">
        <f>[77]pow1!F52</f>
        <v>1</v>
      </c>
      <c r="E29" s="37">
        <f>'[77]1001 (8)'!L50</f>
        <v>68306</v>
      </c>
      <c r="F29" s="35">
        <f>F28</f>
        <v>0.12</v>
      </c>
      <c r="G29" s="35">
        <f>G28</f>
        <v>0.08</v>
      </c>
      <c r="H29" s="36">
        <f t="shared" si="0"/>
        <v>0.2</v>
      </c>
      <c r="I29" s="37">
        <f t="shared" si="1"/>
        <v>13661.2</v>
      </c>
      <c r="J29" s="38">
        <f t="shared" si="2"/>
        <v>4098.3599999999997</v>
      </c>
      <c r="K29" s="37">
        <f t="shared" si="3"/>
        <v>17759.560000000001</v>
      </c>
      <c r="L29" s="37">
        <f t="shared" si="4"/>
        <v>86065.56</v>
      </c>
      <c r="M29" s="37">
        <f t="shared" si="5"/>
        <v>86065.56</v>
      </c>
      <c r="N29" s="39"/>
      <c r="O29" s="39"/>
      <c r="P29" s="39"/>
      <c r="Q29" s="30"/>
    </row>
    <row r="30" spans="1:17" s="29" customFormat="1" ht="15" customHeight="1" x14ac:dyDescent="0.25">
      <c r="A30" s="31" t="str">
        <f>[77]pow1!A53</f>
        <v>1001 (9)</v>
      </c>
      <c r="B30" s="32" t="str">
        <f>[77]pow1!B53</f>
        <v>STORM DRAINAGE AND DOWNSPOUT</v>
      </c>
      <c r="C30" s="33" t="str">
        <f>[77]pow1!G53</f>
        <v>l.s.</v>
      </c>
      <c r="D30" s="34">
        <f>[77]pow1!F53</f>
        <v>1</v>
      </c>
      <c r="E30" s="37">
        <f>'[77]1001 (9)'!L47</f>
        <v>104272.5</v>
      </c>
      <c r="F30" s="35">
        <f t="shared" ref="F30:G35" si="6">F29</f>
        <v>0.12</v>
      </c>
      <c r="G30" s="35">
        <f t="shared" si="6"/>
        <v>0.08</v>
      </c>
      <c r="H30" s="36">
        <f t="shared" si="0"/>
        <v>0.2</v>
      </c>
      <c r="I30" s="37">
        <f t="shared" si="1"/>
        <v>20854.5</v>
      </c>
      <c r="J30" s="38">
        <f t="shared" si="2"/>
        <v>6256.35</v>
      </c>
      <c r="K30" s="37">
        <f t="shared" si="3"/>
        <v>27110.85</v>
      </c>
      <c r="L30" s="37">
        <f t="shared" si="4"/>
        <v>131383.35</v>
      </c>
      <c r="M30" s="37">
        <f t="shared" si="5"/>
        <v>131383.35</v>
      </c>
      <c r="N30" s="39"/>
      <c r="O30" s="39"/>
      <c r="P30" s="39"/>
      <c r="Q30" s="30"/>
    </row>
    <row r="31" spans="1:17" s="29" customFormat="1" ht="15" customHeight="1" x14ac:dyDescent="0.25">
      <c r="A31" s="31" t="str">
        <f>[77]pow1!A54</f>
        <v>1001 (11)</v>
      </c>
      <c r="B31" s="32" t="str">
        <f>[77]pow1!B54</f>
        <v>SEPTIC VAULT (CONCRETE/CHB)</v>
      </c>
      <c r="C31" s="33" t="str">
        <f>[77]pow1!G54</f>
        <v>l.s.</v>
      </c>
      <c r="D31" s="34">
        <f>[77]pow1!F54</f>
        <v>1</v>
      </c>
      <c r="E31" s="37">
        <f>'[77]1001 (11)'!L41</f>
        <v>248337</v>
      </c>
      <c r="F31" s="35">
        <f t="shared" si="6"/>
        <v>0.12</v>
      </c>
      <c r="G31" s="35">
        <f t="shared" si="6"/>
        <v>0.08</v>
      </c>
      <c r="H31" s="36">
        <f t="shared" si="0"/>
        <v>0.2</v>
      </c>
      <c r="I31" s="37">
        <f t="shared" si="1"/>
        <v>49667.4</v>
      </c>
      <c r="J31" s="38">
        <f t="shared" si="2"/>
        <v>14900.22</v>
      </c>
      <c r="K31" s="37">
        <f t="shared" si="3"/>
        <v>64567.62</v>
      </c>
      <c r="L31" s="37">
        <f t="shared" si="4"/>
        <v>312904.62</v>
      </c>
      <c r="M31" s="37">
        <f t="shared" si="5"/>
        <v>312904.62</v>
      </c>
      <c r="N31" s="39"/>
      <c r="O31" s="39"/>
      <c r="P31" s="39"/>
      <c r="Q31" s="30"/>
    </row>
    <row r="32" spans="1:17" s="29" customFormat="1" ht="15" customHeight="1" x14ac:dyDescent="0.25">
      <c r="A32" s="31" t="str">
        <f>[77]pow1!A55</f>
        <v>1002 (4)</v>
      </c>
      <c r="B32" s="32" t="str">
        <f>[77]pow1!B55</f>
        <v>PLUMBING FIXTURES</v>
      </c>
      <c r="C32" s="33" t="str">
        <f>[77]pow1!G55</f>
        <v>l.s.</v>
      </c>
      <c r="D32" s="34">
        <f>[77]pow1!F55</f>
        <v>1</v>
      </c>
      <c r="E32" s="37">
        <f>'[77]1002 (4)'!L40</f>
        <v>76556</v>
      </c>
      <c r="F32" s="35">
        <f t="shared" si="6"/>
        <v>0.12</v>
      </c>
      <c r="G32" s="35">
        <f t="shared" si="6"/>
        <v>0.08</v>
      </c>
      <c r="H32" s="36">
        <f t="shared" si="0"/>
        <v>0.2</v>
      </c>
      <c r="I32" s="37">
        <f t="shared" si="1"/>
        <v>15311.2</v>
      </c>
      <c r="J32" s="38">
        <f t="shared" si="2"/>
        <v>4593.3599999999997</v>
      </c>
      <c r="K32" s="37">
        <f t="shared" si="3"/>
        <v>19904.560000000001</v>
      </c>
      <c r="L32" s="37">
        <f t="shared" si="4"/>
        <v>96460.56</v>
      </c>
      <c r="M32" s="37">
        <f t="shared" si="5"/>
        <v>96460.56</v>
      </c>
      <c r="N32" s="39"/>
      <c r="O32" s="39"/>
      <c r="P32" s="39"/>
      <c r="Q32" s="30"/>
    </row>
    <row r="33" spans="1:17" s="29" customFormat="1" ht="15" customHeight="1" x14ac:dyDescent="0.25">
      <c r="A33" s="31" t="str">
        <f>[77]pow1!A56</f>
        <v>1002 (24)</v>
      </c>
      <c r="B33" s="32" t="str">
        <f>[77]pow1!B56</f>
        <v>COLD WATER LINES</v>
      </c>
      <c r="C33" s="33" t="str">
        <f>[77]pow1!G56</f>
        <v>l.s.</v>
      </c>
      <c r="D33" s="34">
        <f>[77]pow1!F56</f>
        <v>1</v>
      </c>
      <c r="E33" s="37">
        <f>'[77]1002 (24)'!L51</f>
        <v>26616.9</v>
      </c>
      <c r="F33" s="35">
        <f t="shared" si="6"/>
        <v>0.12</v>
      </c>
      <c r="G33" s="35">
        <f t="shared" si="6"/>
        <v>0.08</v>
      </c>
      <c r="H33" s="36">
        <f t="shared" si="0"/>
        <v>0.2</v>
      </c>
      <c r="I33" s="37">
        <f t="shared" si="1"/>
        <v>5323.38</v>
      </c>
      <c r="J33" s="38">
        <f t="shared" si="2"/>
        <v>1597.01</v>
      </c>
      <c r="K33" s="37">
        <f t="shared" si="3"/>
        <v>6920.39</v>
      </c>
      <c r="L33" s="37">
        <f t="shared" si="4"/>
        <v>33537.29</v>
      </c>
      <c r="M33" s="37">
        <f t="shared" si="5"/>
        <v>33537.29</v>
      </c>
      <c r="N33" s="39"/>
      <c r="O33" s="39"/>
      <c r="P33" s="39"/>
      <c r="Q33" s="30"/>
    </row>
    <row r="34" spans="1:17" s="29" customFormat="1" ht="15" customHeight="1" x14ac:dyDescent="0.25">
      <c r="A34" s="31" t="str">
        <f>[77]pow1!A57</f>
        <v>1003 (1)h</v>
      </c>
      <c r="B34" s="32" t="str">
        <f>[77]pow1!B57</f>
        <v>CEILING</v>
      </c>
      <c r="C34" s="33" t="str">
        <f>[77]pow1!G57</f>
        <v>l.s.</v>
      </c>
      <c r="D34" s="34">
        <f>[77]pow1!F57</f>
        <v>1</v>
      </c>
      <c r="E34" s="37">
        <f>'[77]1003 (1)h'!L57</f>
        <v>339611.4</v>
      </c>
      <c r="F34" s="35">
        <f t="shared" si="6"/>
        <v>0.12</v>
      </c>
      <c r="G34" s="35">
        <f t="shared" si="6"/>
        <v>0.08</v>
      </c>
      <c r="H34" s="36">
        <f t="shared" si="0"/>
        <v>0.2</v>
      </c>
      <c r="I34" s="37">
        <f t="shared" si="1"/>
        <v>67922.28</v>
      </c>
      <c r="J34" s="38">
        <f t="shared" si="2"/>
        <v>20376.68</v>
      </c>
      <c r="K34" s="37">
        <f t="shared" si="3"/>
        <v>88298.959999999992</v>
      </c>
      <c r="L34" s="37">
        <f t="shared" si="4"/>
        <v>427910.36</v>
      </c>
      <c r="M34" s="37">
        <f t="shared" si="5"/>
        <v>427910.36</v>
      </c>
      <c r="N34" s="39"/>
      <c r="O34" s="39"/>
      <c r="P34" s="39"/>
      <c r="Q34" s="30"/>
    </row>
    <row r="35" spans="1:17" s="29" customFormat="1" ht="15" customHeight="1" x14ac:dyDescent="0.25">
      <c r="A35" s="31" t="str">
        <f>[77]pow1!A59</f>
        <v>1003 (17)</v>
      </c>
      <c r="B35" s="32" t="str">
        <f>[77]pow1!B59</f>
        <v>CARPENTRY AND JOINERY WORKS</v>
      </c>
      <c r="C35" s="33" t="str">
        <f>[77]pow1!G59</f>
        <v>l.s.</v>
      </c>
      <c r="D35" s="34">
        <f>[77]pow1!F59</f>
        <v>1</v>
      </c>
      <c r="E35" s="37">
        <f>'[77]1003 (17)'!L62</f>
        <v>50358.2</v>
      </c>
      <c r="F35" s="35">
        <f t="shared" si="6"/>
        <v>0.12</v>
      </c>
      <c r="G35" s="35">
        <f t="shared" si="6"/>
        <v>0.08</v>
      </c>
      <c r="H35" s="36">
        <f t="shared" si="0"/>
        <v>0.2</v>
      </c>
      <c r="I35" s="37">
        <f t="shared" si="1"/>
        <v>10071.64</v>
      </c>
      <c r="J35" s="38">
        <f t="shared" si="2"/>
        <v>3021.49</v>
      </c>
      <c r="K35" s="37">
        <f t="shared" si="3"/>
        <v>13093.13</v>
      </c>
      <c r="L35" s="37">
        <f t="shared" si="4"/>
        <v>63451.329999999994</v>
      </c>
      <c r="M35" s="37">
        <f t="shared" si="5"/>
        <v>63451.33</v>
      </c>
      <c r="N35" s="39"/>
      <c r="O35" s="39"/>
      <c r="P35" s="39"/>
      <c r="Q35" s="30"/>
    </row>
    <row r="36" spans="1:17" s="29" customFormat="1" ht="15" customHeight="1" x14ac:dyDescent="0.25">
      <c r="A36" s="31" t="str">
        <f>[77]pow1!A63</f>
        <v>1008 (1)c</v>
      </c>
      <c r="B36" s="32" t="str">
        <f>[77]pow1!B63</f>
        <v>ALUMINUM GLASS WINDOWS (AWNING TYPE)</v>
      </c>
      <c r="C36" s="33" t="str">
        <f>[77]pow1!G63</f>
        <v>sq.m.</v>
      </c>
      <c r="D36" s="34">
        <f>[77]pow1!F63</f>
        <v>1.08</v>
      </c>
      <c r="E36" s="37">
        <f>'[77]1008 (1)c'!L30</f>
        <v>5478.7137999999995</v>
      </c>
      <c r="F36" s="35"/>
      <c r="G36" s="35"/>
      <c r="H36" s="36">
        <f t="shared" si="0"/>
        <v>0</v>
      </c>
      <c r="I36" s="37">
        <f t="shared" si="1"/>
        <v>0</v>
      </c>
      <c r="J36" s="38">
        <f t="shared" si="2"/>
        <v>273.94</v>
      </c>
      <c r="K36" s="37">
        <f t="shared" si="3"/>
        <v>273.94</v>
      </c>
      <c r="L36" s="37">
        <f t="shared" si="4"/>
        <v>5752.6537999999991</v>
      </c>
      <c r="M36" s="37">
        <f t="shared" si="5"/>
        <v>5326.53</v>
      </c>
      <c r="N36" s="39"/>
      <c r="O36" s="39"/>
      <c r="P36" s="39"/>
      <c r="Q36" s="30"/>
    </row>
    <row r="37" spans="1:17" s="29" customFormat="1" ht="15" customHeight="1" x14ac:dyDescent="0.25">
      <c r="A37" s="31" t="str">
        <f>[77]pow1!A64</f>
        <v>1008 (1)d</v>
      </c>
      <c r="B37" s="32" t="str">
        <f>[77]pow1!B64</f>
        <v>ALUMINUM GLASS WINDOWS (FIXED TYPE)</v>
      </c>
      <c r="C37" s="33" t="str">
        <f>[77]pow1!G64</f>
        <v>sq.m.</v>
      </c>
      <c r="D37" s="34">
        <f>[77]pow1!F64</f>
        <v>9.33</v>
      </c>
      <c r="E37" s="37">
        <f>'[77]1008 (1)d'!L39</f>
        <v>34812.330799999996</v>
      </c>
      <c r="F37" s="35"/>
      <c r="G37" s="35"/>
      <c r="H37" s="36">
        <f t="shared" si="0"/>
        <v>0</v>
      </c>
      <c r="I37" s="37">
        <f t="shared" si="1"/>
        <v>0</v>
      </c>
      <c r="J37" s="38">
        <f t="shared" si="2"/>
        <v>1740.62</v>
      </c>
      <c r="K37" s="37">
        <f t="shared" si="3"/>
        <v>1740.62</v>
      </c>
      <c r="L37" s="37">
        <f t="shared" si="4"/>
        <v>36552.950799999999</v>
      </c>
      <c r="M37" s="37">
        <f t="shared" si="5"/>
        <v>3917.79</v>
      </c>
      <c r="N37" s="39"/>
      <c r="O37" s="39"/>
      <c r="P37" s="39"/>
      <c r="Q37" s="30"/>
    </row>
    <row r="38" spans="1:17" s="29" customFormat="1" ht="15" customHeight="1" x14ac:dyDescent="0.25">
      <c r="A38" s="31" t="str">
        <f>[77]pow1!A65</f>
        <v>1009 (1)a</v>
      </c>
      <c r="B38" s="32" t="str">
        <f>[77]pow1!B65</f>
        <v>JALOUSIE WINDOWS</v>
      </c>
      <c r="C38" s="33" t="str">
        <f>[77]pow1!G65</f>
        <v>sq.m.</v>
      </c>
      <c r="D38" s="34">
        <f>[77]pow1!F65</f>
        <v>29.13</v>
      </c>
      <c r="E38" s="37">
        <f>'[77]1009 (1)a'!L38</f>
        <v>70560</v>
      </c>
      <c r="F38" s="35"/>
      <c r="G38" s="35"/>
      <c r="H38" s="36">
        <f>G38+F38</f>
        <v>0</v>
      </c>
      <c r="I38" s="37">
        <f>ROUND((E38*H38),2)</f>
        <v>0</v>
      </c>
      <c r="J38" s="38">
        <f>ROUND((I38+E38)*5%,2)</f>
        <v>3528</v>
      </c>
      <c r="K38" s="37">
        <f>J38+I38</f>
        <v>3528</v>
      </c>
      <c r="L38" s="37">
        <f>K38+E38</f>
        <v>74088</v>
      </c>
      <c r="M38" s="37">
        <f>ROUND(L38/D38,2)</f>
        <v>2543.36</v>
      </c>
      <c r="N38" s="39"/>
      <c r="O38" s="39"/>
      <c r="P38" s="39"/>
      <c r="Q38" s="30"/>
    </row>
    <row r="39" spans="1:17" s="29" customFormat="1" ht="15" customHeight="1" x14ac:dyDescent="0.25">
      <c r="A39" s="31" t="str">
        <f>[77]pow1!A66</f>
        <v>1010 (4)</v>
      </c>
      <c r="B39" s="32" t="str">
        <f>[77]pow1!B66</f>
        <v>WOODEN DOORS AND WINDOWS</v>
      </c>
      <c r="C39" s="33" t="str">
        <f>[77]pow1!G66</f>
        <v>l.s.</v>
      </c>
      <c r="D39" s="34">
        <f>[77]pow1!F66</f>
        <v>1</v>
      </c>
      <c r="E39" s="37">
        <f>'[77]1010 (4)'!L52</f>
        <v>188426</v>
      </c>
      <c r="F39" s="35">
        <v>0.12</v>
      </c>
      <c r="G39" s="35">
        <v>0.08</v>
      </c>
      <c r="H39" s="36">
        <f t="shared" si="0"/>
        <v>0.2</v>
      </c>
      <c r="I39" s="37">
        <f t="shared" si="1"/>
        <v>37685.199999999997</v>
      </c>
      <c r="J39" s="38">
        <f t="shared" si="2"/>
        <v>11305.56</v>
      </c>
      <c r="K39" s="37">
        <f t="shared" si="3"/>
        <v>48990.759999999995</v>
      </c>
      <c r="L39" s="37">
        <f t="shared" si="4"/>
        <v>237416.76</v>
      </c>
      <c r="M39" s="37">
        <f t="shared" si="5"/>
        <v>237416.76</v>
      </c>
      <c r="N39" s="39"/>
      <c r="O39" s="39"/>
      <c r="P39" s="39"/>
      <c r="Q39" s="30"/>
    </row>
    <row r="40" spans="1:17" s="46" customFormat="1" ht="15" customHeight="1" x14ac:dyDescent="0.25">
      <c r="A40" s="31" t="str">
        <f>[77]pow1!A68</f>
        <v>1013 (1)</v>
      </c>
      <c r="B40" s="32" t="str">
        <f>[77]pow1!B68</f>
        <v>CORRUGATED METAL ROOFING</v>
      </c>
      <c r="C40" s="33" t="str">
        <f>[77]pow1!G68</f>
        <v>sq.m.</v>
      </c>
      <c r="D40" s="34">
        <f>[77]pow1!F68</f>
        <v>283.5</v>
      </c>
      <c r="E40" s="37">
        <f>'[77]1013 (1)'!L46</f>
        <v>208911.9</v>
      </c>
      <c r="F40" s="35">
        <f>F34</f>
        <v>0.12</v>
      </c>
      <c r="G40" s="35">
        <f>G34</f>
        <v>0.08</v>
      </c>
      <c r="H40" s="36">
        <f>G40+F40</f>
        <v>0.2</v>
      </c>
      <c r="I40" s="37">
        <f>ROUND((E40*H40),2)</f>
        <v>41782.379999999997</v>
      </c>
      <c r="J40" s="38">
        <f>ROUND((I40+E40)*5%,2)</f>
        <v>12534.71</v>
      </c>
      <c r="K40" s="37">
        <f>J40+I40</f>
        <v>54317.09</v>
      </c>
      <c r="L40" s="37">
        <f>K40+E40</f>
        <v>263228.99</v>
      </c>
      <c r="M40" s="37">
        <f>ROUND(L40/D40,2)</f>
        <v>928.5</v>
      </c>
      <c r="N40" s="39"/>
      <c r="O40" s="39"/>
      <c r="P40" s="39"/>
      <c r="Q40" s="30"/>
    </row>
    <row r="41" spans="1:17" s="46" customFormat="1" ht="15" customHeight="1" x14ac:dyDescent="0.25">
      <c r="A41" s="31" t="str">
        <f>[77]pow1!A70</f>
        <v>1016 (1)b</v>
      </c>
      <c r="B41" s="32" t="str">
        <f>[77]pow1!B70</f>
        <v>WATERPROOFING (LIQUID)</v>
      </c>
      <c r="C41" s="33" t="str">
        <f>[77]pow1!G70</f>
        <v>sq.m.</v>
      </c>
      <c r="D41" s="34">
        <f>[77]pow1!F70</f>
        <v>149.05000000000001</v>
      </c>
      <c r="E41" s="37">
        <f>'[77]1016 (1)b'!L52</f>
        <v>153994</v>
      </c>
      <c r="F41" s="35">
        <f>F40</f>
        <v>0.12</v>
      </c>
      <c r="G41" s="35">
        <f>G40</f>
        <v>0.08</v>
      </c>
      <c r="H41" s="36">
        <f>G41+F41</f>
        <v>0.2</v>
      </c>
      <c r="I41" s="37">
        <f>ROUND((E41*H41),2)</f>
        <v>30798.799999999999</v>
      </c>
      <c r="J41" s="38">
        <f>ROUND((I41+E41)*5%,2)</f>
        <v>9239.64</v>
      </c>
      <c r="K41" s="37">
        <f>J41+I41</f>
        <v>40038.44</v>
      </c>
      <c r="L41" s="37">
        <f>K41+E41</f>
        <v>194032.44</v>
      </c>
      <c r="M41" s="37">
        <f>ROUND(L41/D41,2)</f>
        <v>1301.79</v>
      </c>
      <c r="N41" s="39"/>
      <c r="O41" s="39"/>
      <c r="P41" s="39"/>
      <c r="Q41" s="30"/>
    </row>
    <row r="42" spans="1:17" s="46" customFormat="1" ht="15" customHeight="1" x14ac:dyDescent="0.25">
      <c r="A42" s="31" t="str">
        <f>[77]pow1!A71</f>
        <v>1018 (2)</v>
      </c>
      <c r="B42" s="32" t="str">
        <f>[77]pow1!B71</f>
        <v>UNGLAZED TILES</v>
      </c>
      <c r="C42" s="33" t="str">
        <f>[77]pow1!G71</f>
        <v>sq.m.</v>
      </c>
      <c r="D42" s="34">
        <f>[77]pow1!F71</f>
        <v>9.18</v>
      </c>
      <c r="E42" s="37">
        <f>'[77]1018 (2)'!L39</f>
        <v>20941</v>
      </c>
      <c r="F42" s="35">
        <f>F40</f>
        <v>0.12</v>
      </c>
      <c r="G42" s="35">
        <f>G40</f>
        <v>0.08</v>
      </c>
      <c r="H42" s="36">
        <f t="shared" si="0"/>
        <v>0.2</v>
      </c>
      <c r="I42" s="37">
        <f t="shared" si="1"/>
        <v>4188.2</v>
      </c>
      <c r="J42" s="38">
        <f t="shared" si="2"/>
        <v>1256.46</v>
      </c>
      <c r="K42" s="37">
        <f t="shared" si="3"/>
        <v>5444.66</v>
      </c>
      <c r="L42" s="37">
        <f t="shared" si="4"/>
        <v>26385.66</v>
      </c>
      <c r="M42" s="37">
        <f t="shared" si="5"/>
        <v>2874.25</v>
      </c>
      <c r="N42" s="39"/>
      <c r="O42" s="39"/>
      <c r="P42" s="39"/>
      <c r="Q42" s="30"/>
    </row>
    <row r="43" spans="1:17" s="46" customFormat="1" ht="15" customHeight="1" x14ac:dyDescent="0.25">
      <c r="A43" s="31" t="str">
        <f>[77]pow1!A72</f>
        <v>1018 (5)</v>
      </c>
      <c r="B43" s="32" t="str">
        <f>[77]pow1!B72</f>
        <v>GLAZED TILES</v>
      </c>
      <c r="C43" s="33" t="str">
        <f>[77]pow1!G72</f>
        <v>sq.m.</v>
      </c>
      <c r="D43" s="34">
        <f>[77]pow1!F72</f>
        <v>26.33</v>
      </c>
      <c r="E43" s="37">
        <f>'[77]1018 (5)'!L40</f>
        <v>34558.400000000001</v>
      </c>
      <c r="F43" s="35">
        <f t="shared" ref="F43:G52" si="7">F42</f>
        <v>0.12</v>
      </c>
      <c r="G43" s="35">
        <f t="shared" si="7"/>
        <v>0.08</v>
      </c>
      <c r="H43" s="36">
        <f t="shared" si="0"/>
        <v>0.2</v>
      </c>
      <c r="I43" s="37">
        <f t="shared" si="1"/>
        <v>6911.68</v>
      </c>
      <c r="J43" s="38">
        <f t="shared" si="2"/>
        <v>2073.5</v>
      </c>
      <c r="K43" s="37">
        <f t="shared" si="3"/>
        <v>8985.18</v>
      </c>
      <c r="L43" s="37">
        <f t="shared" si="4"/>
        <v>43543.58</v>
      </c>
      <c r="M43" s="37">
        <f t="shared" si="5"/>
        <v>1653.76</v>
      </c>
      <c r="N43" s="39"/>
      <c r="O43" s="39"/>
      <c r="P43" s="39"/>
      <c r="Q43" s="30"/>
    </row>
    <row r="44" spans="1:17" s="46" customFormat="1" ht="15" customHeight="1" x14ac:dyDescent="0.25">
      <c r="A44" s="31" t="str">
        <f>[77]pow1!A73</f>
        <v>1027 (1)</v>
      </c>
      <c r="B44" s="32" t="str">
        <f>[77]pow1!B73</f>
        <v>CEMENT PLASTER FINISH</v>
      </c>
      <c r="C44" s="33" t="str">
        <f>[77]pow1!G73</f>
        <v>sq.m.</v>
      </c>
      <c r="D44" s="34">
        <f>[77]pow1!F73</f>
        <v>616.9799999999999</v>
      </c>
      <c r="E44" s="37">
        <f>'[77]1027 (1)'!L40</f>
        <v>105708</v>
      </c>
      <c r="F44" s="35">
        <f t="shared" si="7"/>
        <v>0.12</v>
      </c>
      <c r="G44" s="35">
        <f t="shared" si="7"/>
        <v>0.08</v>
      </c>
      <c r="H44" s="36">
        <f t="shared" si="0"/>
        <v>0.2</v>
      </c>
      <c r="I44" s="37">
        <f t="shared" si="1"/>
        <v>21141.599999999999</v>
      </c>
      <c r="J44" s="38">
        <f t="shared" si="2"/>
        <v>6342.48</v>
      </c>
      <c r="K44" s="37">
        <f t="shared" si="3"/>
        <v>27484.079999999998</v>
      </c>
      <c r="L44" s="37">
        <f t="shared" si="4"/>
        <v>133192.07999999999</v>
      </c>
      <c r="M44" s="37">
        <f t="shared" si="5"/>
        <v>215.88</v>
      </c>
      <c r="N44" s="39"/>
      <c r="O44" s="39"/>
      <c r="P44" s="39"/>
      <c r="Q44" s="30"/>
    </row>
    <row r="45" spans="1:17" s="46" customFormat="1" ht="15" customHeight="1" x14ac:dyDescent="0.25">
      <c r="A45" s="31" t="str">
        <f>[77]pow1!A74</f>
        <v>1032 (1)a</v>
      </c>
      <c r="B45" s="32" t="str">
        <f>[77]pow1!B74</f>
        <v>PAINTING WORKS (MASONRY/CONCRETE)</v>
      </c>
      <c r="C45" s="33" t="str">
        <f>[77]pow1!G74</f>
        <v>sq.m.</v>
      </c>
      <c r="D45" s="34">
        <f>[77]pow1!F74</f>
        <v>863.37</v>
      </c>
      <c r="E45" s="37">
        <f>'[77]1032 (1)a'!L62</f>
        <v>248907.33</v>
      </c>
      <c r="F45" s="35">
        <f t="shared" si="7"/>
        <v>0.12</v>
      </c>
      <c r="G45" s="35">
        <f t="shared" si="7"/>
        <v>0.08</v>
      </c>
      <c r="H45" s="36">
        <f t="shared" si="0"/>
        <v>0.2</v>
      </c>
      <c r="I45" s="37">
        <f t="shared" si="1"/>
        <v>49781.47</v>
      </c>
      <c r="J45" s="38">
        <f t="shared" si="2"/>
        <v>14934.44</v>
      </c>
      <c r="K45" s="37">
        <f t="shared" si="3"/>
        <v>64715.91</v>
      </c>
      <c r="L45" s="37">
        <f t="shared" si="4"/>
        <v>313623.24</v>
      </c>
      <c r="M45" s="37">
        <f t="shared" si="5"/>
        <v>363.25</v>
      </c>
      <c r="N45" s="39"/>
      <c r="O45" s="39"/>
      <c r="P45" s="39"/>
      <c r="Q45" s="30"/>
    </row>
    <row r="46" spans="1:17" s="46" customFormat="1" ht="15" customHeight="1" x14ac:dyDescent="0.25">
      <c r="A46" s="31" t="str">
        <f>[77]pow1!A75</f>
        <v>1032 (1)b</v>
      </c>
      <c r="B46" s="32" t="str">
        <f>[77]pow1!B75</f>
        <v>PAINTING WORKS (WOOD)</v>
      </c>
      <c r="C46" s="33" t="str">
        <f>[77]pow1!G75</f>
        <v>sq.m.</v>
      </c>
      <c r="D46" s="34">
        <f>[77]pow1!F75</f>
        <v>58.12</v>
      </c>
      <c r="E46" s="37">
        <f>'[77]1032 (1)b'!L48</f>
        <v>27480.11</v>
      </c>
      <c r="F46" s="35">
        <f t="shared" si="7"/>
        <v>0.12</v>
      </c>
      <c r="G46" s="35">
        <f t="shared" si="7"/>
        <v>0.08</v>
      </c>
      <c r="H46" s="36">
        <f t="shared" si="0"/>
        <v>0.2</v>
      </c>
      <c r="I46" s="37">
        <f t="shared" si="1"/>
        <v>5496.02</v>
      </c>
      <c r="J46" s="38">
        <f t="shared" si="2"/>
        <v>1648.81</v>
      </c>
      <c r="K46" s="37">
        <f t="shared" si="3"/>
        <v>7144.83</v>
      </c>
      <c r="L46" s="37">
        <f t="shared" si="4"/>
        <v>34624.94</v>
      </c>
      <c r="M46" s="37">
        <f t="shared" si="5"/>
        <v>595.75</v>
      </c>
      <c r="N46" s="39"/>
      <c r="O46" s="39"/>
      <c r="P46" s="39"/>
      <c r="Q46" s="30"/>
    </row>
    <row r="47" spans="1:17" s="46" customFormat="1" ht="15" customHeight="1" x14ac:dyDescent="0.25">
      <c r="A47" s="31" t="str">
        <f>[77]pow1!A76</f>
        <v>1032 (1)c</v>
      </c>
      <c r="B47" s="32" t="str">
        <f>[77]pow1!B76</f>
        <v>PAINTING WORKS (STEEL)</v>
      </c>
      <c r="C47" s="33" t="str">
        <f>[77]pow1!G76</f>
        <v>sq.m.</v>
      </c>
      <c r="D47" s="34">
        <f>[77]pow1!F76</f>
        <v>538.21999999999991</v>
      </c>
      <c r="E47" s="37">
        <f>'[77]1032 (1)c'!L45</f>
        <v>41498</v>
      </c>
      <c r="F47" s="35">
        <f t="shared" si="7"/>
        <v>0.12</v>
      </c>
      <c r="G47" s="35">
        <f t="shared" si="7"/>
        <v>0.08</v>
      </c>
      <c r="H47" s="36">
        <f t="shared" si="0"/>
        <v>0.2</v>
      </c>
      <c r="I47" s="37">
        <f t="shared" si="1"/>
        <v>8299.6</v>
      </c>
      <c r="J47" s="38">
        <f t="shared" si="2"/>
        <v>2489.88</v>
      </c>
      <c r="K47" s="37">
        <f t="shared" si="3"/>
        <v>10789.48</v>
      </c>
      <c r="L47" s="37">
        <f t="shared" si="4"/>
        <v>52287.479999999996</v>
      </c>
      <c r="M47" s="37">
        <f t="shared" si="5"/>
        <v>97.15</v>
      </c>
      <c r="N47" s="39"/>
      <c r="O47" s="39"/>
      <c r="P47" s="39"/>
      <c r="Q47" s="30"/>
    </row>
    <row r="48" spans="1:17" s="46" customFormat="1" ht="15" customHeight="1" x14ac:dyDescent="0.25">
      <c r="A48" s="31" t="str">
        <f>[77]pow1!A80</f>
        <v>1046 (2)a1</v>
      </c>
      <c r="B48" s="32" t="str">
        <f>[77]pow1!B80</f>
        <v>CHB NON LOAD BEARING (including Reinforcing Steel) 100mm thk.</v>
      </c>
      <c r="C48" s="33" t="str">
        <f>[77]pow1!G80</f>
        <v>sq.m.</v>
      </c>
      <c r="D48" s="34">
        <f>[77]pow1!F80</f>
        <v>70.290000000000006</v>
      </c>
      <c r="E48" s="37">
        <f>'[77]1046 (2)a1'!L38</f>
        <v>58527</v>
      </c>
      <c r="F48" s="35">
        <f>F47</f>
        <v>0.12</v>
      </c>
      <c r="G48" s="35">
        <f>G47</f>
        <v>0.08</v>
      </c>
      <c r="H48" s="36">
        <f t="shared" si="0"/>
        <v>0.2</v>
      </c>
      <c r="I48" s="37">
        <f t="shared" si="1"/>
        <v>11705.4</v>
      </c>
      <c r="J48" s="38">
        <f t="shared" si="2"/>
        <v>3511.62</v>
      </c>
      <c r="K48" s="37">
        <f t="shared" si="3"/>
        <v>15217.02</v>
      </c>
      <c r="L48" s="37">
        <f t="shared" si="4"/>
        <v>73744.02</v>
      </c>
      <c r="M48" s="37">
        <f t="shared" si="5"/>
        <v>1049.1400000000001</v>
      </c>
      <c r="N48" s="39"/>
      <c r="O48" s="39"/>
      <c r="P48" s="39"/>
      <c r="Q48" s="30"/>
    </row>
    <row r="49" spans="1:17" s="46" customFormat="1" ht="15" customHeight="1" x14ac:dyDescent="0.25">
      <c r="A49" s="31" t="str">
        <f>[77]pow1!A81</f>
        <v>1046 (2)a2</v>
      </c>
      <c r="B49" s="32" t="str">
        <f>[77]pow1!B81</f>
        <v>CHB NON LOAD BEARING (including Reinforcing Steel) 150mm thk.</v>
      </c>
      <c r="C49" s="33" t="str">
        <f>[77]pow1!G81</f>
        <v>sq.m.</v>
      </c>
      <c r="D49" s="34">
        <f>[77]pow1!F81</f>
        <v>404.91</v>
      </c>
      <c r="E49" s="37">
        <f>'[77]1046 (2)a2'!L38</f>
        <v>455761</v>
      </c>
      <c r="F49" s="35">
        <f>F48</f>
        <v>0.12</v>
      </c>
      <c r="G49" s="35">
        <f>G48</f>
        <v>0.08</v>
      </c>
      <c r="H49" s="36">
        <f t="shared" si="0"/>
        <v>0.2</v>
      </c>
      <c r="I49" s="37">
        <f t="shared" si="1"/>
        <v>91152.2</v>
      </c>
      <c r="J49" s="38">
        <f t="shared" si="2"/>
        <v>27345.66</v>
      </c>
      <c r="K49" s="37">
        <f t="shared" si="3"/>
        <v>118497.86</v>
      </c>
      <c r="L49" s="37">
        <f t="shared" si="4"/>
        <v>574258.86</v>
      </c>
      <c r="M49" s="37">
        <f t="shared" si="5"/>
        <v>1418.24</v>
      </c>
      <c r="N49" s="39"/>
      <c r="O49" s="39"/>
      <c r="P49" s="39"/>
      <c r="Q49" s="30"/>
    </row>
    <row r="50" spans="1:17" s="46" customFormat="1" ht="15" customHeight="1" x14ac:dyDescent="0.25">
      <c r="A50" s="31" t="str">
        <f>[77]pow1!A82</f>
        <v>1047 (1)</v>
      </c>
      <c r="B50" s="32" t="str">
        <f>[77]pow1!B82</f>
        <v>STRUCTURAL STEEL</v>
      </c>
      <c r="C50" s="33" t="str">
        <f>[77]pow1!G82</f>
        <v>l.s.</v>
      </c>
      <c r="D50" s="34">
        <f>[77]pow1!F82</f>
        <v>1</v>
      </c>
      <c r="E50" s="37">
        <f>'[77]1047 (1)'!L49</f>
        <v>601734</v>
      </c>
      <c r="F50" s="35">
        <f>F48</f>
        <v>0.12</v>
      </c>
      <c r="G50" s="35">
        <f>G48</f>
        <v>0.08</v>
      </c>
      <c r="H50" s="36">
        <f t="shared" si="0"/>
        <v>0.2</v>
      </c>
      <c r="I50" s="37">
        <f t="shared" si="1"/>
        <v>120346.8</v>
      </c>
      <c r="J50" s="38">
        <f t="shared" si="2"/>
        <v>36104.04</v>
      </c>
      <c r="K50" s="37">
        <f t="shared" si="3"/>
        <v>156450.84</v>
      </c>
      <c r="L50" s="37">
        <f t="shared" si="4"/>
        <v>758184.84</v>
      </c>
      <c r="M50" s="37">
        <f t="shared" si="5"/>
        <v>758184.84</v>
      </c>
      <c r="N50" s="39"/>
      <c r="O50" s="39"/>
      <c r="P50" s="39"/>
      <c r="Q50" s="30"/>
    </row>
    <row r="51" spans="1:17" s="46" customFormat="1" ht="15" customHeight="1" x14ac:dyDescent="0.25">
      <c r="A51" s="31" t="str">
        <f>[77]pow1!A83</f>
        <v>1047 (10)</v>
      </c>
      <c r="B51" s="32" t="str">
        <f>[77]pow1!B83</f>
        <v>METAL STRUCTURE ACCESSORIES</v>
      </c>
      <c r="C51" s="33" t="str">
        <f>[77]pow1!G83</f>
        <v>l.s.</v>
      </c>
      <c r="D51" s="34">
        <f>[77]pow1!F83</f>
        <v>1</v>
      </c>
      <c r="E51" s="37">
        <f>'[77]1047 (10)'!L67</f>
        <v>208693.42</v>
      </c>
      <c r="F51" s="35">
        <f t="shared" si="7"/>
        <v>0.12</v>
      </c>
      <c r="G51" s="35">
        <f t="shared" si="7"/>
        <v>0.08</v>
      </c>
      <c r="H51" s="36">
        <f t="shared" si="0"/>
        <v>0.2</v>
      </c>
      <c r="I51" s="37">
        <f>ROUND((E51*H51),2)</f>
        <v>41738.68</v>
      </c>
      <c r="J51" s="38">
        <f t="shared" si="2"/>
        <v>12521.61</v>
      </c>
      <c r="K51" s="37">
        <f t="shared" si="3"/>
        <v>54260.29</v>
      </c>
      <c r="L51" s="37">
        <f t="shared" si="4"/>
        <v>262953.71000000002</v>
      </c>
      <c r="M51" s="37">
        <f t="shared" si="5"/>
        <v>262953.71000000002</v>
      </c>
      <c r="N51" s="39"/>
      <c r="O51" s="39"/>
      <c r="P51" s="39"/>
      <c r="Q51" s="30"/>
    </row>
    <row r="52" spans="1:17" s="46" customFormat="1" ht="15" customHeight="1" x14ac:dyDescent="0.25">
      <c r="A52" s="31" t="str">
        <f>[77]pow1!A84</f>
        <v>1051 (6)</v>
      </c>
      <c r="B52" s="32" t="str">
        <f>[77]pow1!B84</f>
        <v>RAILINGS</v>
      </c>
      <c r="C52" s="33" t="str">
        <f>[77]pow1!G84</f>
        <v>l.s.</v>
      </c>
      <c r="D52" s="34">
        <f>[77]pow1!F84</f>
        <v>1</v>
      </c>
      <c r="E52" s="37">
        <f>'[77]1051 (6)'!L37</f>
        <v>76395.66</v>
      </c>
      <c r="F52" s="35">
        <f t="shared" si="7"/>
        <v>0.12</v>
      </c>
      <c r="G52" s="35">
        <f t="shared" si="7"/>
        <v>0.08</v>
      </c>
      <c r="H52" s="36">
        <f t="shared" si="0"/>
        <v>0.2</v>
      </c>
      <c r="I52" s="37">
        <f>ROUND((E52*H52),2)</f>
        <v>15279.13</v>
      </c>
      <c r="J52" s="38">
        <f t="shared" si="2"/>
        <v>4583.74</v>
      </c>
      <c r="K52" s="37">
        <f t="shared" si="3"/>
        <v>19862.87</v>
      </c>
      <c r="L52" s="37">
        <f t="shared" si="4"/>
        <v>96258.53</v>
      </c>
      <c r="M52" s="37">
        <f t="shared" si="5"/>
        <v>96258.53</v>
      </c>
      <c r="N52" s="39"/>
      <c r="O52" s="39"/>
      <c r="P52" s="39"/>
      <c r="Q52" s="30"/>
    </row>
    <row r="53" spans="1:17" s="46" customFormat="1" ht="15" customHeight="1" x14ac:dyDescent="0.25">
      <c r="A53" s="44" t="str">
        <f>[77]pow1!A85</f>
        <v>PART D</v>
      </c>
      <c r="B53" s="45" t="str">
        <f>[77]pow1!B85</f>
        <v xml:space="preserve"> - ELECTRICAL</v>
      </c>
      <c r="C53" s="33"/>
      <c r="D53" s="34"/>
      <c r="F53" s="35"/>
      <c r="G53" s="35"/>
      <c r="H53" s="36"/>
      <c r="I53" s="37"/>
      <c r="J53" s="38"/>
      <c r="K53" s="37"/>
      <c r="L53" s="37"/>
      <c r="M53" s="37"/>
      <c r="N53" s="39"/>
      <c r="O53" s="39"/>
      <c r="Q53" s="30"/>
    </row>
    <row r="54" spans="1:17" s="46" customFormat="1" ht="15" customHeight="1" x14ac:dyDescent="0.25">
      <c r="A54" s="31" t="str">
        <f>[77]pow1!A86</f>
        <v>1100 (10)</v>
      </c>
      <c r="B54" s="32" t="str">
        <f>[77]pow1!B86</f>
        <v>CONDUITS, BOXES &amp; FITTINGS (Conduit Works/Conduit Rough-in)</v>
      </c>
      <c r="C54" s="33" t="str">
        <f>[77]pow1!G86</f>
        <v>l.s.</v>
      </c>
      <c r="D54" s="34">
        <f>[77]pow1!F86</f>
        <v>1</v>
      </c>
      <c r="E54" s="37">
        <f>'[77]1100 (10)'!L61</f>
        <v>21442.799999999999</v>
      </c>
      <c r="F54" s="35">
        <f>F52</f>
        <v>0.12</v>
      </c>
      <c r="G54" s="35">
        <f>G52</f>
        <v>0.08</v>
      </c>
      <c r="H54" s="36">
        <f t="shared" ref="H54:H60" si="8">G54+F54</f>
        <v>0.2</v>
      </c>
      <c r="I54" s="37">
        <f>ROUND((E54*H54),2)</f>
        <v>4288.5600000000004</v>
      </c>
      <c r="J54" s="38">
        <f>ROUND((I54+E54)*5%,2)</f>
        <v>1286.57</v>
      </c>
      <c r="K54" s="37">
        <f>J54+I54</f>
        <v>5575.13</v>
      </c>
      <c r="L54" s="37">
        <f>K54+E54</f>
        <v>27017.93</v>
      </c>
      <c r="M54" s="37">
        <f>ROUND(L54/D54,2)</f>
        <v>27017.93</v>
      </c>
      <c r="N54" s="39"/>
      <c r="O54" s="39"/>
      <c r="P54" s="39"/>
      <c r="Q54" s="30"/>
    </row>
    <row r="55" spans="1:17" s="46" customFormat="1" ht="15" customHeight="1" x14ac:dyDescent="0.25">
      <c r="A55" s="31" t="str">
        <f>[77]pow1!A87</f>
        <v>1101 (33)</v>
      </c>
      <c r="B55" s="32" t="str">
        <f>[77]pow1!B87</f>
        <v>WIRES AND WIRING DEVICES</v>
      </c>
      <c r="C55" s="33" t="str">
        <f>[77]pow1!G87</f>
        <v>l.s.</v>
      </c>
      <c r="D55" s="34">
        <f>[77]pow1!F87</f>
        <v>1</v>
      </c>
      <c r="E55" s="37">
        <f>'[77]1101 (33)'!L54</f>
        <v>101945</v>
      </c>
      <c r="F55" s="35">
        <f t="shared" ref="F55:G57" si="9">F54</f>
        <v>0.12</v>
      </c>
      <c r="G55" s="35">
        <f t="shared" si="9"/>
        <v>0.08</v>
      </c>
      <c r="H55" s="36">
        <f t="shared" si="8"/>
        <v>0.2</v>
      </c>
      <c r="I55" s="37">
        <f>ROUND((E55*H55),2)</f>
        <v>20389</v>
      </c>
      <c r="J55" s="38">
        <f>ROUND((I55+E55)*5%,2)</f>
        <v>6116.7</v>
      </c>
      <c r="K55" s="37">
        <f>J55+I55</f>
        <v>26505.7</v>
      </c>
      <c r="L55" s="37">
        <f>K55+E55</f>
        <v>128450.7</v>
      </c>
      <c r="M55" s="37">
        <f>ROUND(L55/D55,2)</f>
        <v>128450.7</v>
      </c>
      <c r="N55" s="39"/>
      <c r="O55" s="39"/>
      <c r="P55" s="39"/>
      <c r="Q55" s="30"/>
    </row>
    <row r="56" spans="1:17" s="46" customFormat="1" ht="28.5" customHeight="1" x14ac:dyDescent="0.25">
      <c r="A56" s="31" t="str">
        <f>[77]pow1!A88</f>
        <v>1102 (1)</v>
      </c>
      <c r="B56" s="47" t="s">
        <v>32</v>
      </c>
      <c r="C56" s="33" t="str">
        <f>[77]pow1!G88</f>
        <v>l.s.</v>
      </c>
      <c r="D56" s="34">
        <f>[77]pow1!F88</f>
        <v>1</v>
      </c>
      <c r="E56" s="37">
        <f>'[77]1102 (1) '!L47</f>
        <v>13849</v>
      </c>
      <c r="F56" s="35">
        <f t="shared" si="9"/>
        <v>0.12</v>
      </c>
      <c r="G56" s="35">
        <f t="shared" si="9"/>
        <v>0.08</v>
      </c>
      <c r="H56" s="36">
        <f>G56+F56</f>
        <v>0.2</v>
      </c>
      <c r="I56" s="37">
        <f>ROUND((E56*H56),2)</f>
        <v>2769.8</v>
      </c>
      <c r="J56" s="38">
        <f>ROUND((I56+E56)*5%,2)</f>
        <v>830.94</v>
      </c>
      <c r="K56" s="37">
        <f>J56+I56</f>
        <v>3600.7400000000002</v>
      </c>
      <c r="L56" s="37">
        <f>K56+E56</f>
        <v>17449.740000000002</v>
      </c>
      <c r="M56" s="37">
        <f>ROUND(L56/D56,2)</f>
        <v>17449.740000000002</v>
      </c>
      <c r="N56" s="39"/>
      <c r="O56" s="39"/>
      <c r="P56" s="39"/>
      <c r="Q56" s="30"/>
    </row>
    <row r="57" spans="1:17" s="46" customFormat="1" ht="15" customHeight="1" x14ac:dyDescent="0.25">
      <c r="A57" s="31" t="str">
        <f>[77]pow1!A91</f>
        <v>1103 (1)</v>
      </c>
      <c r="B57" s="32" t="str">
        <f>[77]pow1!B91</f>
        <v>LIGHTING FIXTURES AND LAMPS</v>
      </c>
      <c r="C57" s="33" t="str">
        <f>[77]pow1!G91</f>
        <v>l.s.</v>
      </c>
      <c r="D57" s="34">
        <f>[77]pow1!F91</f>
        <v>1</v>
      </c>
      <c r="E57" s="37">
        <f>'[77]1103 (1)'!L42</f>
        <v>61008</v>
      </c>
      <c r="F57" s="35">
        <f t="shared" si="9"/>
        <v>0.12</v>
      </c>
      <c r="G57" s="35">
        <f t="shared" si="9"/>
        <v>0.08</v>
      </c>
      <c r="H57" s="36">
        <f t="shared" si="8"/>
        <v>0.2</v>
      </c>
      <c r="I57" s="37">
        <f>ROUND((E57*H57),2)</f>
        <v>12201.6</v>
      </c>
      <c r="J57" s="38">
        <f>ROUND((I57+E57)*5%,2)</f>
        <v>3660.48</v>
      </c>
      <c r="K57" s="37">
        <f>J57+I57</f>
        <v>15862.08</v>
      </c>
      <c r="L57" s="37">
        <f>K57+E57</f>
        <v>76870.080000000002</v>
      </c>
      <c r="M57" s="37">
        <f>ROUND(L57/D57,2)</f>
        <v>76870.080000000002</v>
      </c>
      <c r="N57" s="39"/>
      <c r="O57" s="39"/>
      <c r="P57" s="39"/>
      <c r="Q57" s="30"/>
    </row>
    <row r="58" spans="1:17" s="46" customFormat="1" ht="15" customHeight="1" x14ac:dyDescent="0.25">
      <c r="A58" s="44" t="str">
        <f>[77]pow1!A92</f>
        <v>PART E</v>
      </c>
      <c r="B58" s="45" t="str">
        <f>[77]pow1!B92</f>
        <v xml:space="preserve"> - MECHANICAL</v>
      </c>
      <c r="C58" s="33"/>
      <c r="D58" s="34"/>
      <c r="E58" s="37"/>
      <c r="F58" s="35"/>
      <c r="G58" s="35"/>
      <c r="H58" s="36"/>
      <c r="I58" s="37"/>
      <c r="J58" s="38"/>
      <c r="K58" s="37"/>
      <c r="L58" s="37"/>
      <c r="M58" s="37"/>
      <c r="N58" s="39"/>
      <c r="O58" s="39"/>
      <c r="P58" s="39"/>
      <c r="Q58" s="30"/>
    </row>
    <row r="59" spans="1:17" s="46" customFormat="1" ht="15" customHeight="1" x14ac:dyDescent="0.25">
      <c r="A59" s="31" t="str">
        <f>[77]pow1!A93</f>
        <v>1200 (2)c</v>
      </c>
      <c r="B59" s="32" t="str">
        <f>[77]pow1!B93</f>
        <v>VENTILATION</v>
      </c>
      <c r="C59" s="33" t="str">
        <f>[77]pow1!G93</f>
        <v>set</v>
      </c>
      <c r="D59" s="34">
        <f>[77]pow1!F93</f>
        <v>1</v>
      </c>
      <c r="E59" s="37">
        <f>'[77]1200 (2)c'!L35</f>
        <v>102728</v>
      </c>
      <c r="F59" s="35">
        <f>F54</f>
        <v>0.12</v>
      </c>
      <c r="G59" s="35">
        <f>G54</f>
        <v>0.08</v>
      </c>
      <c r="H59" s="36">
        <f>G59+F59</f>
        <v>0.2</v>
      </c>
      <c r="I59" s="37">
        <f>ROUND((E59*H59),2)</f>
        <v>20545.599999999999</v>
      </c>
      <c r="J59" s="38">
        <f>ROUND((I59+E59)*5%,2)</f>
        <v>6163.68</v>
      </c>
      <c r="K59" s="37">
        <f>J59+I59</f>
        <v>26709.279999999999</v>
      </c>
      <c r="L59" s="37">
        <f>K59+E59</f>
        <v>129437.28</v>
      </c>
      <c r="M59" s="37">
        <f>ROUND(L59/D59,2)</f>
        <v>129437.28</v>
      </c>
      <c r="N59" s="39"/>
      <c r="O59" s="39"/>
      <c r="P59" s="39"/>
      <c r="Q59" s="30"/>
    </row>
    <row r="60" spans="1:17" s="46" customFormat="1" ht="15" customHeight="1" x14ac:dyDescent="0.25">
      <c r="A60" s="31" t="str">
        <f>[77]pow1!A96</f>
        <v>1202 (6)a3</v>
      </c>
      <c r="B60" s="32" t="str">
        <f>[77]pow1!B96</f>
        <v>FIRE EXTINGUISHER</v>
      </c>
      <c r="C60" s="33" t="str">
        <f>[77]pow1!G96</f>
        <v>set</v>
      </c>
      <c r="D60" s="34">
        <f>[77]pow1!F96</f>
        <v>1</v>
      </c>
      <c r="E60" s="37">
        <f>'[77]1202 (6)a3'!L34</f>
        <v>11657</v>
      </c>
      <c r="F60" s="35">
        <f>F57</f>
        <v>0.12</v>
      </c>
      <c r="G60" s="35">
        <f>G57</f>
        <v>0.08</v>
      </c>
      <c r="H60" s="36">
        <f t="shared" si="8"/>
        <v>0.2</v>
      </c>
      <c r="I60" s="37">
        <f>ROUND((E60*H60),2)</f>
        <v>2331.4</v>
      </c>
      <c r="J60" s="38">
        <f>ROUND((I60+E60)*5%,2)</f>
        <v>699.42</v>
      </c>
      <c r="K60" s="37">
        <f>J60+I60</f>
        <v>3030.82</v>
      </c>
      <c r="L60" s="37">
        <f>K60+E60</f>
        <v>14687.82</v>
      </c>
      <c r="M60" s="37">
        <f>ROUND(L60/D60,2)</f>
        <v>14687.82</v>
      </c>
      <c r="N60" s="39"/>
      <c r="O60" s="39"/>
      <c r="P60" s="39"/>
      <c r="Q60" s="30"/>
    </row>
    <row r="61" spans="1:17" s="46" customFormat="1" ht="15" customHeight="1" x14ac:dyDescent="0.25">
      <c r="A61" s="31" t="str">
        <f>[77]pow1!A101</f>
        <v>SPL-1</v>
      </c>
      <c r="B61" s="32" t="str">
        <f>[77]pow1!B101</f>
        <v>TABLES AND CHAIRS</v>
      </c>
      <c r="C61" s="33" t="str">
        <f>[77]pow1!G101</f>
        <v>l.s.</v>
      </c>
      <c r="D61" s="34">
        <f>[77]pow1!F101</f>
        <v>1</v>
      </c>
      <c r="E61" s="37">
        <f>'[77]SPL-1'!L38</f>
        <v>487888</v>
      </c>
      <c r="F61" s="35">
        <f>F60</f>
        <v>0.12</v>
      </c>
      <c r="G61" s="35">
        <f>G60</f>
        <v>0.08</v>
      </c>
      <c r="H61" s="36">
        <f>G61+F61</f>
        <v>0.2</v>
      </c>
      <c r="I61" s="37">
        <f>ROUND((E61*H61),2)</f>
        <v>97577.600000000006</v>
      </c>
      <c r="J61" s="38">
        <f>ROUND((I61+E61)*5%,2)</f>
        <v>29273.279999999999</v>
      </c>
      <c r="K61" s="37">
        <f>J61+I61</f>
        <v>126850.88</v>
      </c>
      <c r="L61" s="37">
        <f>K61+E61</f>
        <v>614738.88</v>
      </c>
      <c r="M61" s="37">
        <f>ROUND(L61/D61,2)</f>
        <v>614738.88</v>
      </c>
      <c r="N61" s="39"/>
      <c r="O61" s="39"/>
      <c r="P61" s="39"/>
      <c r="Q61" s="30"/>
    </row>
    <row r="62" spans="1:17" s="46" customFormat="1" ht="15" customHeight="1" x14ac:dyDescent="0.25">
      <c r="A62" s="31"/>
      <c r="B62" s="48"/>
      <c r="C62" s="49"/>
      <c r="D62" s="50"/>
      <c r="E62" s="51"/>
      <c r="F62" s="52"/>
      <c r="G62" s="52"/>
      <c r="H62" s="53"/>
      <c r="I62" s="51"/>
      <c r="J62" s="54"/>
      <c r="K62" s="51"/>
      <c r="L62" s="51"/>
      <c r="M62" s="51"/>
      <c r="N62" s="39"/>
      <c r="O62" s="39"/>
      <c r="P62" s="39"/>
      <c r="Q62" s="30"/>
    </row>
    <row r="63" spans="1:17" s="46" customFormat="1" ht="15" customHeight="1" x14ac:dyDescent="0.25">
      <c r="A63" s="31"/>
      <c r="B63" s="48"/>
      <c r="C63" s="49"/>
      <c r="D63" s="50"/>
      <c r="E63" s="51"/>
      <c r="F63" s="52"/>
      <c r="G63" s="52"/>
      <c r="H63" s="53"/>
      <c r="I63" s="51"/>
      <c r="J63" s="54"/>
      <c r="K63" s="51"/>
      <c r="L63" s="51"/>
      <c r="M63" s="51"/>
      <c r="N63" s="39"/>
      <c r="O63" s="39"/>
      <c r="P63" s="39"/>
      <c r="Q63" s="30"/>
    </row>
    <row r="64" spans="1:17" s="46" customFormat="1" ht="15" customHeight="1" x14ac:dyDescent="0.25">
      <c r="A64" s="31"/>
      <c r="B64" s="48"/>
      <c r="C64" s="49"/>
      <c r="D64" s="50"/>
      <c r="E64" s="51"/>
      <c r="F64" s="52"/>
      <c r="G64" s="52"/>
      <c r="H64" s="53"/>
      <c r="I64" s="51"/>
      <c r="J64" s="54"/>
      <c r="K64" s="51"/>
      <c r="L64" s="51"/>
      <c r="M64" s="51"/>
      <c r="N64" s="39"/>
      <c r="O64" s="39"/>
      <c r="P64" s="39"/>
      <c r="Q64" s="30"/>
    </row>
    <row r="65" spans="1:18" s="46" customFormat="1" ht="15" customHeight="1" x14ac:dyDescent="0.25">
      <c r="A65" s="31"/>
      <c r="B65" s="48"/>
      <c r="C65" s="49"/>
      <c r="D65" s="50"/>
      <c r="E65" s="51"/>
      <c r="F65" s="52"/>
      <c r="G65" s="52"/>
      <c r="H65" s="53"/>
      <c r="I65" s="51"/>
      <c r="J65" s="54"/>
      <c r="K65" s="51"/>
      <c r="L65" s="51"/>
      <c r="M65" s="51"/>
      <c r="N65" s="39"/>
      <c r="O65" s="39"/>
      <c r="P65" s="39"/>
      <c r="Q65" s="30"/>
    </row>
    <row r="66" spans="1:18" s="46" customFormat="1" ht="15" customHeight="1" x14ac:dyDescent="0.25">
      <c r="A66" s="31"/>
      <c r="B66" s="48"/>
      <c r="C66" s="49"/>
      <c r="D66" s="50"/>
      <c r="E66" s="51"/>
      <c r="F66" s="52"/>
      <c r="G66" s="52"/>
      <c r="H66" s="53"/>
      <c r="I66" s="51"/>
      <c r="J66" s="54"/>
      <c r="K66" s="51"/>
      <c r="L66" s="51"/>
      <c r="M66" s="51"/>
      <c r="N66" s="39"/>
      <c r="O66" s="39"/>
      <c r="P66" s="39"/>
      <c r="Q66" s="30"/>
    </row>
    <row r="67" spans="1:18" s="46" customFormat="1" ht="15" customHeight="1" x14ac:dyDescent="0.25">
      <c r="A67" s="31"/>
      <c r="B67" s="48"/>
      <c r="C67" s="49"/>
      <c r="D67" s="50"/>
      <c r="E67" s="51"/>
      <c r="F67" s="52"/>
      <c r="G67" s="52"/>
      <c r="H67" s="53"/>
      <c r="I67" s="51"/>
      <c r="J67" s="54"/>
      <c r="K67" s="51"/>
      <c r="L67" s="51"/>
      <c r="M67" s="51"/>
      <c r="N67" s="39"/>
      <c r="O67" s="39"/>
      <c r="P67" s="39"/>
      <c r="Q67" s="30"/>
    </row>
    <row r="68" spans="1:18" s="46" customFormat="1" ht="15" customHeight="1" x14ac:dyDescent="0.25">
      <c r="A68" s="31"/>
      <c r="B68" s="48"/>
      <c r="C68" s="49"/>
      <c r="D68" s="50"/>
      <c r="E68" s="51"/>
      <c r="F68" s="52"/>
      <c r="G68" s="52"/>
      <c r="H68" s="53"/>
      <c r="I68" s="51"/>
      <c r="J68" s="54"/>
      <c r="K68" s="51"/>
      <c r="L68" s="51"/>
      <c r="M68" s="51"/>
      <c r="N68" s="39"/>
      <c r="O68" s="39"/>
      <c r="P68" s="39"/>
      <c r="Q68" s="30"/>
    </row>
    <row r="69" spans="1:18" s="46" customFormat="1" ht="15" customHeight="1" x14ac:dyDescent="0.25">
      <c r="A69" s="55"/>
      <c r="B69" s="56"/>
      <c r="C69" s="57"/>
      <c r="D69" s="58"/>
      <c r="E69" s="59"/>
      <c r="F69" s="60"/>
      <c r="G69" s="60"/>
      <c r="H69" s="60"/>
      <c r="I69" s="61"/>
      <c r="J69" s="61"/>
      <c r="K69" s="61"/>
      <c r="L69" s="61"/>
      <c r="M69" s="58"/>
      <c r="O69" s="39"/>
      <c r="P69" s="62"/>
      <c r="Q69" s="62"/>
    </row>
    <row r="70" spans="1:18" s="11" customFormat="1" ht="15" customHeight="1" x14ac:dyDescent="0.2">
      <c r="A70" s="63"/>
      <c r="B70" s="64" t="s">
        <v>33</v>
      </c>
      <c r="C70" s="63"/>
      <c r="D70" s="65"/>
      <c r="E70" s="66">
        <f>SUM(E12:E69)</f>
        <v>7681389.694600001</v>
      </c>
      <c r="F70" s="66"/>
      <c r="G70" s="66"/>
      <c r="H70" s="65"/>
      <c r="I70" s="66">
        <f>SUM(I12:I69)</f>
        <v>1463619.33</v>
      </c>
      <c r="J70" s="66">
        <f>SUM(J12:J69)</f>
        <v>457250.44999999995</v>
      </c>
      <c r="K70" s="66">
        <f>SUM(K12:K69)</f>
        <v>1920869.7800000003</v>
      </c>
      <c r="L70" s="66">
        <f>SUM(L12:L69)</f>
        <v>9602259.4746000003</v>
      </c>
      <c r="M70" s="65"/>
      <c r="O70" s="13"/>
      <c r="P70" s="13"/>
      <c r="Q70" s="67"/>
    </row>
    <row r="71" spans="1:18" s="29" customFormat="1" ht="14.25" customHeight="1" x14ac:dyDescent="0.25">
      <c r="D71" s="68"/>
      <c r="E71" s="69" t="s">
        <v>34</v>
      </c>
      <c r="F71" s="69"/>
      <c r="G71" s="69"/>
      <c r="H71" s="69"/>
      <c r="I71" s="70"/>
      <c r="J71" s="70"/>
      <c r="K71" s="70"/>
      <c r="L71" s="70"/>
      <c r="M71" s="70"/>
      <c r="O71" s="39"/>
      <c r="P71" s="39"/>
    </row>
    <row r="72" spans="1:18" s="29" customFormat="1" ht="14.25" customHeight="1" x14ac:dyDescent="0.25">
      <c r="D72" s="68"/>
      <c r="E72" s="69"/>
      <c r="F72" s="69"/>
      <c r="G72" s="69"/>
      <c r="H72" s="69"/>
      <c r="I72" s="69"/>
      <c r="J72" s="69"/>
      <c r="K72" s="69"/>
      <c r="L72" s="71"/>
      <c r="M72" s="68"/>
      <c r="O72" s="39"/>
      <c r="P72" s="39"/>
    </row>
    <row r="73" spans="1:18" s="29" customFormat="1" x14ac:dyDescent="0.2">
      <c r="A73" s="72" t="s">
        <v>35</v>
      </c>
      <c r="C73" s="72" t="s">
        <v>36</v>
      </c>
      <c r="D73" s="72"/>
      <c r="E73" s="72"/>
      <c r="F73" s="72"/>
      <c r="G73" s="73" t="s">
        <v>37</v>
      </c>
      <c r="J73" s="68"/>
      <c r="K73" s="68"/>
      <c r="L73" s="72" t="s">
        <v>38</v>
      </c>
      <c r="M73" s="68"/>
      <c r="O73" s="39"/>
    </row>
    <row r="74" spans="1:18" s="29" customFormat="1" x14ac:dyDescent="0.25">
      <c r="D74" s="68"/>
      <c r="E74" s="68"/>
      <c r="F74" s="68"/>
      <c r="G74" s="68"/>
      <c r="H74" s="68"/>
      <c r="I74" s="68"/>
      <c r="J74" s="68"/>
      <c r="K74" s="68"/>
      <c r="L74" s="68"/>
      <c r="M74" s="68"/>
      <c r="O74" s="39"/>
      <c r="P74" s="39"/>
      <c r="Q74" s="39"/>
      <c r="R74" s="39"/>
    </row>
    <row r="75" spans="1:18" s="29" customFormat="1" x14ac:dyDescent="0.25">
      <c r="D75" s="68"/>
      <c r="E75" s="68"/>
      <c r="F75" s="68"/>
      <c r="G75" s="68"/>
      <c r="H75" s="68"/>
      <c r="I75" s="68"/>
      <c r="J75" s="68"/>
      <c r="K75" s="68"/>
      <c r="L75" s="68"/>
      <c r="M75" s="68"/>
    </row>
    <row r="76" spans="1:18" s="29" customFormat="1" x14ac:dyDescent="0.25">
      <c r="D76" s="68"/>
      <c r="E76" s="68"/>
      <c r="F76" s="68"/>
      <c r="G76" s="68"/>
      <c r="H76" s="68"/>
      <c r="I76" s="68"/>
      <c r="J76" s="68"/>
      <c r="K76" s="68"/>
      <c r="L76" s="68"/>
      <c r="M76" s="68"/>
    </row>
    <row r="77" spans="1:18" s="29" customFormat="1" x14ac:dyDescent="0.25">
      <c r="D77" s="68"/>
      <c r="E77" s="68"/>
      <c r="F77" s="68"/>
      <c r="G77" s="68"/>
      <c r="H77" s="68"/>
      <c r="I77" s="68"/>
      <c r="J77" s="68"/>
      <c r="K77" s="68"/>
      <c r="L77" s="68"/>
      <c r="M77" s="68"/>
    </row>
    <row r="78" spans="1:18" s="29" customFormat="1" ht="15" x14ac:dyDescent="0.25">
      <c r="B78" s="74" t="str">
        <f>[77]pow1!A118</f>
        <v>ARVIE P. CUAMAG</v>
      </c>
      <c r="C78" s="96" t="s">
        <v>39</v>
      </c>
      <c r="D78" s="96"/>
      <c r="E78" s="96"/>
      <c r="F78" s="75"/>
      <c r="G78" s="75"/>
      <c r="H78" s="96" t="s">
        <v>40</v>
      </c>
      <c r="I78" s="96"/>
      <c r="J78" s="76"/>
      <c r="L78" s="96" t="s">
        <v>41</v>
      </c>
      <c r="M78" s="96"/>
    </row>
    <row r="79" spans="1:18" ht="15" x14ac:dyDescent="0.25">
      <c r="B79" s="77" t="s">
        <v>42</v>
      </c>
      <c r="C79" s="97" t="str">
        <f>[77]pow1!A124</f>
        <v>Engineer IV - PDD Head</v>
      </c>
      <c r="D79" s="97"/>
      <c r="E79" s="97"/>
      <c r="F79" s="78"/>
      <c r="G79" s="78"/>
      <c r="H79" s="77" t="s">
        <v>43</v>
      </c>
      <c r="J79" s="77"/>
      <c r="L79" s="97" t="s">
        <v>44</v>
      </c>
      <c r="M79" s="97"/>
    </row>
    <row r="82" spans="9:9" x14ac:dyDescent="0.2">
      <c r="I82" s="79" t="s">
        <v>45</v>
      </c>
    </row>
  </sheetData>
  <mergeCells count="31">
    <mergeCell ref="M9:M10"/>
    <mergeCell ref="C78:E78"/>
    <mergeCell ref="H78:I78"/>
    <mergeCell ref="L78:M78"/>
    <mergeCell ref="C79:E79"/>
    <mergeCell ref="L79:M79"/>
    <mergeCell ref="G9:G10"/>
    <mergeCell ref="H9:H10"/>
    <mergeCell ref="I9:I10"/>
    <mergeCell ref="J9:J10"/>
    <mergeCell ref="K9:K10"/>
    <mergeCell ref="L9:L10"/>
    <mergeCell ref="F9:F10"/>
    <mergeCell ref="A9:A10"/>
    <mergeCell ref="B9:B10"/>
    <mergeCell ref="C9:C10"/>
    <mergeCell ref="D9:D10"/>
    <mergeCell ref="E9:E10"/>
    <mergeCell ref="J5:J8"/>
    <mergeCell ref="K5:K8"/>
    <mergeCell ref="L5:L8"/>
    <mergeCell ref="M5:M8"/>
    <mergeCell ref="H7:H8"/>
    <mergeCell ref="I7:I8"/>
    <mergeCell ref="F5:G6"/>
    <mergeCell ref="H5:I6"/>
    <mergeCell ref="A5:A8"/>
    <mergeCell ref="B5:B8"/>
    <mergeCell ref="C5:C8"/>
    <mergeCell ref="D5:D8"/>
    <mergeCell ref="E5:E8"/>
  </mergeCells>
  <printOptions horizontalCentered="1"/>
  <pageMargins left="0.2" right="0.2" top="0.5" bottom="0.4" header="0.3" footer="0.3"/>
  <pageSetup paperSize="152" scale="1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ABC.</vt:lpstr>
      <vt:lpstr>Sheet1</vt:lpstr>
      <vt:lpstr>ABC.!Print_Area</vt:lpstr>
      <vt:lpstr>ABC.!Print_Titles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Raymart</dc:creator>
  <cp:lastModifiedBy>Raymart</cp:lastModifiedBy>
  <dcterms:created xsi:type="dcterms:W3CDTF">2026-07-14T10:24:59Z</dcterms:created>
  <dcterms:modified xsi:type="dcterms:W3CDTF">2026-07-25T08:46:54Z</dcterms:modified>
</cp:coreProperties>
</file>